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69128553-70B6-F943-8E28-B54E83D9FF39}" xr6:coauthVersionLast="47" xr6:coauthVersionMax="47" xr10:uidLastSave="{00000000-0000-0000-0000-000000000000}"/>
  <bookViews>
    <workbookView xWindow="1220" yWindow="2360" windowWidth="29400" windowHeight="1740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23" i="15" l="1"/>
  <c r="D91" i="15" s="1"/>
  <c r="D144" i="4"/>
  <c r="C88" i="1"/>
  <c r="P34" i="1"/>
  <c r="C86" i="1"/>
  <c r="D21" i="4"/>
  <c r="E21" i="4" s="1"/>
  <c r="C83" i="1"/>
  <c r="D20" i="4"/>
  <c r="X19" i="4"/>
  <c r="W24" i="15"/>
  <c r="W92" i="15" s="1"/>
  <c r="P35" i="1"/>
  <c r="P56" i="1"/>
  <c r="P64" i="1"/>
  <c r="E17" i="4"/>
  <c r="E34" i="4"/>
  <c r="P18" i="1"/>
  <c r="D36" i="4"/>
  <c r="D38" i="4" s="1"/>
  <c r="E36" i="4"/>
  <c r="E29" i="1"/>
  <c r="P36" i="1"/>
  <c r="E22" i="15"/>
  <c r="F22" i="15" s="1"/>
  <c r="F23" i="15" s="1"/>
  <c r="F91" i="15" s="1"/>
  <c r="P63" i="1"/>
  <c r="E22" i="1"/>
  <c r="G18" i="15"/>
  <c r="D24" i="15"/>
  <c r="Y51" i="1" l="1"/>
  <c r="D21" i="15"/>
  <c r="D26" i="15" s="1"/>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Y56" i="1" l="1"/>
  <c r="D19" i="15"/>
  <c r="D94" i="15" s="1"/>
  <c r="D25" i="15"/>
  <c r="D66" i="15" s="1"/>
  <c r="D67" i="15" s="1"/>
  <c r="D95" i="15"/>
  <c r="F37" i="4"/>
  <c r="F34" i="4"/>
  <c r="D28" i="4"/>
  <c r="D29" i="4" s="1"/>
  <c r="D30" i="4" s="1"/>
  <c r="E38" i="4"/>
  <c r="E27" i="4"/>
  <c r="E28" i="4" s="1"/>
  <c r="F20" i="4"/>
  <c r="F22" i="4"/>
  <c r="F23" i="4"/>
  <c r="G17" i="4"/>
  <c r="Z19" i="4"/>
  <c r="Y24" i="15"/>
  <c r="Y92" i="15" s="1"/>
  <c r="G21" i="4"/>
  <c r="G23" i="4" s="1"/>
  <c r="F26" i="4"/>
  <c r="F36" i="4"/>
  <c r="G37" i="4"/>
  <c r="H17" i="4"/>
  <c r="G33" i="4"/>
  <c r="H22" i="15"/>
  <c r="I22" i="15" s="1"/>
  <c r="F21" i="15"/>
  <c r="F24" i="15"/>
  <c r="F92" i="15" s="1"/>
  <c r="E95" i="15"/>
  <c r="E26" i="15"/>
  <c r="E51" i="15" s="1"/>
  <c r="E25" i="15"/>
  <c r="E19" i="15"/>
  <c r="E94" i="15" s="1"/>
  <c r="I18" i="15"/>
  <c r="D40" i="4" l="1"/>
  <c r="D167" i="4" s="1"/>
  <c r="D172" i="4" s="1"/>
  <c r="D103" i="4"/>
  <c r="Y55" i="1"/>
  <c r="D27" i="15"/>
  <c r="D80" i="15" s="1"/>
  <c r="F38" i="4"/>
  <c r="G36" i="4"/>
  <c r="G34" i="4"/>
  <c r="G22" i="4"/>
  <c r="H22" i="4" s="1"/>
  <c r="F27" i="4"/>
  <c r="F28" i="4" s="1"/>
  <c r="F29" i="4" s="1"/>
  <c r="F30" i="4" s="1"/>
  <c r="G20" i="4"/>
  <c r="H20" i="4" s="1"/>
  <c r="AA19" i="4"/>
  <c r="Z24" i="15"/>
  <c r="H21" i="4"/>
  <c r="H23" i="4" s="1"/>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G38" i="4" l="1"/>
  <c r="F40" i="4"/>
  <c r="F167" i="4" s="1"/>
  <c r="G27" i="4"/>
  <c r="G28" i="4" s="1"/>
  <c r="G29" i="4" s="1"/>
  <c r="G30" i="4" s="1"/>
  <c r="I20" i="4"/>
  <c r="I22" i="4"/>
  <c r="AB19" i="4"/>
  <c r="AB24" i="15" s="1"/>
  <c r="AB92" i="15" s="1"/>
  <c r="AA24" i="15"/>
  <c r="AA92" i="15" s="1"/>
  <c r="Z92" i="15"/>
  <c r="F51" i="15"/>
  <c r="E172" i="4"/>
  <c r="E115" i="4"/>
  <c r="E51" i="4"/>
  <c r="I21" i="4"/>
  <c r="I23" i="4" s="1"/>
  <c r="H26" i="4"/>
  <c r="H38" i="4"/>
  <c r="I34" i="4"/>
  <c r="I37" i="4"/>
  <c r="I36" i="4"/>
  <c r="J17" i="4"/>
  <c r="I33" i="4"/>
  <c r="E58" i="4"/>
  <c r="H24" i="15"/>
  <c r="H92" i="15" s="1"/>
  <c r="F27" i="15"/>
  <c r="F80" i="15" s="1"/>
  <c r="F66" i="15"/>
  <c r="F67" i="15" s="1"/>
  <c r="G26" i="15"/>
  <c r="G25" i="15"/>
  <c r="G95" i="15"/>
  <c r="G19" i="15"/>
  <c r="G94" i="15" s="1"/>
  <c r="K18" i="15"/>
  <c r="F103" i="4"/>
  <c r="H21" i="15"/>
  <c r="H27" i="4"/>
  <c r="E103" i="4"/>
  <c r="J23" i="15"/>
  <c r="J91" i="15" s="1"/>
  <c r="K22" i="15"/>
  <c r="G40" i="4" l="1"/>
  <c r="G167" i="4" s="1"/>
  <c r="F172" i="4"/>
  <c r="J20" i="4"/>
  <c r="J121" i="4"/>
  <c r="J166" i="4" s="1"/>
  <c r="J114" i="4"/>
  <c r="J22" i="4"/>
  <c r="E52" i="4"/>
  <c r="F51" i="4" s="1"/>
  <c r="J21" i="4"/>
  <c r="J23" i="4" s="1"/>
  <c r="I26" i="4"/>
  <c r="G51" i="15"/>
  <c r="J33" i="4"/>
  <c r="J34" i="4"/>
  <c r="J37" i="4"/>
  <c r="K17" i="4"/>
  <c r="J36" i="4"/>
  <c r="I38" i="4"/>
  <c r="G103" i="4"/>
  <c r="I21" i="15"/>
  <c r="I27" i="4"/>
  <c r="L18" i="15"/>
  <c r="H95" i="15"/>
  <c r="H26" i="15"/>
  <c r="H25" i="15"/>
  <c r="H19" i="15"/>
  <c r="H94" i="15" s="1"/>
  <c r="G66" i="15"/>
  <c r="G67" i="15" s="1"/>
  <c r="G27" i="15"/>
  <c r="I24" i="15"/>
  <c r="I92" i="15" s="1"/>
  <c r="K23" i="15"/>
  <c r="K91" i="15" s="1"/>
  <c r="L22" i="15"/>
  <c r="H28" i="4"/>
  <c r="G172" i="4" l="1"/>
  <c r="K20" i="4"/>
  <c r="K114" i="4"/>
  <c r="K121" i="4"/>
  <c r="K166" i="4" s="1"/>
  <c r="K22" i="4"/>
  <c r="H51" i="15"/>
  <c r="J171" i="4"/>
  <c r="E122" i="4"/>
  <c r="K21" i="4"/>
  <c r="J26" i="4"/>
  <c r="K34" i="4"/>
  <c r="K36" i="4"/>
  <c r="K33" i="4"/>
  <c r="L17" i="4"/>
  <c r="K37" i="4"/>
  <c r="J38" i="4"/>
  <c r="F115" i="4"/>
  <c r="M18" i="15"/>
  <c r="I28" i="4"/>
  <c r="H29" i="4"/>
  <c r="H30" i="4" s="1"/>
  <c r="H40" i="4" s="1"/>
  <c r="H167" i="4" s="1"/>
  <c r="G80" i="15"/>
  <c r="J21" i="15"/>
  <c r="J27" i="4"/>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L23" i="4" s="1"/>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M20" i="4" l="1"/>
  <c r="M114" i="4"/>
  <c r="M121" i="4"/>
  <c r="M166" i="4" s="1"/>
  <c r="M22" i="4"/>
  <c r="I172" i="4"/>
  <c r="L171" i="4"/>
  <c r="F122" i="4"/>
  <c r="M21" i="4"/>
  <c r="M23" i="4" s="1"/>
  <c r="L26" i="4"/>
  <c r="J51" i="15"/>
  <c r="L38" i="4"/>
  <c r="M36" i="4"/>
  <c r="M33" i="4"/>
  <c r="M37" i="4"/>
  <c r="N17" i="4"/>
  <c r="M34" i="4"/>
  <c r="G115" i="4"/>
  <c r="I103" i="4"/>
  <c r="K28" i="4"/>
  <c r="O18" i="15"/>
  <c r="L21" i="15"/>
  <c r="L27" i="4"/>
  <c r="J27" i="15"/>
  <c r="J66" i="15"/>
  <c r="J67" i="15" s="1"/>
  <c r="O22" i="15"/>
  <c r="N23" i="15"/>
  <c r="N91" i="15" s="1"/>
  <c r="J29" i="4"/>
  <c r="J30" i="4" s="1"/>
  <c r="J40" i="4" s="1"/>
  <c r="J167" i="4" s="1"/>
  <c r="J173" i="4" s="1"/>
  <c r="K26" i="15"/>
  <c r="K51" i="15" s="1"/>
  <c r="K95" i="15"/>
  <c r="K25" i="15"/>
  <c r="K19" i="15"/>
  <c r="K94" i="15" s="1"/>
  <c r="L24" i="15"/>
  <c r="L92" i="15" s="1"/>
  <c r="N121" i="4" l="1"/>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M27" i="4"/>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W21" i="4" s="1"/>
  <c r="W21" i="15" s="1"/>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U28" i="4" l="1"/>
  <c r="W22" i="4"/>
  <c r="W114" i="4"/>
  <c r="W121" i="4"/>
  <c r="W20" i="4"/>
  <c r="W23" i="4"/>
  <c r="W33" i="4"/>
  <c r="W34" i="4"/>
  <c r="D149" i="4" s="1"/>
  <c r="P17" i="1" s="1"/>
  <c r="P19" i="1" s="1"/>
  <c r="X17" i="4"/>
  <c r="W37" i="4"/>
  <c r="W36" i="4"/>
  <c r="W95" i="15"/>
  <c r="W26" i="15"/>
  <c r="W19" i="15"/>
  <c r="W94" i="15" s="1"/>
  <c r="W25" i="15"/>
  <c r="Z18" i="15"/>
  <c r="Y23" i="15"/>
  <c r="Y91" i="15" s="1"/>
  <c r="Z22" i="15"/>
  <c r="W26" i="4"/>
  <c r="X21" i="4"/>
  <c r="X21" i="15" s="1"/>
  <c r="I59" i="4"/>
  <c r="J58" i="4" s="1"/>
  <c r="V26" i="4"/>
  <c r="V27" i="4"/>
  <c r="V38" i="4"/>
  <c r="T103" i="4"/>
  <c r="V21" i="15"/>
  <c r="U26" i="15"/>
  <c r="U51" i="15" s="1"/>
  <c r="U95" i="15"/>
  <c r="U25" i="15"/>
  <c r="U19" i="15"/>
  <c r="U94" i="15" s="1"/>
  <c r="T66" i="15"/>
  <c r="T67" i="15" s="1"/>
  <c r="T27" i="15"/>
  <c r="T80" i="15" s="1"/>
  <c r="Z51" i="1"/>
  <c r="U29" i="4"/>
  <c r="U30" i="4" s="1"/>
  <c r="U40" i="4" s="1"/>
  <c r="V24" i="15"/>
  <c r="V92" i="15" s="1"/>
  <c r="X22" i="4" l="1"/>
  <c r="X114" i="4"/>
  <c r="X121" i="4"/>
  <c r="X98" i="4"/>
  <c r="W27" i="4"/>
  <c r="W28" i="4" s="1"/>
  <c r="W29" i="4" s="1"/>
  <c r="W30" i="4" s="1"/>
  <c r="X20" i="4"/>
  <c r="X23" i="4"/>
  <c r="X33" i="4"/>
  <c r="X34" i="4"/>
  <c r="Y17" i="4"/>
  <c r="X37" i="4"/>
  <c r="X36" i="4"/>
  <c r="W38" i="4"/>
  <c r="X26" i="15"/>
  <c r="X95" i="15"/>
  <c r="X25" i="15"/>
  <c r="X19" i="15"/>
  <c r="X94" i="15" s="1"/>
  <c r="W27" i="15"/>
  <c r="W80" i="15" s="1"/>
  <c r="W66" i="15"/>
  <c r="W67" i="15" s="1"/>
  <c r="AA22" i="15"/>
  <c r="Z23" i="15"/>
  <c r="Z91" i="15" s="1"/>
  <c r="AA18" i="15"/>
  <c r="Y21" i="4"/>
  <c r="Y21" i="15" s="1"/>
  <c r="X26" i="4"/>
  <c r="V28" i="4"/>
  <c r="V29" i="4" s="1"/>
  <c r="V30" i="4" s="1"/>
  <c r="V40" i="4" s="1"/>
  <c r="J52" i="4"/>
  <c r="K51" i="4" s="1"/>
  <c r="U103" i="4"/>
  <c r="Z52" i="1"/>
  <c r="U27" i="15"/>
  <c r="U80" i="15" s="1"/>
  <c r="U66" i="15"/>
  <c r="U67" i="15" s="1"/>
  <c r="V25" i="15"/>
  <c r="V95" i="15"/>
  <c r="V26" i="15"/>
  <c r="V19" i="15"/>
  <c r="V94" i="15" s="1"/>
  <c r="Y22" i="4" l="1"/>
  <c r="Y114" i="4"/>
  <c r="Y121" i="4"/>
  <c r="Y98" i="4"/>
  <c r="W40" i="4"/>
  <c r="W103" i="4"/>
  <c r="X27" i="4"/>
  <c r="X28" i="4" s="1"/>
  <c r="X29" i="4" s="1"/>
  <c r="X30" i="4" s="1"/>
  <c r="X27" i="15"/>
  <c r="X80" i="15" s="1"/>
  <c r="X66" i="15"/>
  <c r="X67" i="15" s="1"/>
  <c r="X38" i="4"/>
  <c r="Y37" i="4"/>
  <c r="Y20" i="4"/>
  <c r="Y23" i="4"/>
  <c r="Y33" i="4"/>
  <c r="Y34" i="4"/>
  <c r="Z17" i="4"/>
  <c r="Y36" i="4"/>
  <c r="Y26" i="15"/>
  <c r="Y95" i="15"/>
  <c r="Y19" i="15"/>
  <c r="Y94" i="15" s="1"/>
  <c r="Y25" i="15"/>
  <c r="V51" i="15"/>
  <c r="W51" i="15"/>
  <c r="X51" i="15"/>
  <c r="AB18" i="15"/>
  <c r="AB22" i="15"/>
  <c r="AA23" i="15"/>
  <c r="AA91" i="15" s="1"/>
  <c r="Z21" i="4"/>
  <c r="Z21" i="15" s="1"/>
  <c r="Y26" i="4"/>
  <c r="J59" i="4"/>
  <c r="K58" i="4" s="1"/>
  <c r="K115" i="4"/>
  <c r="K45" i="4" s="1"/>
  <c r="V103" i="4"/>
  <c r="V27" i="15"/>
  <c r="V80" i="15" s="1"/>
  <c r="V66" i="15"/>
  <c r="V67" i="15" s="1"/>
  <c r="Z56" i="1"/>
  <c r="Z22" i="4" l="1"/>
  <c r="Z121" i="4"/>
  <c r="Z114" i="4"/>
  <c r="Z98" i="4"/>
  <c r="X40" i="4"/>
  <c r="X103" i="4"/>
  <c r="X104" i="4" s="1"/>
  <c r="Y66" i="15"/>
  <c r="Y67" i="15" s="1"/>
  <c r="Y27" i="15"/>
  <c r="Y80" i="15" s="1"/>
  <c r="Y38" i="4"/>
  <c r="Y51" i="15"/>
  <c r="Y27" i="4"/>
  <c r="Y28" i="4" s="1"/>
  <c r="Z95" i="15"/>
  <c r="Z26" i="15"/>
  <c r="Z51" i="15" s="1"/>
  <c r="Z19" i="15"/>
  <c r="Z94" i="15" s="1"/>
  <c r="Z25" i="15"/>
  <c r="Z66" i="15" s="1"/>
  <c r="Z67" i="15" s="1"/>
  <c r="AA17" i="4"/>
  <c r="Z37" i="4"/>
  <c r="Z20" i="4"/>
  <c r="Z23" i="4"/>
  <c r="Z33" i="4"/>
  <c r="Z34" i="4"/>
  <c r="Z36" i="4"/>
  <c r="AB23" i="15"/>
  <c r="AB91" i="15" s="1"/>
  <c r="Z26" i="4"/>
  <c r="AA21" i="4"/>
  <c r="AA21" i="15" s="1"/>
  <c r="Z55" i="1"/>
  <c r="AA22" i="4" l="1"/>
  <c r="AA114" i="4"/>
  <c r="AA121" i="4"/>
  <c r="AA98" i="4"/>
  <c r="K122" i="4"/>
  <c r="K46" i="4" s="1"/>
  <c r="K22" i="16" s="1"/>
  <c r="Y29" i="4"/>
  <c r="Y30" i="4" s="1"/>
  <c r="Z27" i="4"/>
  <c r="Z28" i="4" s="1"/>
  <c r="Z29" i="4" s="1"/>
  <c r="Z30" i="4" s="1"/>
  <c r="Z27" i="15"/>
  <c r="Z80" i="15" s="1"/>
  <c r="Z38" i="4"/>
  <c r="AA20" i="4"/>
  <c r="AB17" i="4"/>
  <c r="AA23" i="4"/>
  <c r="AA34" i="4"/>
  <c r="AA33" i="4"/>
  <c r="AA37" i="4"/>
  <c r="AA36" i="4"/>
  <c r="AA95" i="15"/>
  <c r="AA26" i="15"/>
  <c r="AA51" i="15" s="1"/>
  <c r="AA19" i="15"/>
  <c r="AA94" i="15" s="1"/>
  <c r="AA25" i="15"/>
  <c r="AA26" i="4"/>
  <c r="AB21" i="4"/>
  <c r="K52" i="4"/>
  <c r="L51" i="4" s="1"/>
  <c r="AB22" i="4" l="1"/>
  <c r="AB114" i="4"/>
  <c r="AB121" i="4"/>
  <c r="AB98" i="4"/>
  <c r="AA27" i="15"/>
  <c r="AA80" i="15" s="1"/>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103" i="4" l="1"/>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66" i="1" l="1"/>
  <c r="P37" i="1"/>
  <c r="E39" i="1"/>
  <c r="D98" i="4" l="1"/>
  <c r="E98" i="4"/>
  <c r="E104" i="4" s="1"/>
  <c r="C101" i="4"/>
  <c r="D99" i="4" s="1"/>
  <c r="C92" i="1"/>
  <c r="D134" i="4"/>
  <c r="F98" i="4"/>
  <c r="H98" i="4"/>
  <c r="G98" i="4"/>
  <c r="I98" i="4"/>
  <c r="J98" i="4"/>
  <c r="K98" i="4"/>
  <c r="L98" i="4"/>
  <c r="M98" i="4"/>
  <c r="N98" i="4"/>
  <c r="O98" i="4"/>
  <c r="P98" i="4"/>
  <c r="Q98" i="4"/>
  <c r="R98" i="4"/>
  <c r="S98" i="4"/>
  <c r="T98" i="4"/>
  <c r="U98" i="4"/>
  <c r="V98" i="4"/>
  <c r="W98" i="4"/>
  <c r="H23" i="1"/>
  <c r="E73" i="1"/>
  <c r="C73" i="1"/>
  <c r="D73" i="1"/>
  <c r="G104" i="4" l="1"/>
  <c r="H104" i="4"/>
  <c r="F104" i="4"/>
  <c r="M104" i="4"/>
  <c r="L104" i="4"/>
  <c r="W104" i="4"/>
  <c r="U104" i="4"/>
  <c r="K104" i="4"/>
  <c r="D42" i="4"/>
  <c r="D113" i="4" s="1"/>
  <c r="D160" i="4"/>
  <c r="P104" i="4"/>
  <c r="V104" i="4"/>
  <c r="T104" i="4"/>
  <c r="J104" i="4"/>
  <c r="O104" i="4"/>
  <c r="N104" i="4"/>
  <c r="S104" i="4"/>
  <c r="R104" i="4"/>
  <c r="Q104" i="4"/>
  <c r="I104" i="4"/>
  <c r="D100" i="4"/>
  <c r="D104" i="4"/>
  <c r="D105" i="4" s="1"/>
  <c r="E105" i="4" s="1"/>
  <c r="C69" i="16"/>
  <c r="H24" i="1"/>
  <c r="C97" i="1"/>
  <c r="E51" i="1"/>
  <c r="H49" i="1"/>
  <c r="H50" i="1" s="1"/>
  <c r="C56" i="16"/>
  <c r="Y60" i="1"/>
  <c r="Z65" i="1" s="1"/>
  <c r="P67" i="1"/>
  <c r="P68" i="1" s="1"/>
  <c r="P22" i="1"/>
  <c r="P23" i="1" s="1"/>
  <c r="P24" i="1" s="1"/>
  <c r="P38" i="1"/>
  <c r="P39" i="1" s="1"/>
  <c r="F105" i="4" l="1"/>
  <c r="G105" i="4" s="1"/>
  <c r="D101" i="4"/>
  <c r="D75" i="4"/>
  <c r="D161" i="4"/>
  <c r="C92" i="16"/>
  <c r="P50" i="1"/>
  <c r="C58" i="16"/>
  <c r="E56" i="1"/>
  <c r="F114" i="4" s="1"/>
  <c r="E59" i="1"/>
  <c r="I114" i="4" s="1"/>
  <c r="D58" i="1"/>
  <c r="H121" i="4" s="1"/>
  <c r="E57" i="1"/>
  <c r="G114" i="4" s="1"/>
  <c r="D59" i="1"/>
  <c r="I121" i="4" s="1"/>
  <c r="E54" i="1"/>
  <c r="D57" i="1"/>
  <c r="G121" i="4" s="1"/>
  <c r="D56" i="1"/>
  <c r="F121" i="4" s="1"/>
  <c r="E55" i="1"/>
  <c r="E114" i="4" s="1"/>
  <c r="D55" i="1"/>
  <c r="E121" i="4" s="1"/>
  <c r="E58" i="1"/>
  <c r="H114" i="4" s="1"/>
  <c r="D54" i="1"/>
  <c r="H55" i="1"/>
  <c r="D51" i="4" s="1"/>
  <c r="E37" i="16"/>
  <c r="F37" i="16"/>
  <c r="D133" i="4"/>
  <c r="C80" i="4"/>
  <c r="H37" i="16"/>
  <c r="D37" i="16"/>
  <c r="C87" i="4"/>
  <c r="G37" i="16"/>
  <c r="D76" i="4"/>
  <c r="D58" i="4"/>
  <c r="C93" i="16"/>
  <c r="C71" i="16"/>
  <c r="O50" i="1"/>
  <c r="H105" i="4" l="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E99" i="4"/>
  <c r="C88" i="4"/>
  <c r="C68" i="15"/>
  <c r="I45" i="4"/>
  <c r="C98" i="16"/>
  <c r="C73" i="16"/>
  <c r="C24" i="16"/>
  <c r="C81" i="4"/>
  <c r="C49" i="15"/>
  <c r="C53" i="15" s="1"/>
  <c r="C56" i="15" s="1"/>
  <c r="H45" i="4"/>
  <c r="E45" i="4"/>
  <c r="G46" i="4"/>
  <c r="G166" i="4"/>
  <c r="C97" i="16"/>
  <c r="C60" i="16"/>
  <c r="D121" i="4"/>
  <c r="D60" i="1"/>
  <c r="H46" i="4"/>
  <c r="H166" i="4"/>
  <c r="F45" i="4"/>
  <c r="E76" i="4"/>
  <c r="F76" i="4" s="1"/>
  <c r="D114" i="4"/>
  <c r="E60" i="1"/>
  <c r="G45" i="4"/>
  <c r="E166" i="4"/>
  <c r="E46" i="4"/>
  <c r="F166" i="4"/>
  <c r="F46" i="4"/>
  <c r="I166" i="4"/>
  <c r="I46" i="4"/>
  <c r="E100" i="4" l="1"/>
  <c r="E42" i="4"/>
  <c r="E113" i="4" s="1"/>
  <c r="E160" i="4"/>
  <c r="E49" i="4"/>
  <c r="E50" i="4" s="1"/>
  <c r="E53" i="4" s="1"/>
  <c r="E120" i="4" s="1"/>
  <c r="E124" i="4" s="1"/>
  <c r="E70" i="4" s="1"/>
  <c r="C105" i="4"/>
  <c r="P32" i="1" s="1"/>
  <c r="G76" i="4"/>
  <c r="H76" i="4" s="1"/>
  <c r="I76" i="4" s="1"/>
  <c r="J76" i="4" s="1"/>
  <c r="K76" i="4" s="1"/>
  <c r="F173" i="4"/>
  <c r="F168" i="4"/>
  <c r="F171" i="4"/>
  <c r="E22" i="16"/>
  <c r="H171" i="4"/>
  <c r="H173" i="4"/>
  <c r="H168" i="4"/>
  <c r="G22" i="16"/>
  <c r="D46" i="4"/>
  <c r="D166" i="4"/>
  <c r="D116" i="4"/>
  <c r="D45" i="4"/>
  <c r="D49" i="4" s="1"/>
  <c r="D50" i="4" s="1"/>
  <c r="D117" i="4"/>
  <c r="D72" i="4" s="1"/>
  <c r="C89" i="16"/>
  <c r="E171" i="4"/>
  <c r="E173" i="4"/>
  <c r="E168" i="4"/>
  <c r="H22" i="16"/>
  <c r="C84" i="15"/>
  <c r="Y62" i="1"/>
  <c r="C69" i="15"/>
  <c r="F22" i="16"/>
  <c r="C88" i="16"/>
  <c r="G168" i="4"/>
  <c r="G173" i="4"/>
  <c r="G171" i="4"/>
  <c r="I22" i="16"/>
  <c r="I171" i="4"/>
  <c r="I173" i="4"/>
  <c r="I168" i="4"/>
  <c r="E56" i="4" l="1"/>
  <c r="E57" i="4" s="1"/>
  <c r="E60" i="4" s="1"/>
  <c r="E62" i="4" s="1"/>
  <c r="E21" i="16" s="1"/>
  <c r="E24" i="16" s="1"/>
  <c r="E36" i="16" s="1"/>
  <c r="E38" i="16" s="1"/>
  <c r="E40" i="16" s="1"/>
  <c r="E41" i="16" s="1"/>
  <c r="E43" i="16" s="1"/>
  <c r="E123" i="4"/>
  <c r="E117" i="4"/>
  <c r="E72" i="4" s="1"/>
  <c r="E73" i="4" s="1"/>
  <c r="E116" i="4"/>
  <c r="E75" i="4"/>
  <c r="E161" i="4"/>
  <c r="E101" i="4"/>
  <c r="L76" i="4"/>
  <c r="M76" i="4" s="1"/>
  <c r="D155" i="4"/>
  <c r="D28" i="16"/>
  <c r="D53" i="4"/>
  <c r="D120" i="4" s="1"/>
  <c r="D52" i="4"/>
  <c r="D71" i="4" s="1"/>
  <c r="D27" i="16" s="1"/>
  <c r="D168" i="4"/>
  <c r="D173" i="4"/>
  <c r="D174" i="4" s="1"/>
  <c r="E174" i="4" s="1"/>
  <c r="F174" i="4" s="1"/>
  <c r="G174" i="4" s="1"/>
  <c r="H174" i="4" s="1"/>
  <c r="I174" i="4" s="1"/>
  <c r="J174" i="4" s="1"/>
  <c r="K174" i="4" s="1"/>
  <c r="L174" i="4" s="1"/>
  <c r="M174" i="4" s="1"/>
  <c r="D171" i="4"/>
  <c r="E29" i="16"/>
  <c r="E154" i="4"/>
  <c r="D22" i="16"/>
  <c r="E80" i="4" l="1"/>
  <c r="E84" i="4" s="1"/>
  <c r="E87" i="4"/>
  <c r="E68" i="15" s="1"/>
  <c r="E69" i="15" s="1"/>
  <c r="F99" i="4"/>
  <c r="E28" i="16"/>
  <c r="E31" i="16" s="1"/>
  <c r="E57" i="16" s="1"/>
  <c r="E70" i="16" s="1"/>
  <c r="E155" i="4"/>
  <c r="N76" i="4"/>
  <c r="D56" i="4"/>
  <c r="D57" i="4" s="1"/>
  <c r="D59" i="4" s="1"/>
  <c r="D69" i="4" s="1"/>
  <c r="E152" i="4"/>
  <c r="E159" i="4" s="1"/>
  <c r="D123" i="4"/>
  <c r="D124" i="4"/>
  <c r="D70" i="4" s="1"/>
  <c r="E44" i="16"/>
  <c r="E48" i="16" s="1"/>
  <c r="F160" i="4" l="1"/>
  <c r="F42" i="4"/>
  <c r="F100" i="4"/>
  <c r="O76" i="4"/>
  <c r="P76" i="4" s="1"/>
  <c r="D60" i="4"/>
  <c r="D62" i="4" s="1"/>
  <c r="D80" i="4" s="1"/>
  <c r="E45" i="16"/>
  <c r="E49" i="16" s="1"/>
  <c r="E69" i="16" s="1"/>
  <c r="E71" i="16" s="1"/>
  <c r="E98" i="16" s="1"/>
  <c r="D153" i="4"/>
  <c r="E138" i="4" s="1"/>
  <c r="D73" i="4"/>
  <c r="D30" i="16"/>
  <c r="D154" i="4"/>
  <c r="D29" i="16"/>
  <c r="E56" i="16"/>
  <c r="E58" i="16" s="1"/>
  <c r="E97" i="16" s="1"/>
  <c r="F75" i="4" l="1"/>
  <c r="F161" i="4"/>
  <c r="F101" i="4"/>
  <c r="F113" i="4"/>
  <c r="F49" i="4"/>
  <c r="F50" i="4" s="1"/>
  <c r="F53" i="4" s="1"/>
  <c r="F120" i="4" s="1"/>
  <c r="Q76" i="4"/>
  <c r="R76" i="4" s="1"/>
  <c r="D21" i="16"/>
  <c r="D24" i="16" s="1"/>
  <c r="D36" i="16" s="1"/>
  <c r="D38" i="16" s="1"/>
  <c r="D40" i="16" s="1"/>
  <c r="D41" i="16" s="1"/>
  <c r="D43" i="16" s="1"/>
  <c r="D44" i="16" s="1"/>
  <c r="D48" i="16" s="1"/>
  <c r="D87" i="4"/>
  <c r="D68" i="15" s="1"/>
  <c r="D31" i="16"/>
  <c r="D57" i="16" s="1"/>
  <c r="D70" i="16" s="1"/>
  <c r="E50" i="16"/>
  <c r="D152" i="4"/>
  <c r="D84" i="4"/>
  <c r="D81" i="4"/>
  <c r="E81" i="4" s="1"/>
  <c r="F56" i="4" l="1"/>
  <c r="F57" i="4" s="1"/>
  <c r="F60" i="4" s="1"/>
  <c r="F62" i="4" s="1"/>
  <c r="F117" i="4"/>
  <c r="F72" i="4" s="1"/>
  <c r="F116" i="4"/>
  <c r="F124" i="4"/>
  <c r="F70" i="4" s="1"/>
  <c r="F123" i="4"/>
  <c r="G99" i="4"/>
  <c r="D88" i="4"/>
  <c r="E88" i="4" s="1"/>
  <c r="D45" i="16"/>
  <c r="D49" i="16" s="1"/>
  <c r="D69" i="16" s="1"/>
  <c r="D71" i="16" s="1"/>
  <c r="D159" i="4"/>
  <c r="S76" i="4"/>
  <c r="D56" i="16"/>
  <c r="D69" i="15"/>
  <c r="G42" i="4" l="1"/>
  <c r="G160" i="4"/>
  <c r="G100" i="4"/>
  <c r="F29" i="16"/>
  <c r="F154" i="4"/>
  <c r="F73" i="4"/>
  <c r="F87" i="4" s="1"/>
  <c r="F68" i="15" s="1"/>
  <c r="F69" i="15" s="1"/>
  <c r="F28" i="16"/>
  <c r="F155" i="4"/>
  <c r="F80" i="4"/>
  <c r="F21" i="16"/>
  <c r="F24" i="16" s="1"/>
  <c r="F36" i="16" s="1"/>
  <c r="F38" i="16" s="1"/>
  <c r="F40" i="16" s="1"/>
  <c r="F41" i="16" s="1"/>
  <c r="F43" i="16" s="1"/>
  <c r="D50" i="16"/>
  <c r="T76" i="4"/>
  <c r="U76" i="4" s="1"/>
  <c r="D98" i="16"/>
  <c r="E72" i="16"/>
  <c r="D72" i="16"/>
  <c r="D73" i="16"/>
  <c r="D58" i="16"/>
  <c r="F88" i="4" l="1"/>
  <c r="F31" i="16"/>
  <c r="F57" i="16" s="1"/>
  <c r="F70" i="16" s="1"/>
  <c r="F44" i="16"/>
  <c r="F48" i="16" s="1"/>
  <c r="G75" i="4"/>
  <c r="G161" i="4"/>
  <c r="G101" i="4"/>
  <c r="F152" i="4"/>
  <c r="F159" i="4" s="1"/>
  <c r="F84" i="4"/>
  <c r="F81" i="4"/>
  <c r="G113" i="4"/>
  <c r="G49" i="4"/>
  <c r="G50" i="4" s="1"/>
  <c r="G53" i="4" s="1"/>
  <c r="G120" i="4" s="1"/>
  <c r="D97" i="16"/>
  <c r="D59" i="16"/>
  <c r="E59" i="16"/>
  <c r="D60" i="16"/>
  <c r="V76" i="4"/>
  <c r="D89" i="16"/>
  <c r="E73" i="16"/>
  <c r="F45" i="16" l="1"/>
  <c r="F49" i="16" s="1"/>
  <c r="F69" i="16" s="1"/>
  <c r="F71" i="16" s="1"/>
  <c r="F73" i="16" s="1"/>
  <c r="G124" i="4"/>
  <c r="G70" i="4" s="1"/>
  <c r="G123" i="4"/>
  <c r="F98" i="16"/>
  <c r="F72" i="16"/>
  <c r="G117" i="4"/>
  <c r="G72" i="4" s="1"/>
  <c r="G116" i="4"/>
  <c r="H99" i="4"/>
  <c r="G56" i="4"/>
  <c r="G57" i="4" s="1"/>
  <c r="G60" i="4" s="1"/>
  <c r="G62" i="4" s="1"/>
  <c r="F56" i="16"/>
  <c r="F58" i="16" s="1"/>
  <c r="D88" i="16"/>
  <c r="E60" i="16"/>
  <c r="W76" i="4"/>
  <c r="E89" i="16"/>
  <c r="F50" i="16" l="1"/>
  <c r="F97" i="16"/>
  <c r="F59" i="16"/>
  <c r="G21" i="16"/>
  <c r="G24" i="16" s="1"/>
  <c r="G36" i="16" s="1"/>
  <c r="G38" i="16" s="1"/>
  <c r="G40" i="16" s="1"/>
  <c r="G41" i="16" s="1"/>
  <c r="G43" i="16" s="1"/>
  <c r="G80" i="4"/>
  <c r="H42" i="4"/>
  <c r="H160" i="4"/>
  <c r="H100" i="4"/>
  <c r="G155" i="4"/>
  <c r="G28" i="16"/>
  <c r="G154" i="4"/>
  <c r="G29" i="16"/>
  <c r="G31" i="16" s="1"/>
  <c r="G57" i="16" s="1"/>
  <c r="G70" i="16" s="1"/>
  <c r="G73" i="4"/>
  <c r="G87" i="4" s="1"/>
  <c r="E88" i="16"/>
  <c r="F60" i="16"/>
  <c r="F89" i="16"/>
  <c r="X76" i="4"/>
  <c r="H75" i="4" l="1"/>
  <c r="H161" i="4"/>
  <c r="H101" i="4"/>
  <c r="H113" i="4"/>
  <c r="H49" i="4"/>
  <c r="H50" i="4" s="1"/>
  <c r="H53" i="4" s="1"/>
  <c r="H120" i="4" s="1"/>
  <c r="G44" i="16"/>
  <c r="G48" i="16" s="1"/>
  <c r="G68" i="15"/>
  <c r="G69" i="15" s="1"/>
  <c r="G88" i="4"/>
  <c r="G152" i="4"/>
  <c r="G159" i="4" s="1"/>
  <c r="G84" i="4"/>
  <c r="G81" i="4"/>
  <c r="F88" i="16"/>
  <c r="Y76" i="4"/>
  <c r="H123" i="4" l="1"/>
  <c r="H124" i="4"/>
  <c r="H70" i="4" s="1"/>
  <c r="H117" i="4"/>
  <c r="H72" i="4" s="1"/>
  <c r="H116" i="4"/>
  <c r="G56" i="16"/>
  <c r="G58" i="16" s="1"/>
  <c r="H56" i="4"/>
  <c r="H57" i="4" s="1"/>
  <c r="H60" i="4" s="1"/>
  <c r="H62" i="4" s="1"/>
  <c r="I99" i="4"/>
  <c r="G45" i="16"/>
  <c r="G49" i="16" s="1"/>
  <c r="G69" i="16" s="1"/>
  <c r="G71" i="16" s="1"/>
  <c r="Z76" i="4"/>
  <c r="G50" i="16" l="1"/>
  <c r="H28" i="16"/>
  <c r="H155" i="4"/>
  <c r="G97" i="16"/>
  <c r="G59" i="16"/>
  <c r="G60" i="16"/>
  <c r="I160" i="4"/>
  <c r="I42" i="4"/>
  <c r="I100" i="4"/>
  <c r="H73" i="4"/>
  <c r="H87" i="4" s="1"/>
  <c r="H154" i="4"/>
  <c r="H29" i="16"/>
  <c r="H31" i="16" s="1"/>
  <c r="H57" i="16" s="1"/>
  <c r="H70" i="16" s="1"/>
  <c r="G98" i="16"/>
  <c r="G72" i="16"/>
  <c r="G73" i="16"/>
  <c r="H80" i="4"/>
  <c r="H21" i="16"/>
  <c r="H24" i="16" s="1"/>
  <c r="H36" i="16" s="1"/>
  <c r="H38" i="16" s="1"/>
  <c r="H40" i="16" s="1"/>
  <c r="H41" i="16" s="1"/>
  <c r="H43" i="16" s="1"/>
  <c r="AA76" i="4"/>
  <c r="I75" i="4" l="1"/>
  <c r="I161" i="4"/>
  <c r="I101" i="4"/>
  <c r="I113" i="4"/>
  <c r="I49" i="4"/>
  <c r="I50" i="4" s="1"/>
  <c r="I53" i="4" s="1"/>
  <c r="I120" i="4" s="1"/>
  <c r="H44" i="16"/>
  <c r="H48" i="16" s="1"/>
  <c r="H152" i="4"/>
  <c r="H159" i="4" s="1"/>
  <c r="H84" i="4"/>
  <c r="H81" i="4"/>
  <c r="G89" i="16"/>
  <c r="H68" i="15"/>
  <c r="H69" i="15" s="1"/>
  <c r="H88" i="4"/>
  <c r="G88" i="16"/>
  <c r="AB76" i="4"/>
  <c r="H56" i="16" l="1"/>
  <c r="H58" i="16" s="1"/>
  <c r="I116" i="4"/>
  <c r="I117" i="4"/>
  <c r="I72" i="4" s="1"/>
  <c r="I124" i="4"/>
  <c r="I70" i="4" s="1"/>
  <c r="I123" i="4"/>
  <c r="I56" i="4"/>
  <c r="I57" i="4" s="1"/>
  <c r="I60" i="4" s="1"/>
  <c r="I62" i="4" s="1"/>
  <c r="J99" i="4"/>
  <c r="H45" i="16"/>
  <c r="H49" i="16" s="1"/>
  <c r="H69" i="16" s="1"/>
  <c r="H71" i="16" s="1"/>
  <c r="I21" i="16" l="1"/>
  <c r="I24" i="16" s="1"/>
  <c r="I36" i="16" s="1"/>
  <c r="I38" i="16" s="1"/>
  <c r="I41" i="16" s="1"/>
  <c r="I43" i="16" s="1"/>
  <c r="I80" i="4"/>
  <c r="I29" i="16"/>
  <c r="I73" i="4"/>
  <c r="I87" i="4" s="1"/>
  <c r="I154" i="4"/>
  <c r="H98" i="16"/>
  <c r="H72" i="16"/>
  <c r="H73" i="16"/>
  <c r="I28" i="16"/>
  <c r="I155" i="4"/>
  <c r="H50" i="16"/>
  <c r="J42" i="4"/>
  <c r="J160" i="4"/>
  <c r="J100" i="4"/>
  <c r="H97" i="16"/>
  <c r="H59" i="16"/>
  <c r="H60" i="16"/>
  <c r="J49" i="4" l="1"/>
  <c r="J50" i="4" s="1"/>
  <c r="J53" i="4" s="1"/>
  <c r="J56" i="4" s="1"/>
  <c r="J57" i="4" s="1"/>
  <c r="J60" i="4" s="1"/>
  <c r="J62" i="4" s="1"/>
  <c r="J113" i="4"/>
  <c r="H89" i="16"/>
  <c r="I31" i="16"/>
  <c r="I57" i="16" s="1"/>
  <c r="I70" i="16" s="1"/>
  <c r="H88" i="16"/>
  <c r="I68" i="15"/>
  <c r="I69" i="15" s="1"/>
  <c r="I88" i="4"/>
  <c r="I84" i="4"/>
  <c r="I152" i="4"/>
  <c r="I159" i="4" s="1"/>
  <c r="I81" i="4"/>
  <c r="J75" i="4"/>
  <c r="J161" i="4"/>
  <c r="J101" i="4"/>
  <c r="I44" i="16"/>
  <c r="I48" i="16" s="1"/>
  <c r="J120" i="4" l="1"/>
  <c r="J123" i="4" s="1"/>
  <c r="I45" i="16"/>
  <c r="I49" i="16" s="1"/>
  <c r="I69" i="16" s="1"/>
  <c r="I71" i="16" s="1"/>
  <c r="I56" i="16"/>
  <c r="I58" i="16" s="1"/>
  <c r="J117" i="4"/>
  <c r="J72" i="4" s="1"/>
  <c r="J116" i="4"/>
  <c r="K99" i="4"/>
  <c r="J21" i="16"/>
  <c r="J24" i="16" s="1"/>
  <c r="J36" i="16" s="1"/>
  <c r="J38" i="16" s="1"/>
  <c r="J41" i="16" s="1"/>
  <c r="J43" i="16" s="1"/>
  <c r="J80" i="4"/>
  <c r="I50" i="16" l="1"/>
  <c r="J124" i="4"/>
  <c r="J70" i="4" s="1"/>
  <c r="J29" i="16" s="1"/>
  <c r="J44" i="16"/>
  <c r="J48" i="16" s="1"/>
  <c r="I98" i="16"/>
  <c r="I72" i="16"/>
  <c r="I73" i="16"/>
  <c r="J84" i="4"/>
  <c r="J152" i="4"/>
  <c r="I97" i="16"/>
  <c r="I59" i="16"/>
  <c r="C66" i="16" s="1"/>
  <c r="I60" i="16"/>
  <c r="J81" i="4"/>
  <c r="K42" i="4"/>
  <c r="K160" i="4"/>
  <c r="K100" i="4"/>
  <c r="J155" i="4"/>
  <c r="J28" i="16"/>
  <c r="J154" i="4" l="1"/>
  <c r="J73" i="4"/>
  <c r="J87" i="4" s="1"/>
  <c r="J45" i="16"/>
  <c r="J49" i="16" s="1"/>
  <c r="J69" i="16" s="1"/>
  <c r="J31" i="16"/>
  <c r="J159" i="4"/>
  <c r="J68" i="15"/>
  <c r="J88" i="4"/>
  <c r="I88" i="16"/>
  <c r="I89" i="16"/>
  <c r="K75" i="4"/>
  <c r="K161" i="4"/>
  <c r="K101" i="4"/>
  <c r="K49" i="4"/>
  <c r="K50" i="4" s="1"/>
  <c r="K53" i="4" s="1"/>
  <c r="K56" i="4" s="1"/>
  <c r="K57" i="4" s="1"/>
  <c r="K60" i="4" s="1"/>
  <c r="K62" i="4" s="1"/>
  <c r="K113" i="4"/>
  <c r="J56" i="16"/>
  <c r="J50" i="16" l="1"/>
  <c r="K120" i="4"/>
  <c r="K123" i="4" s="1"/>
  <c r="L99" i="4"/>
  <c r="J69" i="15"/>
  <c r="K117" i="4"/>
  <c r="K72" i="4" s="1"/>
  <c r="K116" i="4"/>
  <c r="K21" i="16"/>
  <c r="K24" i="16" s="1"/>
  <c r="K36" i="16" s="1"/>
  <c r="K38" i="16" s="1"/>
  <c r="K41" i="16" s="1"/>
  <c r="K43" i="16" s="1"/>
  <c r="K80" i="4"/>
  <c r="J57" i="16"/>
  <c r="J70" i="16" s="1"/>
  <c r="J71" i="16" s="1"/>
  <c r="K124" i="4" l="1"/>
  <c r="K70" i="4" s="1"/>
  <c r="J98" i="16"/>
  <c r="J72" i="16"/>
  <c r="J73" i="16"/>
  <c r="J58" i="16"/>
  <c r="L42" i="4"/>
  <c r="L160" i="4"/>
  <c r="L100" i="4"/>
  <c r="K44" i="16"/>
  <c r="K48" i="16" s="1"/>
  <c r="K28" i="16"/>
  <c r="K155" i="4"/>
  <c r="K152" i="4"/>
  <c r="K84" i="4"/>
  <c r="K81" i="4"/>
  <c r="K29" i="16"/>
  <c r="K73" i="4"/>
  <c r="K87" i="4" s="1"/>
  <c r="K154" i="4"/>
  <c r="K45" i="16" l="1"/>
  <c r="K49" i="16" s="1"/>
  <c r="K69" i="16" s="1"/>
  <c r="J97" i="16"/>
  <c r="J59" i="16"/>
  <c r="J60" i="16"/>
  <c r="K31" i="16"/>
  <c r="K56" i="16"/>
  <c r="K50" i="16"/>
  <c r="K68" i="15"/>
  <c r="K88" i="4"/>
  <c r="L75" i="4"/>
  <c r="L161" i="4"/>
  <c r="L101" i="4"/>
  <c r="K159" i="4"/>
  <c r="J89" i="16"/>
  <c r="L113" i="4"/>
  <c r="L49" i="4"/>
  <c r="L50" i="4" s="1"/>
  <c r="L53" i="4" s="1"/>
  <c r="L56" i="4" s="1"/>
  <c r="L120" i="4" l="1"/>
  <c r="L57" i="4"/>
  <c r="L60" i="4" s="1"/>
  <c r="L62" i="4" s="1"/>
  <c r="L124" i="4"/>
  <c r="L70" i="4" s="1"/>
  <c r="L123" i="4"/>
  <c r="K57" i="16"/>
  <c r="K70" i="16" s="1"/>
  <c r="K71" i="16" s="1"/>
  <c r="M99" i="4"/>
  <c r="J88" i="16"/>
  <c r="K69" i="15"/>
  <c r="L117" i="4"/>
  <c r="L72" i="4" s="1"/>
  <c r="L116" i="4"/>
  <c r="K58" i="16" l="1"/>
  <c r="K98" i="16"/>
  <c r="K72" i="16"/>
  <c r="K73" i="16"/>
  <c r="M160" i="4"/>
  <c r="M42" i="4"/>
  <c r="M100" i="4"/>
  <c r="K97" i="16"/>
  <c r="K59" i="16"/>
  <c r="L21" i="16"/>
  <c r="L24" i="16" s="1"/>
  <c r="L36" i="16" s="1"/>
  <c r="L38" i="16" s="1"/>
  <c r="L41" i="16" s="1"/>
  <c r="L43" i="16" s="1"/>
  <c r="L80" i="4"/>
  <c r="L155" i="4"/>
  <c r="L28" i="16"/>
  <c r="L73" i="4"/>
  <c r="L87" i="4" s="1"/>
  <c r="L29" i="16"/>
  <c r="L154" i="4"/>
  <c r="K60" i="16"/>
  <c r="L31" i="16" l="1"/>
  <c r="L57" i="16" s="1"/>
  <c r="L70" i="16" s="1"/>
  <c r="L68" i="15"/>
  <c r="L88" i="4"/>
  <c r="L152" i="4"/>
  <c r="L84" i="4"/>
  <c r="L81" i="4"/>
  <c r="K88" i="16"/>
  <c r="M49" i="4"/>
  <c r="M50" i="4" s="1"/>
  <c r="M53" i="4" s="1"/>
  <c r="M120" i="4" s="1"/>
  <c r="M113" i="4"/>
  <c r="K89" i="16"/>
  <c r="L44" i="16"/>
  <c r="L48" i="16" s="1"/>
  <c r="M75" i="4"/>
  <c r="M161" i="4"/>
  <c r="M101" i="4"/>
  <c r="L45" i="16" l="1"/>
  <c r="L49" i="16" s="1"/>
  <c r="L69" i="16" s="1"/>
  <c r="L71" i="16" s="1"/>
  <c r="M124" i="4"/>
  <c r="M70" i="4" s="1"/>
  <c r="M123" i="4"/>
  <c r="L159" i="4"/>
  <c r="L56" i="16"/>
  <c r="L50" i="16"/>
  <c r="M56" i="4"/>
  <c r="N99" i="4"/>
  <c r="M116" i="4"/>
  <c r="M117" i="4"/>
  <c r="M72" i="4" s="1"/>
  <c r="L69" i="15"/>
  <c r="M155" i="4" l="1"/>
  <c r="M28" i="16"/>
  <c r="N42" i="4"/>
  <c r="N160" i="4"/>
  <c r="N100" i="4"/>
  <c r="M57" i="4"/>
  <c r="M60" i="4" s="1"/>
  <c r="M62" i="4" s="1"/>
  <c r="L98" i="16"/>
  <c r="L72" i="16"/>
  <c r="L73" i="16"/>
  <c r="L58" i="16"/>
  <c r="M154" i="4"/>
  <c r="M29" i="16"/>
  <c r="M73" i="4"/>
  <c r="M21" i="16" l="1"/>
  <c r="M24" i="16" s="1"/>
  <c r="M36" i="16" s="1"/>
  <c r="M38" i="16" s="1"/>
  <c r="M41" i="16" s="1"/>
  <c r="M43" i="16" s="1"/>
  <c r="M87" i="4"/>
  <c r="M80" i="4"/>
  <c r="N75" i="4"/>
  <c r="N161" i="4"/>
  <c r="N101" i="4"/>
  <c r="L89" i="16"/>
  <c r="N113" i="4"/>
  <c r="N49" i="4"/>
  <c r="N50" i="4" s="1"/>
  <c r="N53" i="4" s="1"/>
  <c r="N120" i="4" s="1"/>
  <c r="M31" i="16"/>
  <c r="L97" i="16"/>
  <c r="L59" i="16"/>
  <c r="L60" i="16"/>
  <c r="O99" i="4" l="1"/>
  <c r="N56" i="4"/>
  <c r="N57" i="4" s="1"/>
  <c r="N60" i="4" s="1"/>
  <c r="N62" i="4" s="1"/>
  <c r="M152" i="4"/>
  <c r="M84" i="4"/>
  <c r="M81" i="4"/>
  <c r="L88" i="16"/>
  <c r="M68" i="15"/>
  <c r="M88" i="4"/>
  <c r="M57" i="16"/>
  <c r="M70" i="16" s="1"/>
  <c r="N124" i="4"/>
  <c r="N70" i="4" s="1"/>
  <c r="N123" i="4"/>
  <c r="N117" i="4"/>
  <c r="N72" i="4" s="1"/>
  <c r="N116" i="4"/>
  <c r="M44" i="16"/>
  <c r="M48" i="16" s="1"/>
  <c r="N28" i="16" l="1"/>
  <c r="N155" i="4"/>
  <c r="M69" i="15"/>
  <c r="M56" i="16"/>
  <c r="M159" i="4"/>
  <c r="N29" i="16"/>
  <c r="N154" i="4"/>
  <c r="N73" i="4"/>
  <c r="N87" i="4" s="1"/>
  <c r="N21" i="16"/>
  <c r="N24" i="16" s="1"/>
  <c r="N36" i="16" s="1"/>
  <c r="N38" i="16" s="1"/>
  <c r="N41" i="16" s="1"/>
  <c r="N43" i="16" s="1"/>
  <c r="N80" i="4"/>
  <c r="M45" i="16"/>
  <c r="M49" i="16" s="1"/>
  <c r="M69" i="16" s="1"/>
  <c r="O42" i="4"/>
  <c r="O160" i="4"/>
  <c r="O100" i="4"/>
  <c r="M50" i="16" l="1"/>
  <c r="N44" i="16"/>
  <c r="N48" i="16" s="1"/>
  <c r="O75" i="4"/>
  <c r="O161" i="4"/>
  <c r="O101" i="4"/>
  <c r="N31" i="16"/>
  <c r="M71" i="16"/>
  <c r="N68" i="15"/>
  <c r="N152" i="4"/>
  <c r="N159" i="4" s="1"/>
  <c r="N84" i="4"/>
  <c r="M58" i="16"/>
  <c r="O49" i="4"/>
  <c r="O50" i="4" s="1"/>
  <c r="O53" i="4" s="1"/>
  <c r="O56" i="4" s="1"/>
  <c r="O57" i="4" s="1"/>
  <c r="O60" i="4" s="1"/>
  <c r="O62" i="4" s="1"/>
  <c r="O113" i="4"/>
  <c r="N88" i="4"/>
  <c r="N81" i="4"/>
  <c r="N45" i="16" l="1"/>
  <c r="N49" i="16" s="1"/>
  <c r="N69" i="16" s="1"/>
  <c r="M97" i="16"/>
  <c r="M59" i="16"/>
  <c r="M60" i="16"/>
  <c r="N69" i="15"/>
  <c r="N57" i="16"/>
  <c r="N70" i="16" s="1"/>
  <c r="P99" i="4"/>
  <c r="O120" i="4"/>
  <c r="N56" i="16"/>
  <c r="O21" i="16"/>
  <c r="O24" i="16" s="1"/>
  <c r="O36" i="16" s="1"/>
  <c r="O38" i="16" s="1"/>
  <c r="O41" i="16" s="1"/>
  <c r="O43" i="16" s="1"/>
  <c r="O80" i="4"/>
  <c r="O81" i="4" s="1"/>
  <c r="M98" i="16"/>
  <c r="M72" i="16"/>
  <c r="M73" i="16"/>
  <c r="O117" i="4"/>
  <c r="O72" i="4" s="1"/>
  <c r="O116" i="4"/>
  <c r="N71" i="16" l="1"/>
  <c r="N50" i="16"/>
  <c r="N98" i="16"/>
  <c r="N72" i="16"/>
  <c r="O124" i="4"/>
  <c r="O70" i="4" s="1"/>
  <c r="O123" i="4"/>
  <c r="P42" i="4"/>
  <c r="P160" i="4"/>
  <c r="P100" i="4"/>
  <c r="O155" i="4"/>
  <c r="O28" i="16"/>
  <c r="N73" i="16"/>
  <c r="M89" i="16"/>
  <c r="O84" i="4"/>
  <c r="O152" i="4"/>
  <c r="O159" i="4" s="1"/>
  <c r="M88" i="16"/>
  <c r="O44" i="16"/>
  <c r="O48" i="16" s="1"/>
  <c r="N58" i="16"/>
  <c r="N60" i="16" s="1"/>
  <c r="O45" i="16" l="1"/>
  <c r="O49" i="16" s="1"/>
  <c r="O69" i="16" s="1"/>
  <c r="N88" i="16"/>
  <c r="O73" i="4"/>
  <c r="O87" i="4" s="1"/>
  <c r="O154" i="4"/>
  <c r="O29" i="16"/>
  <c r="O31" i="16" s="1"/>
  <c r="O56" i="16"/>
  <c r="P75" i="4"/>
  <c r="P161" i="4"/>
  <c r="P101" i="4"/>
  <c r="N97" i="16"/>
  <c r="N59" i="16"/>
  <c r="N89" i="16"/>
  <c r="P113" i="4"/>
  <c r="P49" i="4"/>
  <c r="P50" i="4" s="1"/>
  <c r="P53" i="4" s="1"/>
  <c r="P120" i="4" s="1"/>
  <c r="O50" i="16" l="1"/>
  <c r="P124" i="4"/>
  <c r="P70" i="4" s="1"/>
  <c r="P123" i="4"/>
  <c r="O57" i="16"/>
  <c r="O70" i="16" s="1"/>
  <c r="O71" i="16" s="1"/>
  <c r="P56" i="4"/>
  <c r="P57" i="4" s="1"/>
  <c r="P60" i="4" s="1"/>
  <c r="P62" i="4" s="1"/>
  <c r="P116" i="4"/>
  <c r="P117" i="4"/>
  <c r="P72" i="4" s="1"/>
  <c r="O68" i="15"/>
  <c r="O69" i="15" s="1"/>
  <c r="O88" i="4"/>
  <c r="Q99" i="4"/>
  <c r="O58" i="16" l="1"/>
  <c r="O97" i="16" s="1"/>
  <c r="Q42" i="4"/>
  <c r="Q160" i="4"/>
  <c r="Q100" i="4"/>
  <c r="P155" i="4"/>
  <c r="P28" i="16"/>
  <c r="P21" i="16"/>
  <c r="P24" i="16" s="1"/>
  <c r="P36" i="16" s="1"/>
  <c r="P38" i="16" s="1"/>
  <c r="P41" i="16" s="1"/>
  <c r="P43" i="16" s="1"/>
  <c r="P80" i="4"/>
  <c r="O98" i="16"/>
  <c r="O72" i="16"/>
  <c r="O73" i="16"/>
  <c r="P154" i="4"/>
  <c r="P29" i="16"/>
  <c r="P73" i="4"/>
  <c r="P87" i="4" s="1"/>
  <c r="O60" i="16" l="1"/>
  <c r="O59" i="16"/>
  <c r="P68" i="15"/>
  <c r="P69" i="15" s="1"/>
  <c r="Q75" i="4"/>
  <c r="Q161" i="4"/>
  <c r="Q101" i="4"/>
  <c r="O89" i="16"/>
  <c r="P84" i="4"/>
  <c r="P152" i="4"/>
  <c r="P159" i="4" s="1"/>
  <c r="P81" i="4"/>
  <c r="P44" i="16"/>
  <c r="P48" i="16" s="1"/>
  <c r="Q113" i="4"/>
  <c r="Q49" i="4"/>
  <c r="Q50" i="4" s="1"/>
  <c r="Q53" i="4" s="1"/>
  <c r="Q120" i="4" s="1"/>
  <c r="O88" i="16"/>
  <c r="P31" i="16"/>
  <c r="P88" i="4"/>
  <c r="P45" i="16" l="1"/>
  <c r="P49" i="16" s="1"/>
  <c r="P69" i="16" s="1"/>
  <c r="Q56" i="4"/>
  <c r="Q57" i="4" s="1"/>
  <c r="Q60" i="4" s="1"/>
  <c r="Q62" i="4" s="1"/>
  <c r="Q123" i="4"/>
  <c r="Q124" i="4"/>
  <c r="Q70" i="4" s="1"/>
  <c r="P56" i="16"/>
  <c r="P57" i="16"/>
  <c r="P70" i="16" s="1"/>
  <c r="P71" i="16" s="1"/>
  <c r="Q117" i="4"/>
  <c r="Q72" i="4" s="1"/>
  <c r="Q116" i="4"/>
  <c r="R99" i="4"/>
  <c r="P50" i="16" l="1"/>
  <c r="P58" i="16"/>
  <c r="P60" i="16" s="1"/>
  <c r="P98" i="16"/>
  <c r="P72" i="16"/>
  <c r="P73" i="16"/>
  <c r="R42" i="4"/>
  <c r="R160" i="4"/>
  <c r="R100" i="4"/>
  <c r="Q154" i="4"/>
  <c r="Q29" i="16"/>
  <c r="Q73" i="4"/>
  <c r="Q21" i="16"/>
  <c r="Q24" i="16" s="1"/>
  <c r="Q36" i="16" s="1"/>
  <c r="Q38" i="16" s="1"/>
  <c r="Q41" i="16" s="1"/>
  <c r="Q43" i="16" s="1"/>
  <c r="Q80" i="4"/>
  <c r="Q87" i="4"/>
  <c r="P59" i="16"/>
  <c r="Q155" i="4"/>
  <c r="Q28" i="16"/>
  <c r="P97" i="16" l="1"/>
  <c r="Q152" i="4"/>
  <c r="Q159" i="4" s="1"/>
  <c r="Q84" i="4"/>
  <c r="Q81" i="4"/>
  <c r="P89" i="16"/>
  <c r="R49" i="4"/>
  <c r="R50" i="4" s="1"/>
  <c r="R53" i="4" s="1"/>
  <c r="R56" i="4" s="1"/>
  <c r="R57" i="4" s="1"/>
  <c r="R60" i="4" s="1"/>
  <c r="R62" i="4" s="1"/>
  <c r="R113" i="4"/>
  <c r="Q44" i="16"/>
  <c r="Q48" i="16" s="1"/>
  <c r="P88" i="16"/>
  <c r="R75" i="4"/>
  <c r="R161" i="4"/>
  <c r="R101" i="4"/>
  <c r="Q68" i="15"/>
  <c r="Q69" i="15" s="1"/>
  <c r="Q88" i="4"/>
  <c r="Q31" i="16"/>
  <c r="R120" i="4" l="1"/>
  <c r="R123" i="4" s="1"/>
  <c r="Q45" i="16"/>
  <c r="Q49" i="16" s="1"/>
  <c r="Q69" i="16" s="1"/>
  <c r="S99" i="4"/>
  <c r="Q57" i="16"/>
  <c r="Q70" i="16" s="1"/>
  <c r="R117" i="4"/>
  <c r="R72" i="4" s="1"/>
  <c r="R116" i="4"/>
  <c r="R21" i="16"/>
  <c r="R24" i="16" s="1"/>
  <c r="R36" i="16" s="1"/>
  <c r="R38" i="16" s="1"/>
  <c r="R41" i="16" s="1"/>
  <c r="R43" i="16" s="1"/>
  <c r="R80" i="4"/>
  <c r="R81" i="4" s="1"/>
  <c r="Q56" i="16"/>
  <c r="Q50" i="16" l="1"/>
  <c r="R124" i="4"/>
  <c r="R70" i="4" s="1"/>
  <c r="R154" i="4" s="1"/>
  <c r="Q71" i="16"/>
  <c r="Q98" i="16" s="1"/>
  <c r="Q72" i="16"/>
  <c r="Q73" i="16"/>
  <c r="Q58" i="16"/>
  <c r="R44" i="16"/>
  <c r="R48" i="16" s="1"/>
  <c r="R84" i="4"/>
  <c r="R152" i="4"/>
  <c r="R159" i="4" s="1"/>
  <c r="S42" i="4"/>
  <c r="S160" i="4"/>
  <c r="S100" i="4"/>
  <c r="R155" i="4"/>
  <c r="R28" i="16"/>
  <c r="R29" i="16" l="1"/>
  <c r="R73" i="4"/>
  <c r="R87" i="4" s="1"/>
  <c r="R88" i="4" s="1"/>
  <c r="R31" i="16"/>
  <c r="Q89" i="16"/>
  <c r="R56" i="16"/>
  <c r="S75" i="4"/>
  <c r="S161" i="4"/>
  <c r="S101" i="4"/>
  <c r="Q97" i="16"/>
  <c r="Q59" i="16"/>
  <c r="Q60" i="16"/>
  <c r="S49" i="4"/>
  <c r="S50" i="4" s="1"/>
  <c r="S53" i="4" s="1"/>
  <c r="S120" i="4" s="1"/>
  <c r="S113" i="4"/>
  <c r="R45" i="16"/>
  <c r="R49" i="16" s="1"/>
  <c r="R69" i="16" s="1"/>
  <c r="R68" i="15"/>
  <c r="R69" i="15" s="1"/>
  <c r="S56" i="4" l="1"/>
  <c r="S57" i="4" s="1"/>
  <c r="S60" i="4" s="1"/>
  <c r="S62" i="4" s="1"/>
  <c r="S80" i="4" s="1"/>
  <c r="S123" i="4"/>
  <c r="S124" i="4"/>
  <c r="S70" i="4" s="1"/>
  <c r="T99" i="4"/>
  <c r="S117" i="4"/>
  <c r="S72" i="4" s="1"/>
  <c r="S116" i="4"/>
  <c r="R50" i="16"/>
  <c r="Q88" i="16"/>
  <c r="R57" i="16"/>
  <c r="R70" i="16" s="1"/>
  <c r="R71" i="16" s="1"/>
  <c r="S21" i="16" l="1"/>
  <c r="S24" i="16" s="1"/>
  <c r="S36" i="16" s="1"/>
  <c r="S38" i="16" s="1"/>
  <c r="S41" i="16" s="1"/>
  <c r="S43" i="16" s="1"/>
  <c r="S44" i="16" s="1"/>
  <c r="R98" i="16"/>
  <c r="R72" i="16"/>
  <c r="R73" i="16"/>
  <c r="S152" i="4"/>
  <c r="S159" i="4" s="1"/>
  <c r="S84" i="4"/>
  <c r="S81" i="4"/>
  <c r="S155" i="4"/>
  <c r="S28" i="16"/>
  <c r="R58" i="16"/>
  <c r="S154" i="4"/>
  <c r="S29" i="16"/>
  <c r="S73" i="4"/>
  <c r="S87" i="4" s="1"/>
  <c r="T42" i="4"/>
  <c r="T160" i="4"/>
  <c r="T100" i="4"/>
  <c r="S48" i="16" l="1"/>
  <c r="S56" i="16" s="1"/>
  <c r="S45" i="16"/>
  <c r="S49" i="16" s="1"/>
  <c r="S69" i="16" s="1"/>
  <c r="S31" i="16"/>
  <c r="S57" i="16" s="1"/>
  <c r="S70" i="16" s="1"/>
  <c r="S71" i="16" s="1"/>
  <c r="S68" i="15"/>
  <c r="S69" i="15" s="1"/>
  <c r="S88" i="4"/>
  <c r="T113" i="4"/>
  <c r="T49" i="4"/>
  <c r="T50" i="4" s="1"/>
  <c r="T53" i="4" s="1"/>
  <c r="T120" i="4" s="1"/>
  <c r="R97" i="16"/>
  <c r="R59" i="16"/>
  <c r="R60" i="16"/>
  <c r="R89" i="16"/>
  <c r="T75" i="4"/>
  <c r="T161" i="4"/>
  <c r="T101" i="4"/>
  <c r="S58" i="16" l="1"/>
  <c r="S60" i="16" s="1"/>
  <c r="S50" i="16"/>
  <c r="T56" i="4"/>
  <c r="T57" i="4" s="1"/>
  <c r="T60" i="4" s="1"/>
  <c r="T62" i="4" s="1"/>
  <c r="T21" i="16" s="1"/>
  <c r="T24" i="16" s="1"/>
  <c r="T36" i="16" s="1"/>
  <c r="T38" i="16" s="1"/>
  <c r="T41" i="16" s="1"/>
  <c r="T43" i="16" s="1"/>
  <c r="R88" i="16"/>
  <c r="U99" i="4"/>
  <c r="T123" i="4"/>
  <c r="T124" i="4"/>
  <c r="T70" i="4" s="1"/>
  <c r="T117" i="4"/>
  <c r="T72" i="4" s="1"/>
  <c r="T116" i="4"/>
  <c r="S98" i="16"/>
  <c r="S72" i="16"/>
  <c r="S73" i="16"/>
  <c r="S59" i="16" l="1"/>
  <c r="S97" i="16"/>
  <c r="T80" i="4"/>
  <c r="T81" i="4" s="1"/>
  <c r="U42" i="4"/>
  <c r="U160" i="4"/>
  <c r="U100" i="4"/>
  <c r="T154" i="4"/>
  <c r="T29" i="16"/>
  <c r="T73" i="4"/>
  <c r="T87" i="4" s="1"/>
  <c r="T44" i="16"/>
  <c r="T48" i="16" s="1"/>
  <c r="S88" i="16"/>
  <c r="S89" i="16"/>
  <c r="T155" i="4"/>
  <c r="T28" i="16"/>
  <c r="T84" i="4" l="1"/>
  <c r="T152" i="4"/>
  <c r="T159" i="4" s="1"/>
  <c r="T68" i="15"/>
  <c r="T69" i="15" s="1"/>
  <c r="T88" i="4"/>
  <c r="T56" i="16"/>
  <c r="T45" i="16"/>
  <c r="T49" i="16" s="1"/>
  <c r="T69" i="16" s="1"/>
  <c r="U75" i="4"/>
  <c r="U161" i="4"/>
  <c r="U101" i="4"/>
  <c r="T31" i="16"/>
  <c r="U49" i="4"/>
  <c r="U50" i="4" s="1"/>
  <c r="U53" i="4" s="1"/>
  <c r="U120" i="4" s="1"/>
  <c r="U113" i="4"/>
  <c r="T57" i="16" l="1"/>
  <c r="T58" i="16" s="1"/>
  <c r="U123" i="4"/>
  <c r="U124" i="4"/>
  <c r="U70" i="4" s="1"/>
  <c r="V99" i="4"/>
  <c r="U56" i="4"/>
  <c r="U117" i="4"/>
  <c r="U72" i="4" s="1"/>
  <c r="U116" i="4"/>
  <c r="T50" i="16"/>
  <c r="T70" i="16" l="1"/>
  <c r="T71" i="16" s="1"/>
  <c r="T97" i="16"/>
  <c r="T59" i="16"/>
  <c r="T60" i="16"/>
  <c r="V42" i="4"/>
  <c r="V160" i="4"/>
  <c r="V100" i="4"/>
  <c r="U155" i="4"/>
  <c r="U28" i="16"/>
  <c r="U154" i="4"/>
  <c r="U29" i="16"/>
  <c r="U73" i="4"/>
  <c r="T98" i="16"/>
  <c r="T72" i="16"/>
  <c r="T73" i="16"/>
  <c r="U57" i="4"/>
  <c r="U60" i="4" s="1"/>
  <c r="U62" i="4" s="1"/>
  <c r="U31" i="16" l="1"/>
  <c r="U21" i="16"/>
  <c r="U24" i="16" s="1"/>
  <c r="U36" i="16" s="1"/>
  <c r="U38" i="16" s="1"/>
  <c r="U41" i="16" s="1"/>
  <c r="U43" i="16" s="1"/>
  <c r="U80" i="4"/>
  <c r="U87" i="4"/>
  <c r="T89" i="16"/>
  <c r="V75" i="4"/>
  <c r="V161" i="4"/>
  <c r="V101" i="4"/>
  <c r="V113" i="4"/>
  <c r="V49" i="4"/>
  <c r="V50" i="4" s="1"/>
  <c r="V53" i="4" s="1"/>
  <c r="V120" i="4" s="1"/>
  <c r="T88" i="16"/>
  <c r="U57" i="16"/>
  <c r="U70" i="16" s="1"/>
  <c r="V56" i="4" l="1"/>
  <c r="V57" i="4" s="1"/>
  <c r="V60" i="4" s="1"/>
  <c r="V62" i="4" s="1"/>
  <c r="V21" i="16" s="1"/>
  <c r="V24" i="16" s="1"/>
  <c r="V36" i="16" s="1"/>
  <c r="V38" i="16" s="1"/>
  <c r="V41" i="16" s="1"/>
  <c r="V43" i="16" s="1"/>
  <c r="W99" i="4"/>
  <c r="U68" i="15"/>
  <c r="U69" i="15" s="1"/>
  <c r="U88" i="4"/>
  <c r="V124" i="4"/>
  <c r="V70" i="4" s="1"/>
  <c r="V123" i="4"/>
  <c r="U152" i="4"/>
  <c r="U159" i="4" s="1"/>
  <c r="U84" i="4"/>
  <c r="U81" i="4"/>
  <c r="V117" i="4"/>
  <c r="V72" i="4" s="1"/>
  <c r="V116" i="4"/>
  <c r="U44" i="16"/>
  <c r="U48" i="16" s="1"/>
  <c r="V80" i="4" l="1"/>
  <c r="V152" i="4" s="1"/>
  <c r="V159" i="4" s="1"/>
  <c r="U45" i="16"/>
  <c r="U49" i="16" s="1"/>
  <c r="U69" i="16" s="1"/>
  <c r="U71" i="16" s="1"/>
  <c r="U98" i="16" s="1"/>
  <c r="V81" i="4"/>
  <c r="V29" i="16"/>
  <c r="V73" i="4"/>
  <c r="V87" i="4" s="1"/>
  <c r="V88" i="4" s="1"/>
  <c r="V154" i="4"/>
  <c r="V44" i="16"/>
  <c r="V48" i="16" s="1"/>
  <c r="V84" i="4"/>
  <c r="U56" i="16"/>
  <c r="U58" i="16" s="1"/>
  <c r="V155" i="4"/>
  <c r="V28" i="16"/>
  <c r="W42" i="4"/>
  <c r="W160" i="4"/>
  <c r="W100" i="4"/>
  <c r="V31" i="16" l="1"/>
  <c r="U72" i="16"/>
  <c r="U50" i="16"/>
  <c r="U73" i="16"/>
  <c r="U89" i="16" s="1"/>
  <c r="V57" i="16"/>
  <c r="V70" i="16" s="1"/>
  <c r="V45" i="16"/>
  <c r="V49" i="16" s="1"/>
  <c r="V69" i="16" s="1"/>
  <c r="U97" i="16"/>
  <c r="U59" i="16"/>
  <c r="U60" i="16"/>
  <c r="W113" i="4"/>
  <c r="W49" i="4"/>
  <c r="W50" i="4" s="1"/>
  <c r="W53" i="4" s="1"/>
  <c r="W120" i="4" s="1"/>
  <c r="V56" i="16"/>
  <c r="W75" i="4"/>
  <c r="W161" i="4"/>
  <c r="W101" i="4"/>
  <c r="V68" i="15"/>
  <c r="V69" i="15" s="1"/>
  <c r="V58" i="16" l="1"/>
  <c r="V59" i="16" s="1"/>
  <c r="V71" i="16"/>
  <c r="V73" i="16" s="1"/>
  <c r="V89" i="16" s="1"/>
  <c r="V50" i="16"/>
  <c r="W56" i="4"/>
  <c r="W57" i="4" s="1"/>
  <c r="W60" i="4" s="1"/>
  <c r="W62" i="4" s="1"/>
  <c r="W21" i="16" s="1"/>
  <c r="W24" i="16" s="1"/>
  <c r="W36" i="16" s="1"/>
  <c r="W38" i="16" s="1"/>
  <c r="W41" i="16" s="1"/>
  <c r="W43" i="16" s="1"/>
  <c r="W116" i="4"/>
  <c r="W117" i="4"/>
  <c r="W72" i="4" s="1"/>
  <c r="U88" i="16"/>
  <c r="V60" i="16"/>
  <c r="V97" i="16"/>
  <c r="C106" i="4"/>
  <c r="P31" i="1" s="1"/>
  <c r="X99" i="4"/>
  <c r="W124" i="4"/>
  <c r="W70" i="4" s="1"/>
  <c r="W123" i="4"/>
  <c r="V72" i="16" l="1"/>
  <c r="V98" i="16"/>
  <c r="W80" i="4"/>
  <c r="W81" i="4" s="1"/>
  <c r="W44" i="16"/>
  <c r="W48" i="16" s="1"/>
  <c r="X42" i="4"/>
  <c r="X160" i="4"/>
  <c r="X100" i="4"/>
  <c r="V88" i="16"/>
  <c r="W28" i="16"/>
  <c r="W155" i="4"/>
  <c r="W29" i="16"/>
  <c r="W154" i="4"/>
  <c r="W73" i="4"/>
  <c r="W87" i="4" s="1"/>
  <c r="W84" i="4" l="1"/>
  <c r="W45" i="16"/>
  <c r="W49" i="16" s="1"/>
  <c r="W69" i="16" s="1"/>
  <c r="W152" i="4"/>
  <c r="W159" i="4" s="1"/>
  <c r="W31" i="16"/>
  <c r="W57" i="16" s="1"/>
  <c r="W70" i="16" s="1"/>
  <c r="W71" i="16" s="1"/>
  <c r="W68" i="15"/>
  <c r="W69" i="15" s="1"/>
  <c r="W88" i="4"/>
  <c r="X113" i="4"/>
  <c r="X49" i="4"/>
  <c r="X50" i="4" s="1"/>
  <c r="X53" i="4" s="1"/>
  <c r="X120" i="4" s="1"/>
  <c r="X75" i="4"/>
  <c r="X161" i="4"/>
  <c r="X101" i="4"/>
  <c r="W56" i="16"/>
  <c r="W50" i="16" l="1"/>
  <c r="X124" i="4"/>
  <c r="X70" i="4" s="1"/>
  <c r="X123" i="4"/>
  <c r="X117" i="4"/>
  <c r="X72" i="4" s="1"/>
  <c r="X116" i="4"/>
  <c r="Y99" i="4"/>
  <c r="W98" i="16"/>
  <c r="W72" i="16"/>
  <c r="W73" i="16"/>
  <c r="W58" i="16"/>
  <c r="X56" i="4"/>
  <c r="X57" i="4" s="1"/>
  <c r="X60" i="4" s="1"/>
  <c r="X62" i="4" s="1"/>
  <c r="X21" i="16" l="1"/>
  <c r="X24" i="16" s="1"/>
  <c r="X36" i="16" s="1"/>
  <c r="X38" i="16" s="1"/>
  <c r="X41" i="16" s="1"/>
  <c r="X43" i="16" s="1"/>
  <c r="X80" i="4"/>
  <c r="Y42" i="4"/>
  <c r="Y100" i="4"/>
  <c r="Y160" i="4"/>
  <c r="W97" i="16"/>
  <c r="W59" i="16"/>
  <c r="W60" i="16"/>
  <c r="X28" i="16"/>
  <c r="X155" i="4"/>
  <c r="W89" i="16"/>
  <c r="X29" i="16"/>
  <c r="X73" i="4"/>
  <c r="X87" i="4" s="1"/>
  <c r="X154" i="4"/>
  <c r="X31" i="16" l="1"/>
  <c r="X68" i="15"/>
  <c r="X69" i="15" s="1"/>
  <c r="X88" i="4"/>
  <c r="X57" i="16"/>
  <c r="X70" i="16" s="1"/>
  <c r="Y75" i="4"/>
  <c r="Y161" i="4"/>
  <c r="Y101" i="4"/>
  <c r="Y113" i="4"/>
  <c r="Y49" i="4"/>
  <c r="Y50" i="4" s="1"/>
  <c r="Y53" i="4" s="1"/>
  <c r="Y56" i="4" s="1"/>
  <c r="Y57" i="4" s="1"/>
  <c r="Y60" i="4" s="1"/>
  <c r="Y62" i="4" s="1"/>
  <c r="X84" i="4"/>
  <c r="X152" i="4"/>
  <c r="X159" i="4" s="1"/>
  <c r="X81" i="4"/>
  <c r="W88" i="16"/>
  <c r="X44" i="16"/>
  <c r="X48" i="16" s="1"/>
  <c r="X45" i="16" l="1"/>
  <c r="X49" i="16" s="1"/>
  <c r="X69" i="16" s="1"/>
  <c r="X71" i="16" s="1"/>
  <c r="Y120" i="4"/>
  <c r="X56" i="16"/>
  <c r="X58" i="16" s="1"/>
  <c r="Z99" i="4"/>
  <c r="Y21" i="16"/>
  <c r="Y24" i="16" s="1"/>
  <c r="Y36" i="16" s="1"/>
  <c r="Y38" i="16" s="1"/>
  <c r="Y41" i="16" s="1"/>
  <c r="Y43" i="16" s="1"/>
  <c r="Y80" i="4"/>
  <c r="Y116" i="4"/>
  <c r="Y117" i="4"/>
  <c r="Y72" i="4" s="1"/>
  <c r="X50" i="16" l="1"/>
  <c r="Y84" i="4"/>
  <c r="Y152" i="4"/>
  <c r="Y159" i="4" s="1"/>
  <c r="Y44" i="16"/>
  <c r="Y48" i="16" s="1"/>
  <c r="Y81" i="4"/>
  <c r="Z42" i="4"/>
  <c r="Z100" i="4"/>
  <c r="Z160" i="4"/>
  <c r="X98" i="16"/>
  <c r="X72" i="16"/>
  <c r="X73" i="16"/>
  <c r="Y28" i="16"/>
  <c r="Y155" i="4"/>
  <c r="X97" i="16"/>
  <c r="X59" i="16"/>
  <c r="X60" i="16"/>
  <c r="Y124" i="4"/>
  <c r="Y70" i="4" s="1"/>
  <c r="Y123" i="4"/>
  <c r="Y45" i="16" l="1"/>
  <c r="Y49" i="16" s="1"/>
  <c r="Y69" i="16" s="1"/>
  <c r="X88" i="16"/>
  <c r="Z113" i="4"/>
  <c r="Z49" i="4"/>
  <c r="Z50" i="4" s="1"/>
  <c r="Z53" i="4" s="1"/>
  <c r="Z120" i="4" s="1"/>
  <c r="X89" i="16"/>
  <c r="Z75" i="4"/>
  <c r="Z161" i="4"/>
  <c r="Z101" i="4"/>
  <c r="Y56" i="16"/>
  <c r="Y29" i="16"/>
  <c r="Y31" i="16" s="1"/>
  <c r="Y154" i="4"/>
  <c r="Y73" i="4"/>
  <c r="Y87" i="4" s="1"/>
  <c r="Y50" i="16" l="1"/>
  <c r="Y57" i="16"/>
  <c r="Y58" i="16" s="1"/>
  <c r="Z56" i="4"/>
  <c r="Z57" i="4" s="1"/>
  <c r="Z60" i="4" s="1"/>
  <c r="Z62" i="4" s="1"/>
  <c r="Z124" i="4"/>
  <c r="Z70" i="4" s="1"/>
  <c r="Z123" i="4"/>
  <c r="AA99" i="4"/>
  <c r="Z117" i="4"/>
  <c r="Z72" i="4" s="1"/>
  <c r="Z116" i="4"/>
  <c r="Y68" i="15"/>
  <c r="Y69" i="15" s="1"/>
  <c r="Y88" i="4"/>
  <c r="Y70" i="16" l="1"/>
  <c r="Y71" i="16" s="1"/>
  <c r="Y98" i="16" s="1"/>
  <c r="Z73" i="4"/>
  <c r="Z87" i="4" s="1"/>
  <c r="Z154" i="4"/>
  <c r="Z29" i="16"/>
  <c r="AA42" i="4"/>
  <c r="AA160" i="4"/>
  <c r="AA100" i="4"/>
  <c r="Z21" i="16"/>
  <c r="Z24" i="16" s="1"/>
  <c r="Z36" i="16" s="1"/>
  <c r="Z38" i="16" s="1"/>
  <c r="Z41" i="16" s="1"/>
  <c r="Z43" i="16" s="1"/>
  <c r="Z80" i="4"/>
  <c r="Y97" i="16"/>
  <c r="Y59" i="16"/>
  <c r="Y60" i="16"/>
  <c r="Z28" i="16"/>
  <c r="Z155" i="4"/>
  <c r="Y72" i="16" l="1"/>
  <c r="Y73" i="16"/>
  <c r="Y89" i="16" s="1"/>
  <c r="Z31" i="16"/>
  <c r="Y88" i="16"/>
  <c r="AA75" i="4"/>
  <c r="AA161" i="4"/>
  <c r="AA101" i="4"/>
  <c r="AA113" i="4"/>
  <c r="AA49" i="4"/>
  <c r="AA50" i="4" s="1"/>
  <c r="AA53" i="4" s="1"/>
  <c r="AA120" i="4" s="1"/>
  <c r="Z152" i="4"/>
  <c r="Z159" i="4" s="1"/>
  <c r="Z84" i="4"/>
  <c r="Z81" i="4"/>
  <c r="Z68" i="15"/>
  <c r="Z69" i="15" s="1"/>
  <c r="Z44" i="16"/>
  <c r="Z48" i="16" s="1"/>
  <c r="Z57" i="16"/>
  <c r="Z70" i="16" s="1"/>
  <c r="Z88" i="4"/>
  <c r="Z45" i="16" l="1"/>
  <c r="Z49" i="16" s="1"/>
  <c r="Z69" i="16" s="1"/>
  <c r="Z71" i="16" s="1"/>
  <c r="AA56" i="4"/>
  <c r="AA57" i="4" s="1"/>
  <c r="AA60" i="4" s="1"/>
  <c r="AA62" i="4" s="1"/>
  <c r="AB99" i="4"/>
  <c r="Z56" i="16"/>
  <c r="Z58" i="16" s="1"/>
  <c r="AA124" i="4"/>
  <c r="AA70" i="4" s="1"/>
  <c r="AA123" i="4"/>
  <c r="AA116" i="4"/>
  <c r="AA117" i="4"/>
  <c r="AA72" i="4" s="1"/>
  <c r="Z50" i="16" l="1"/>
  <c r="AA29" i="16"/>
  <c r="AA73" i="4"/>
  <c r="AA154" i="4"/>
  <c r="Z97" i="16"/>
  <c r="Z59" i="16"/>
  <c r="Z60" i="16"/>
  <c r="Z98" i="16"/>
  <c r="Z72" i="16"/>
  <c r="Z73" i="16"/>
  <c r="AB42" i="4"/>
  <c r="AB100" i="4"/>
  <c r="AB160" i="4"/>
  <c r="AA155" i="4"/>
  <c r="AA28" i="16"/>
  <c r="AA31" i="16" s="1"/>
  <c r="AA21" i="16"/>
  <c r="AA24" i="16" s="1"/>
  <c r="AA36" i="16" s="1"/>
  <c r="AA38" i="16" s="1"/>
  <c r="AA41" i="16" s="1"/>
  <c r="AA43" i="16" s="1"/>
  <c r="AA87" i="4"/>
  <c r="AA80" i="4"/>
  <c r="AA88" i="4" l="1"/>
  <c r="AA68" i="15"/>
  <c r="AA69" i="15" s="1"/>
  <c r="AA44" i="16"/>
  <c r="AA48" i="16" s="1"/>
  <c r="AA57" i="16"/>
  <c r="AA70" i="16" s="1"/>
  <c r="Z88" i="16"/>
  <c r="AB75" i="4"/>
  <c r="AB161" i="4"/>
  <c r="AB101" i="4"/>
  <c r="AB113" i="4"/>
  <c r="AB49" i="4"/>
  <c r="AB50" i="4" s="1"/>
  <c r="AB53" i="4" s="1"/>
  <c r="AB120" i="4" s="1"/>
  <c r="AA152" i="4"/>
  <c r="AA159" i="4" s="1"/>
  <c r="AA84" i="4"/>
  <c r="AA81" i="4"/>
  <c r="Z89" i="16"/>
  <c r="AA56" i="16" l="1"/>
  <c r="AA58" i="16" s="1"/>
  <c r="AB124" i="4"/>
  <c r="AB70" i="4" s="1"/>
  <c r="AB123" i="4"/>
  <c r="AB56" i="4"/>
  <c r="AB57" i="4" s="1"/>
  <c r="AB60" i="4" s="1"/>
  <c r="AB62" i="4" s="1"/>
  <c r="AB117" i="4"/>
  <c r="AB72" i="4" s="1"/>
  <c r="AB116" i="4"/>
  <c r="AA45" i="16"/>
  <c r="AA49" i="16" s="1"/>
  <c r="AA69" i="16" s="1"/>
  <c r="AA71" i="16" s="1"/>
  <c r="AA50" i="16" l="1"/>
  <c r="AB21" i="16"/>
  <c r="AB80" i="4"/>
  <c r="AB155" i="4"/>
  <c r="E140" i="4" s="1"/>
  <c r="AB28" i="16"/>
  <c r="AB29" i="16"/>
  <c r="AB154" i="4"/>
  <c r="E139" i="4" s="1"/>
  <c r="AB73" i="4"/>
  <c r="AB87" i="4" s="1"/>
  <c r="AA98" i="16"/>
  <c r="AA72" i="16"/>
  <c r="AA73" i="16"/>
  <c r="AA97" i="16"/>
  <c r="AA59" i="16"/>
  <c r="AA60" i="16"/>
  <c r="T31" i="15" l="1"/>
  <c r="AB31" i="15"/>
  <c r="AA31" i="15"/>
  <c r="AB68" i="15"/>
  <c r="C89" i="4"/>
  <c r="P25" i="1" s="1"/>
  <c r="C90" i="4"/>
  <c r="P26" i="1" s="1"/>
  <c r="J31" i="15"/>
  <c r="K31" i="15"/>
  <c r="L31" i="15"/>
  <c r="M31" i="15"/>
  <c r="N31" i="15"/>
  <c r="O31" i="15"/>
  <c r="P31" i="15"/>
  <c r="Q31" i="15"/>
  <c r="R31" i="15"/>
  <c r="S31" i="15"/>
  <c r="U31" i="15"/>
  <c r="Z31" i="15"/>
  <c r="W31" i="15"/>
  <c r="V31" i="15"/>
  <c r="X31" i="15"/>
  <c r="Y31" i="15"/>
  <c r="AB88" i="4"/>
  <c r="AA89" i="16"/>
  <c r="AB23" i="16"/>
  <c r="AB24" i="16" s="1"/>
  <c r="AB36" i="16" s="1"/>
  <c r="AB38" i="16" s="1"/>
  <c r="AB41" i="16" s="1"/>
  <c r="AB43" i="16" s="1"/>
  <c r="AB152" i="4"/>
  <c r="AB84" i="4"/>
  <c r="C84" i="4" s="1"/>
  <c r="C82" i="4"/>
  <c r="C83" i="4"/>
  <c r="P27" i="1" s="1"/>
  <c r="AB81" i="4"/>
  <c r="AA88" i="16"/>
  <c r="AB31" i="16"/>
  <c r="P41" i="1" l="1"/>
  <c r="K50" i="15"/>
  <c r="K53" i="15" s="1"/>
  <c r="K34" i="15"/>
  <c r="R34" i="15"/>
  <c r="R50" i="15"/>
  <c r="R53" i="15" s="1"/>
  <c r="C59" i="15" s="1"/>
  <c r="C87" i="15" s="1"/>
  <c r="P59" i="1"/>
  <c r="P30" i="1"/>
  <c r="Q50" i="15"/>
  <c r="Q53" i="15" s="1"/>
  <c r="Q34" i="15"/>
  <c r="X50" i="15"/>
  <c r="X53" i="15" s="1"/>
  <c r="X34" i="15"/>
  <c r="P34" i="15"/>
  <c r="P50" i="15"/>
  <c r="P53" i="15" s="1"/>
  <c r="V50" i="15"/>
  <c r="V53" i="15" s="1"/>
  <c r="V34" i="15"/>
  <c r="N34" i="15"/>
  <c r="N50" i="15"/>
  <c r="N53" i="15" s="1"/>
  <c r="AA34" i="15"/>
  <c r="AA50" i="15"/>
  <c r="AA53" i="15" s="1"/>
  <c r="AB159" i="4"/>
  <c r="E137" i="4"/>
  <c r="E141" i="4" s="1"/>
  <c r="AB44" i="16"/>
  <c r="AB48" i="16" s="1"/>
  <c r="O50" i="15"/>
  <c r="O53" i="15" s="1"/>
  <c r="O34" i="15"/>
  <c r="M34" i="15"/>
  <c r="AA60" i="1" s="1"/>
  <c r="M50" i="15"/>
  <c r="M53" i="15" s="1"/>
  <c r="C58" i="15" s="1"/>
  <c r="AB50" i="15"/>
  <c r="AB53" i="15" s="1"/>
  <c r="C61" i="15" s="1"/>
  <c r="C89" i="15" s="1"/>
  <c r="AB34" i="15"/>
  <c r="S50" i="15"/>
  <c r="S53" i="15" s="1"/>
  <c r="S34" i="15"/>
  <c r="J34" i="15"/>
  <c r="Z60" i="1" s="1"/>
  <c r="J50" i="15"/>
  <c r="J53" i="15" s="1"/>
  <c r="C57" i="15" s="1"/>
  <c r="Y34" i="15"/>
  <c r="Y50" i="15"/>
  <c r="Y53" i="15" s="1"/>
  <c r="AB57" i="16"/>
  <c r="AB70" i="16" s="1"/>
  <c r="AB69" i="15"/>
  <c r="C71" i="15" s="1"/>
  <c r="Z67" i="1" s="1"/>
  <c r="C70" i="15"/>
  <c r="W50" i="15"/>
  <c r="W53" i="15" s="1"/>
  <c r="C60" i="15" s="1"/>
  <c r="C88" i="15" s="1"/>
  <c r="W34" i="15"/>
  <c r="Z34" i="15"/>
  <c r="Z50" i="15"/>
  <c r="Z53" i="15" s="1"/>
  <c r="U50" i="15"/>
  <c r="U53" i="15" s="1"/>
  <c r="U34" i="15"/>
  <c r="L50" i="15"/>
  <c r="L53" i="15" s="1"/>
  <c r="L34" i="15"/>
  <c r="T34" i="15"/>
  <c r="T50" i="15"/>
  <c r="T53" i="15" s="1"/>
  <c r="AB45" i="16" l="1"/>
  <c r="AB49" i="16" s="1"/>
  <c r="AB69" i="16" s="1"/>
  <c r="AB71" i="16" s="1"/>
  <c r="C93" i="1"/>
  <c r="Z66" i="1"/>
  <c r="D137" i="4"/>
  <c r="D138" i="4"/>
  <c r="D139" i="4"/>
  <c r="D140" i="4"/>
  <c r="Z62" i="1"/>
  <c r="C85" i="15"/>
  <c r="C76" i="16"/>
  <c r="C77" i="16"/>
  <c r="O53" i="1" s="1"/>
  <c r="AA62" i="1"/>
  <c r="C86" i="15"/>
  <c r="AB56" i="16"/>
  <c r="AB50" i="16" l="1"/>
  <c r="AB98" i="16"/>
  <c r="AB72" i="16"/>
  <c r="C74" i="16"/>
  <c r="O52" i="1" s="1"/>
  <c r="C75" i="16"/>
  <c r="O51" i="1" s="1"/>
  <c r="AB73" i="16"/>
  <c r="AB89" i="16" s="1"/>
  <c r="AB58" i="16"/>
  <c r="C63" i="16"/>
  <c r="C64" i="16"/>
  <c r="P53" i="1" s="1"/>
  <c r="D141" i="4"/>
  <c r="AB97" i="16" l="1"/>
  <c r="AB59" i="16"/>
  <c r="C62" i="16"/>
  <c r="P51" i="1" s="1"/>
  <c r="P70" i="1" s="1"/>
  <c r="C61" i="16"/>
  <c r="P52" i="1" s="1"/>
  <c r="AB60" i="16"/>
  <c r="AB88"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tc={81492B46-B2FE-214D-91DD-D3998E01C80E}</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81492B46-B2FE-214D-91DD-D3998E01C80E}">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<sst xmlns="http://schemas.openxmlformats.org/spreadsheetml/2006/main" count="591" uniqueCount="477">
  <si>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</si>
  <si>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</si>
  <si>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</si>
  <si>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</si>
  <si>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</si>
  <si>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</si>
  <si>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</si>
  <si>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</si>
  <si>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</si>
  <si>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</si>
  <si>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</si>
  <si>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</si>
  <si>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</si>
  <si>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</si>
  <si>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</si>
  <si>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</si>
  <si>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</si>
  <si>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</si>
  <si>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</si>
  <si>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</si>
  <si>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</si>
  <si>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</si>
  <si>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</si>
  <si>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</si>
  <si>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</si>
  <si>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</si>
  <si>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</si>
  <si>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</si>
  <si>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</si>
  <si>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</si>
  <si>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</si>
  <si>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</si>
  <si>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</si>
  <si>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</si>
  <si>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</si>
  <si>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</si>
  <si>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</si>
  <si>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</si>
  <si>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</si>
  <si>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</si>
  <si>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</si>
  <si>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</si>
  <si>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</si>
  <si>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</si>
  <si>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</si>
  <si>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</si>
  <si>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</si>
  <si>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</si>
  <si>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</si>
  <si>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</si>
  <si>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</si>
  <si>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</si>
  <si>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</si>
  <si>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</si>
  <si>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</si>
  <si>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</si>
  <si>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</si>
  <si>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</si>
  <si>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</si>
  <si>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</si>
  <si>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</si>
  <si>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</si>
  <si>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</si>
  <si>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</si>
  <si>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</si>
  <si>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</si>
  <si>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</si>
  <si>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</si>
  <si>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</si>
  <si>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</si>
  <si>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</si>
  <si>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</si>
  <si>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</si>
  <si>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</si>
  <si>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</si>
  <si>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</si>
  <si>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</si>
  <si>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</si>
  <si>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</si>
  <si>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</si>
  <si>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</si>
  <si>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</si>
  <si>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</si>
  <si>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</si>
  <si>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</si>
  <si>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</si>
  <si>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</si>
  <si>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</si>
  <si>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</si>
  <si>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</si>
  <si>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</si>
  <si>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</si>
  <si>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</si>
  <si>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</si>
  <si>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</si>
  <si>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</si>
  <si>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</si>
  <si>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</si>
  <si>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</si>
  <si>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</si>
  <si>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</si>
  <si>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</si>
  <si>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</si>
  <si>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</si>
  <si>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</si>
  <si>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</si>
  <si>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</si>
  <si>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</si>
  <si>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</si>
  <si>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</si>
  <si>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</si>
  <si>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</si>
  <si>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</si>
  <si>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</si>
  <si>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</si>
  <si>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</si>
  <si>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</si>
  <si>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</si>
  <si>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</si>
  <si>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</si>
  <si>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</si>
  <si>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</si>
  <si>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</si>
  <si>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</si>
  <si>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</si>
  <si>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</si>
  <si>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</si>
  <si>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</si>
  <si>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</si>
  <si>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</si>
  <si>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</si>
  <si>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</si>
  <si>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</si>
  <si>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</si>
  <si>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</si>
  <si>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</si>
  <si>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</si>
  <si>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</si>
  <si>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</si>
  <si>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</si>
  <si>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</si>
  <si>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</si>
  <si>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</si>
  <si>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</si>
  <si>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</si>
  <si>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</si>
  <si>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</si>
  <si>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</si>
  <si>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</si>
  <si>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</si>
  <si>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</si>
  <si>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</si>
  <si>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</si>
  <si>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</si>
  <si>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</si>
  <si>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</si>
  <si>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</si>
  <si>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</si>
  <si>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</si>
  <si>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</si>
  <si>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</si>
  <si>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</si>
  <si>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</si>
  <si>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</si>
  <si>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</si>
  <si>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</si>
  <si>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</si>
  <si>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</si>
  <si>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</si>
  <si>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</si>
  <si>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</si>
  <si>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</si>
  <si>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</si>
  <si>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</si>
  <si>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</si>
  <si>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</si>
  <si>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</si>
  <si>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</si>
  <si>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</si>
  <si>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</si>
  <si>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</si>
  <si>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</si>
  <si>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</si>
  <si>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</si>
  <si>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</si>
  <si>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</si>
  <si>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</si>
  <si>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</si>
  <si>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</si>
  <si>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</si>
  <si>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</si>
  <si>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</si>
  <si>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</si>
  <si>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</si>
  <si>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</si>
  <si>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</si>
  <si>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</si>
  <si>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</si>
  <si>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</si>
  <si>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</si>
  <si>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</si>
  <si>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</si>
  <si>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</si>
  <si>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</si>
  <si>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</si>
  <si>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</si>
  <si>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</si>
  <si>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</si>
  <si>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</si>
  <si>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</si>
  <si>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</si>
  <si>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</si>
  <si>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</si>
  <si>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</si>
  <si>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</si>
  <si>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</si>
  <si>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</si>
  <si>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</si>
  <si>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</si>
  <si>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</si>
  <si>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</si>
  <si>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</si>
  <si>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</si>
  <si>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</si>
  <si>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</si>
  <si>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</si>
  <si>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</si>
  <si>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</si>
  <si>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</si>
  <si>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</si>
  <si>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</si>
  <si>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</si>
  <si>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</si>
  <si>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</si>
  <si>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</si>
  <si>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</si>
  <si>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</si>
  <si>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</si>
  <si>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</si>
  <si>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</si>
  <si>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</si>
  <si>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</si>
  <si>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</si>
  <si>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</si>
  <si>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</si>
  <si>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</si>
  <si>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</si>
  <si>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</si>
  <si>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</si>
  <si>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</si>
  <si>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</si>
  <si>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</si>
  <si>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</si>
  <si>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</si>
  <si>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</si>
  <si>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</si>
  <si>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</si>
  <si>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</si>
  <si>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</si>
  <si>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</si>
  <si>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</si>
  <si>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</si>
  <si>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</si>
  <si>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</si>
  <si>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</si>
  <si>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</si>
  <si>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</si>
  <si>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</si>
  <si>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</si>
  <si>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</si>
  <si>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</si>
  <si>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</si>
  <si>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</si>
  <si>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</si>
  <si>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</si>
  <si>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</si>
  <si>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</si>
  <si>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</si>
  <si>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</si>
  <si>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</si>
  <si>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</si>
  <si>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</si>
  <si>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</si>
  <si>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</si>
  <si>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</si>
  <si>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</si>
  <si>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</si>
  <si>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</si>
  <si>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</si>
  <si>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</si>
  <si>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</si>
  <si>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</si>
  <si>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</si>
  <si>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</si>
  <si>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</si>
  <si>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</si>
  <si>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</si>
  <si>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</si>
  <si>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</si>
  <si>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</si>
  <si>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</si>
  <si>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</si>
  <si>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</si>
  <si>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</si>
  <si>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</si>
  <si>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</si>
  <si>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</si>
  <si>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</si>
  <si>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</si>
  <si>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</si>
  <si>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</si>
  <si>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</si>
  <si>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</si>
  <si>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</si>
  <si>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</si>
  <si>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</si>
  <si>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</si>
  <si>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</si>
  <si>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</si>
  <si>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</si>
  <si>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</si>
  <si>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</si>
  <si>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</si>
  <si>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</si>
  <si>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</si>
  <si>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</si>
  <si>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</si>
  <si>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</si>
  <si>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</si>
  <si>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</si>
  <si>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</si>
  <si>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</si>
  <si>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</si>
  <si>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</si>
  <si>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</si>
  <si>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</si>
  <si>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</si>
  <si>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</si>
  <si>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</si>
  <si>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</si>
  <si>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</si>
  <si>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</si>
  <si>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</si>
  <si>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</si>
  <si>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</si>
  <si>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</si>
  <si>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</si>
  <si>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</si>
  <si>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</si>
  <si>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</si>
  <si>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</si>
  <si>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</si>
  <si>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</si>
  <si>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</si>
  <si>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</si>
  <si>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</si>
  <si>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</si>
  <si>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</si>
  <si>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</si>
  <si>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</si>
  <si>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</si>
  <si>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</si>
  <si>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</si>
  <si>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</si>
  <si>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</si>
  <si>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</si>
  <si>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</si>
  <si>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</si>
  <si>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</si>
  <si>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</si>
  <si>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</si>
  <si>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</si>
  <si>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</si>
  <si>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</si>
  <si>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</si>
  <si>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</si>
  <si>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</si>
  <si>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</si>
  <si>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</si>
  <si>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</si>
  <si>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</si>
  <si>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</si>
  <si>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</si>
  <si>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</si>
  <si>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</si>
  <si>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</si>
  <si>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</si>
  <si>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</si>
  <si>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</si>
  <si>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</si>
  <si>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</si>
  <si>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</si>
  <si>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</si>
  <si>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</si>
  <si>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</si>
  <si>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</si>
  <si>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</si>
  <si>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</si>
  <si>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</si>
  <si>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</si>
  <si>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</si>
  <si>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</si>
  <si>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</si>
  <si>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</si>
  <si>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</si>
  <si>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</si>
  <si>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</si>
  <si>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</si>
  <si>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</si>
  <si>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</si>
  <si>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</si>
  <si>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</si>
  <si>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</si>
  <si>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</si>
  <si>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</si>
  <si>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</si>
  <si>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</si>
  <si>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</si>
  <si>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</si>
  <si>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</si>
  <si>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</si>
  <si>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</si>
  <si>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</si>
  <si>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</si>
  <si>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</si>
  <si>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</si>
  <si>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</si>
  <si>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</si>
  <si>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</si>
  <si>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</si>
  <si>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</si>
  <si>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</si>
  <si>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</si>
  <si>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</si>
  <si>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</si>
  <si>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</si>
  <si>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</si>
  <si>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</si>
  <si>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</si>
  <si>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</si>
  <si>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</si>
  <si>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</si>
  <si>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</si>
  <si>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</si>
  <si>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</si>
  <si>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</si>
  <si>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</si>
  <si>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</si>
  <si>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</si>
  <si>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</si>
  <si>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</si>
  <si>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</si>
  <si>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</si>
  <si>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</si>
  <si>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</si>
  <si>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</si>
  <si>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</si>
  <si>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</si>
  <si>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</si>
  <si>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</si>
  <si>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</si>
  <si>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</si>
  <si>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</si>
  <si>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</si>
  <si>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</si>
  <si>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</si>
  <si>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</si>
  <si>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</si>
  <si>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</si>
  <si>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</si>
  <si>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</si>
  <si>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</si>
  <si>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</si>
  <si>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</si>
  <si>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</si>
  <si>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</si>
  <si>
    <t>Demand Charge Rate (% of Utility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</si>
</sst>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2" xfId="0" applyFont="1" applyBorder="1"/>
    <xf numFmtId="7" fontId="32" fillId="10" borderId="46" xfId="4" applyNumberFormat="1"/>
    <xf numFmtId="0" fontId="36" fillId="0" borderId="84" xfId="0" applyFont="1" applyBorder="1"/>
    <xf numFmtId="0" fontId="36" fillId="0" borderId="81" xfId="0" applyFont="1" applyBorder="1"/>
    <xf numFmtId="0" fontId="34" fillId="0" borderId="8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42" xfId="0" applyFont="1" applyFill="1" applyBorder="1" applyAlignment="1">
      <alignment horizont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9" fillId="4" borderId="5" xfId="0" applyFont="1" applyFill="1" applyBorder="1" applyAlignment="1">
      <alignment horizontal="center" vertical="center"/>
    </xf>
    <xf numFmtId="0" fontId="9" fillId="4" borderId="0" xfId="0" applyFont="1" applyFill="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-3675120.790361709</c:v>
                </c:pt>
                <c:pt idx="1">
                  <c:v>-2363117.2610738804</c:v>
                </c:pt>
                <c:pt idx="2">
                  <c:v>-1981150.4390243022</c:v>
                </c:pt>
                <c:pt idx="3">
                  <c:v>-1680148.1758634127</c:v>
                </c:pt>
                <c:pt idx="4">
                  <c:v>-1426298.9041111846</c:v>
                </c:pt>
                <c:pt idx="5">
                  <c:v>-1168917.639519216</c:v>
                </c:pt>
                <c:pt idx="6">
                  <c:v>-945896.44594532205</c:v>
                </c:pt>
                <c:pt idx="7">
                  <c:v>-757163.81853879185</c:v>
                </c:pt>
                <c:pt idx="8">
                  <c:v>-564684.65611265996</c:v>
                </c:pt>
                <c:pt idx="9">
                  <c:v>-368384.58680241386</c:v>
                </c:pt>
                <c:pt idx="10">
                  <c:v>-168187.76241311396</c:v>
                </c:pt>
                <c:pt idx="11">
                  <c:v>35983.17088646628</c:v>
                </c:pt>
                <c:pt idx="12">
                  <c:v>244207.10245142959</c:v>
                </c:pt>
                <c:pt idx="13">
                  <c:v>456564.48764162138</c:v>
                </c:pt>
                <c:pt idx="14">
                  <c:v>673137.37890755071</c:v>
                </c:pt>
                <c:pt idx="15">
                  <c:v>894009.45749337436</c:v>
                </c:pt>
                <c:pt idx="16">
                  <c:v>1119266.0657691951</c:v>
                </c:pt>
                <c:pt idx="17">
                  <c:v>1348994.2402051634</c:v>
                </c:pt>
                <c:pt idx="18">
                  <c:v>1583282.7450001258</c:v>
                </c:pt>
                <c:pt idx="19">
                  <c:v>1822222.1063778088</c:v>
                </c:pt>
                <c:pt idx="20">
                  <c:v>2065904.6475637923</c:v>
                </c:pt>
                <c:pt idx="21">
                  <c:v>2314424.5244567846</c:v>
                </c:pt>
                <c:pt idx="22">
                  <c:v>2567877.7620079815</c:v>
                </c:pt>
                <c:pt idx="23">
                  <c:v>2826362.2913225638</c:v>
                </c:pt>
                <c:pt idx="24">
                  <c:v>3089977.9874976701</c:v>
                </c:pt>
                <c:pt idx="25">
                  <c:v>3910094.826765717</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3675120.790361709</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36346.114893171791</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2356.3793801336433</c:v>
                </c:pt>
                <c:pt idx="1">
                  <c:v>2403.2124203137355</c:v>
                </c:pt>
                <c:pt idx="2">
                  <c:v>2450.9762671674835</c:v>
                </c:pt>
                <c:pt idx="3">
                  <c:v>2499.6894204774871</c:v>
                </c:pt>
                <c:pt idx="4">
                  <c:v>2549.3707477093558</c:v>
                </c:pt>
                <c:pt idx="5">
                  <c:v>2600.0394913200871</c:v>
                </c:pt>
                <c:pt idx="6">
                  <c:v>2651.7152762101032</c:v>
                </c:pt>
                <c:pt idx="7">
                  <c:v>2704.4181173247634</c:v>
                </c:pt>
                <c:pt idx="8">
                  <c:v>2758.1684274065774</c:v>
                </c:pt>
                <c:pt idx="9">
                  <c:v>2812.9870249013184</c:v>
                </c:pt>
                <c:pt idx="10">
                  <c:v>2868.8951420211815</c:v>
                </c:pt>
                <c:pt idx="11">
                  <c:v>2925.9144329688861</c:v>
                </c:pt>
                <c:pt idx="12">
                  <c:v>2984.0669823241187</c:v>
                </c:pt>
                <c:pt idx="13">
                  <c:v>3043.3753135977895</c:v>
                </c:pt>
                <c:pt idx="14">
                  <c:v>3103.8623979555559</c:v>
                </c:pt>
                <c:pt idx="15">
                  <c:v>3165.5516631149803</c:v>
                </c:pt>
                <c:pt idx="16">
                  <c:v>3228.4670024193474</c:v>
                </c:pt>
                <c:pt idx="17">
                  <c:v>3292.6327840925078</c:v>
                </c:pt>
                <c:pt idx="18">
                  <c:v>3358.0738606762607</c:v>
                </c:pt>
                <c:pt idx="19">
                  <c:v>3424.8155786572606</c:v>
                </c:pt>
                <c:pt idx="20">
                  <c:v>3492.8837882830994</c:v>
                </c:pt>
                <c:pt idx="21">
                  <c:v>3562.3048535752459</c:v>
                </c:pt>
                <c:pt idx="22">
                  <c:v>3633.105662540067</c:v>
                </c:pt>
                <c:pt idx="23">
                  <c:v>3705.3136375830509</c:v>
                </c:pt>
                <c:pt idx="24">
                  <c:v>3778.9567461300176</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92451399.003700003</c:v>
                </c:pt>
                <c:pt idx="1">
                  <c:v>92470503.258681506</c:v>
                </c:pt>
                <c:pt idx="2">
                  <c:v>92489511.992388099</c:v>
                </c:pt>
                <c:pt idx="3">
                  <c:v>92508425.682426155</c:v>
                </c:pt>
                <c:pt idx="4">
                  <c:v>92527244.804014027</c:v>
                </c:pt>
                <c:pt idx="5">
                  <c:v>92545969.829993963</c:v>
                </c:pt>
                <c:pt idx="6">
                  <c:v>92564601.230843991</c:v>
                </c:pt>
                <c:pt idx="7">
                  <c:v>92583139.474689767</c:v>
                </c:pt>
                <c:pt idx="8">
                  <c:v>92601585.027316317</c:v>
                </c:pt>
                <c:pt idx="9">
                  <c:v>92619938.352179736</c:v>
                </c:pt>
                <c:pt idx="10">
                  <c:v>92638199.910418838</c:v>
                </c:pt>
                <c:pt idx="11">
                  <c:v>92656370.160866737</c:v>
                </c:pt>
                <c:pt idx="12">
                  <c:v>92674449.560062408</c:v>
                </c:pt>
                <c:pt idx="13">
                  <c:v>92692438.562262103</c:v>
                </c:pt>
                <c:pt idx="14">
                  <c:v>92710337.619450793</c:v>
                </c:pt>
                <c:pt idx="15">
                  <c:v>92728147.181353539</c:v>
                </c:pt>
                <c:pt idx="16">
                  <c:v>92745867.695446759</c:v>
                </c:pt>
                <c:pt idx="17">
                  <c:v>92763499.606969535</c:v>
                </c:pt>
                <c:pt idx="18">
                  <c:v>92781043.358934686</c:v>
                </c:pt>
                <c:pt idx="19">
                  <c:v>92798499.392140016</c:v>
                </c:pt>
                <c:pt idx="20">
                  <c:v>92815868.145179316</c:v>
                </c:pt>
                <c:pt idx="21">
                  <c:v>92833150.054453418</c:v>
                </c:pt>
                <c:pt idx="22">
                  <c:v>92850345.554181144</c:v>
                </c:pt>
                <c:pt idx="23">
                  <c:v>92867455.076410249</c:v>
                </c:pt>
                <c:pt idx="24">
                  <c:v>92884479.051028192</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3820850.9962999937</c:v>
                </c:pt>
                <c:pt idx="1">
                  <c:v>3801746.7413184936</c:v>
                </c:pt>
                <c:pt idx="2">
                  <c:v>3782738.007611901</c:v>
                </c:pt>
                <c:pt idx="3">
                  <c:v>3763824.3175738417</c:v>
                </c:pt>
                <c:pt idx="4">
                  <c:v>3745005.1959859724</c:v>
                </c:pt>
                <c:pt idx="5">
                  <c:v>3726280.1700060423</c:v>
                </c:pt>
                <c:pt idx="6">
                  <c:v>3707648.7691560122</c:v>
                </c:pt>
                <c:pt idx="7">
                  <c:v>3689110.5253102323</c:v>
                </c:pt>
                <c:pt idx="8">
                  <c:v>3670664.9726836812</c:v>
                </c:pt>
                <c:pt idx="9">
                  <c:v>3652311.6478202627</c:v>
                </c:pt>
                <c:pt idx="10">
                  <c:v>3634050.0895811613</c:v>
                </c:pt>
                <c:pt idx="11">
                  <c:v>3615879.8391332556</c:v>
                </c:pt>
                <c:pt idx="12">
                  <c:v>3597800.4399375892</c:v>
                </c:pt>
                <c:pt idx="13">
                  <c:v>3579811.4377379012</c:v>
                </c:pt>
                <c:pt idx="14">
                  <c:v>3561912.3805492115</c:v>
                </c:pt>
                <c:pt idx="15">
                  <c:v>3544102.8186464654</c:v>
                </c:pt>
                <c:pt idx="16">
                  <c:v>3526382.3045532331</c:v>
                </c:pt>
                <c:pt idx="17">
                  <c:v>3508750.393030467</c:v>
                </c:pt>
                <c:pt idx="18">
                  <c:v>3491206.6410653144</c:v>
                </c:pt>
                <c:pt idx="19">
                  <c:v>3473750.6078599878</c:v>
                </c:pt>
                <c:pt idx="20">
                  <c:v>3456381.8548206878</c:v>
                </c:pt>
                <c:pt idx="21">
                  <c:v>3439099.9455465842</c:v>
                </c:pt>
                <c:pt idx="22">
                  <c:v>3421904.4458188512</c:v>
                </c:pt>
                <c:pt idx="23">
                  <c:v>3404794.9235897572</c:v>
                </c:pt>
                <c:pt idx="24">
                  <c:v>3387770.9489718084</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92451399.003700003</c:v>
                </c:pt>
                <c:pt idx="1">
                  <c:v>3820850.9962999937</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0.69002786616283773</c:v>
                </c:pt>
                <c:pt idx="1">
                  <c:v>0.233176338586291</c:v>
                </c:pt>
                <c:pt idx="2">
                  <c:v>7.019419805302704E-2</c:v>
                </c:pt>
                <c:pt idx="3">
                  <c:v>6.6015971978442096E-3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217768.39083570923</c:v>
                </c:pt>
                <c:pt idx="1">
                  <c:v>222091.31992856902</c:v>
                </c:pt>
                <c:pt idx="2">
                  <c:v>226500.0628836492</c:v>
                </c:pt>
                <c:pt idx="3">
                  <c:v>230996.32316439168</c:v>
                </c:pt>
                <c:pt idx="4">
                  <c:v>235581.83804883267</c:v>
                </c:pt>
                <c:pt idx="5">
                  <c:v>223021.19357389404</c:v>
                </c:pt>
                <c:pt idx="6">
                  <c:v>188732.62740653023</c:v>
                </c:pt>
                <c:pt idx="7">
                  <c:v>192479.16242613189</c:v>
                </c:pt>
                <c:pt idx="8">
                  <c:v>196300.06931024609</c:v>
                </c:pt>
                <c:pt idx="9">
                  <c:v>200196.8243892999</c:v>
                </c:pt>
                <c:pt idx="10">
                  <c:v>204170.93329958024</c:v>
                </c:pt>
                <c:pt idx="11">
                  <c:v>208223.93156496331</c:v>
                </c:pt>
                <c:pt idx="12">
                  <c:v>212357.38519019177</c:v>
                </c:pt>
                <c:pt idx="13">
                  <c:v>216572.8912659293</c:v>
                </c:pt>
                <c:pt idx="14">
                  <c:v>220872.07858582365</c:v>
                </c:pt>
                <c:pt idx="15">
                  <c:v>225256.60827582068</c:v>
                </c:pt>
                <c:pt idx="16">
                  <c:v>229728.17443596837</c:v>
                </c:pt>
                <c:pt idx="17">
                  <c:v>234288.50479496238</c:v>
                </c:pt>
                <c:pt idx="18">
                  <c:v>238939.36137768297</c:v>
                </c:pt>
                <c:pt idx="19">
                  <c:v>243682.54118598354</c:v>
                </c:pt>
                <c:pt idx="20">
                  <c:v>248519.87689299247</c:v>
                </c:pt>
                <c:pt idx="21">
                  <c:v>253453.23755119691</c:v>
                </c:pt>
                <c:pt idx="22">
                  <c:v>258484.52931458229</c:v>
                </c:pt>
                <c:pt idx="23">
                  <c:v>263615.69617510622</c:v>
                </c:pt>
                <c:pt idx="24">
                  <c:v>820116.83926804713</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-1655274.4039789138</c:v>
                </c:pt>
                <c:pt idx="1">
                  <c:v>1157050.9360898081</c:v>
                </c:pt>
                <c:pt idx="2">
                  <c:v>232462.8661022025</c:v>
                </c:pt>
                <c:pt idx="3">
                  <c:v>148379.76282942429</c:v>
                </c:pt>
                <c:pt idx="4">
                  <c:v>97692.133424707717</c:v>
                </c:pt>
                <c:pt idx="5">
                  <c:v>97103.112574014056</c:v>
                </c:pt>
                <c:pt idx="6">
                  <c:v>11151.059678694703</c:v>
                </c:pt>
                <c:pt idx="7">
                  <c:v>9436.6313703265114</c:v>
                </c:pt>
                <c:pt idx="8">
                  <c:v>9623.9581213065958</c:v>
                </c:pt>
                <c:pt idx="9">
                  <c:v>9815.0034655123054</c:v>
                </c:pt>
                <c:pt idx="10">
                  <c:v>10009.841219464995</c:v>
                </c:pt>
                <c:pt idx="11">
                  <c:v>10208.546664979012</c:v>
                </c:pt>
                <c:pt idx="12">
                  <c:v>10411.196578248166</c:v>
                </c:pt>
                <c:pt idx="13">
                  <c:v>10617.869259509589</c:v>
                </c:pt>
                <c:pt idx="14">
                  <c:v>10828.644563296466</c:v>
                </c:pt>
                <c:pt idx="15">
                  <c:v>11043.603929291183</c:v>
                </c:pt>
                <c:pt idx="16">
                  <c:v>11262.830413791035</c:v>
                </c:pt>
                <c:pt idx="17">
                  <c:v>11486.40872179842</c:v>
                </c:pt>
                <c:pt idx="18">
                  <c:v>11714.42523974812</c:v>
                </c:pt>
                <c:pt idx="19">
                  <c:v>11946.968068884149</c:v>
                </c:pt>
                <c:pt idx="20">
                  <c:v>12184.127059299179</c:v>
                </c:pt>
                <c:pt idx="21">
                  <c:v>12425.993844649623</c:v>
                </c:pt>
                <c:pt idx="22">
                  <c:v>12672.661877559847</c:v>
                </c:pt>
                <c:pt idx="23">
                  <c:v>12924.226465729116</c:v>
                </c:pt>
                <c:pt idx="24">
                  <c:v>13180.784808755312</c:v>
                </c:pt>
                <c:pt idx="25">
                  <c:v>41005.841963402359</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-2019846.3863827952</c:v>
                </c:pt>
                <c:pt idx="1">
                  <c:v>154952.59319802021</c:v>
                </c:pt>
                <c:pt idx="2">
                  <c:v>149503.95594737574</c:v>
                </c:pt>
                <c:pt idx="3">
                  <c:v>152622.50033146527</c:v>
                </c:pt>
                <c:pt idx="4">
                  <c:v>156157.13832752022</c:v>
                </c:pt>
                <c:pt idx="5">
                  <c:v>160278.15201795456</c:v>
                </c:pt>
                <c:pt idx="6">
                  <c:v>211870.13389519934</c:v>
                </c:pt>
                <c:pt idx="7">
                  <c:v>179295.99603620372</c:v>
                </c:pt>
                <c:pt idx="8">
                  <c:v>182855.20430482531</c:v>
                </c:pt>
                <c:pt idx="9">
                  <c:v>186485.06584473379</c:v>
                </c:pt>
                <c:pt idx="10">
                  <c:v>190186.98316983492</c:v>
                </c:pt>
                <c:pt idx="11">
                  <c:v>193962.38663460122</c:v>
                </c:pt>
                <c:pt idx="12">
                  <c:v>197812.73498671514</c:v>
                </c:pt>
                <c:pt idx="13">
                  <c:v>201739.51593068219</c:v>
                </c:pt>
                <c:pt idx="14">
                  <c:v>205744.24670263284</c:v>
                </c:pt>
                <c:pt idx="15">
                  <c:v>209828.47465653246</c:v>
                </c:pt>
                <c:pt idx="16">
                  <c:v>213993.77786202964</c:v>
                </c:pt>
                <c:pt idx="17">
                  <c:v>218241.76571416995</c:v>
                </c:pt>
                <c:pt idx="18">
                  <c:v>222574.07955521427</c:v>
                </c:pt>
                <c:pt idx="19">
                  <c:v>226992.39330879881</c:v>
                </c:pt>
                <c:pt idx="20">
                  <c:v>231498.41412668437</c:v>
                </c:pt>
                <c:pt idx="21">
                  <c:v>236093.88304834283</c:v>
                </c:pt>
                <c:pt idx="22">
                  <c:v>240780.57567363707</c:v>
                </c:pt>
                <c:pt idx="23">
                  <c:v>245560.30284885317</c:v>
                </c:pt>
                <c:pt idx="24">
                  <c:v>250434.91136635092</c:v>
                </c:pt>
                <c:pt idx="25">
                  <c:v>779110.99730464478</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-1655274.4039789138</c:v>
                </c:pt>
                <c:pt idx="1">
                  <c:v>-498223.46788910567</c:v>
                </c:pt>
                <c:pt idx="2">
                  <c:v>-265760.60178690316</c:v>
                </c:pt>
                <c:pt idx="3">
                  <c:v>-117380.83895747887</c:v>
                </c:pt>
                <c:pt idx="4">
                  <c:v>-19688.705532771157</c:v>
                </c:pt>
                <c:pt idx="5">
                  <c:v>77414.407041242899</c:v>
                </c:pt>
                <c:pt idx="6">
                  <c:v>88565.466719937598</c:v>
                </c:pt>
                <c:pt idx="7">
                  <c:v>98002.098090264102</c:v>
                </c:pt>
                <c:pt idx="8">
                  <c:v>107626.0562115707</c:v>
                </c:pt>
                <c:pt idx="9">
                  <c:v>117441.059677083</c:v>
                </c:pt>
                <c:pt idx="10">
                  <c:v>127450.900896548</c:v>
                </c:pt>
                <c:pt idx="11">
                  <c:v>137659.44756152702</c:v>
                </c:pt>
                <c:pt idx="12">
                  <c:v>148070.64413977519</c:v>
                </c:pt>
                <c:pt idx="13">
                  <c:v>158688.51339928477</c:v>
                </c:pt>
                <c:pt idx="14">
                  <c:v>169517.15796258123</c:v>
                </c:pt>
                <c:pt idx="15">
                  <c:v>180560.76189187242</c:v>
                </c:pt>
                <c:pt idx="16">
                  <c:v>191823.59230566345</c:v>
                </c:pt>
                <c:pt idx="17">
                  <c:v>203310.00102746187</c:v>
                </c:pt>
                <c:pt idx="18">
                  <c:v>215024.42626720999</c:v>
                </c:pt>
                <c:pt idx="19">
                  <c:v>226971.39433609415</c:v>
                </c:pt>
                <c:pt idx="20">
                  <c:v>239155.52139539333</c:v>
                </c:pt>
                <c:pt idx="21">
                  <c:v>251581.51524004294</c:v>
                </c:pt>
                <c:pt idx="22">
                  <c:v>264254.17711760278</c:v>
                </c:pt>
                <c:pt idx="23">
                  <c:v>277178.40358333191</c:v>
                </c:pt>
                <c:pt idx="24">
                  <c:v>290359.18839208724</c:v>
                </c:pt>
                <c:pt idx="25">
                  <c:v>331365.03035548958</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-2019846.3863827952</c:v>
                </c:pt>
                <c:pt idx="1">
                  <c:v>-1864893.7931847749</c:v>
                </c:pt>
                <c:pt idx="2">
                  <c:v>-1715389.8372373991</c:v>
                </c:pt>
                <c:pt idx="3">
                  <c:v>-1562767.3369059339</c:v>
                </c:pt>
                <c:pt idx="4">
                  <c:v>-1406610.1985784136</c:v>
                </c:pt>
                <c:pt idx="5">
                  <c:v>-1246332.0465604591</c:v>
                </c:pt>
                <c:pt idx="6">
                  <c:v>-1034461.9126652598</c:v>
                </c:pt>
                <c:pt idx="7">
                  <c:v>-855165.9166290561</c:v>
                </c:pt>
                <c:pt idx="8">
                  <c:v>-672310.71232423082</c:v>
                </c:pt>
                <c:pt idx="9">
                  <c:v>-485825.64647949702</c:v>
                </c:pt>
                <c:pt idx="10">
                  <c:v>-295638.66330966214</c:v>
                </c:pt>
                <c:pt idx="11">
                  <c:v>-101676.27667506092</c:v>
                </c:pt>
                <c:pt idx="12">
                  <c:v>96136.45831165422</c:v>
                </c:pt>
                <c:pt idx="13">
                  <c:v>297875.97424233641</c:v>
                </c:pt>
                <c:pt idx="14">
                  <c:v>503620.22094496922</c:v>
                </c:pt>
                <c:pt idx="15">
                  <c:v>713448.69560150173</c:v>
                </c:pt>
                <c:pt idx="16">
                  <c:v>927442.47346353135</c:v>
                </c:pt>
                <c:pt idx="17">
                  <c:v>1145684.2391777013</c:v>
                </c:pt>
                <c:pt idx="18">
                  <c:v>1368258.3187329154</c:v>
                </c:pt>
                <c:pt idx="19">
                  <c:v>1595250.7120417142</c:v>
                </c:pt>
                <c:pt idx="20">
                  <c:v>1826749.1261683987</c:v>
                </c:pt>
                <c:pt idx="21">
                  <c:v>2062843.0092167414</c:v>
                </c:pt>
                <c:pt idx="22">
                  <c:v>2303623.5848903786</c:v>
                </c:pt>
                <c:pt idx="23">
                  <c:v>2549183.8877392318</c:v>
                </c:pt>
                <c:pt idx="24">
                  <c:v>2799618.7991055828</c:v>
                </c:pt>
                <c:pt idx="25">
                  <c:v>3578729.7964102277</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1655274.4039789138</c:v>
                </c:pt>
                <c:pt idx="1">
                  <c:v>2019846.3863827952</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1223018.3002305625</c:v>
                </c:pt>
                <c:pt idx="1">
                  <c:v>192771.30099527995</c:v>
                </c:pt>
                <c:pt idx="2">
                  <c:v>115662.78059716798</c:v>
                </c:pt>
                <c:pt idx="3">
                  <c:v>69397.668358300783</c:v>
                </c:pt>
                <c:pt idx="4">
                  <c:v>69397.668358300783</c:v>
                </c:pt>
                <c:pt idx="5">
                  <c:v>34698.834179150392</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217768.39083570926</c:v>
                </c:pt>
                <c:pt idx="1">
                  <c:v>222091.31992856896</c:v>
                </c:pt>
                <c:pt idx="2">
                  <c:v>226500.06288364925</c:v>
                </c:pt>
                <c:pt idx="3">
                  <c:v>230996.32316439171</c:v>
                </c:pt>
                <c:pt idx="4">
                  <c:v>235581.83804883267</c:v>
                </c:pt>
                <c:pt idx="5">
                  <c:v>240258.37930083275</c:v>
                </c:pt>
                <c:pt idx="6">
                  <c:v>245027.75385463188</c:v>
                </c:pt>
                <c:pt idx="7">
                  <c:v>249891.80451299174</c:v>
                </c:pt>
                <c:pt idx="8">
                  <c:v>254852.4106591965</c:v>
                </c:pt>
                <c:pt idx="9">
                  <c:v>259911.48898318716</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1223018.3002305625</c:v>
                </c:pt>
                <c:pt idx="1">
                  <c:v>192771.30099527995</c:v>
                </c:pt>
                <c:pt idx="2">
                  <c:v>115662.78059716798</c:v>
                </c:pt>
                <c:pt idx="3">
                  <c:v>69397.668358300783</c:v>
                </c:pt>
                <c:pt idx="4">
                  <c:v>69397.668358300783</c:v>
                </c:pt>
                <c:pt idx="5">
                  <c:v>34698.834179150392</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1005249.9093948532</c:v>
                </c:pt>
                <c:pt idx="1">
                  <c:v>975929.89046156406</c:v>
                </c:pt>
                <c:pt idx="2">
                  <c:v>865092.60817508283</c:v>
                </c:pt>
                <c:pt idx="3">
                  <c:v>703493.95336899196</c:v>
                </c:pt>
                <c:pt idx="4">
                  <c:v>537309.78367846017</c:v>
                </c:pt>
                <c:pt idx="5">
                  <c:v>331750.23855677783</c:v>
                </c:pt>
                <c:pt idx="6">
                  <c:v>86722.484702145943</c:v>
                </c:pt>
                <c:pt idx="7">
                  <c:v>0</c:v>
                </c:pt>
                <c:pt idx="8">
                  <c:v>0</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4.7995263945264301E-2</c:v>
                </c:pt>
                <c:pt idx="1">
                  <c:v>5.852287986177284E-2</c:v>
                </c:pt>
                <c:pt idx="2">
                  <c:v>6.7521112587158427E-2</c:v>
                </c:pt>
                <c:pt idx="3">
                  <c:v>8.1937329068992371E-2</c:v>
                </c:pt>
                <c:pt idx="4">
                  <c:v>9.4902503862016152E-2</c:v>
                </c:pt>
                <c:pt idx="5">
                  <c:v>0.10844660162279908</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36346.114893171791</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2356.3793801336433</c:v>
                </c:pt>
                <c:pt idx="1">
                  <c:v>2403.2124203137355</c:v>
                </c:pt>
                <c:pt idx="2">
                  <c:v>2450.9762671674835</c:v>
                </c:pt>
                <c:pt idx="3">
                  <c:v>2499.6894204774871</c:v>
                </c:pt>
                <c:pt idx="4">
                  <c:v>2549.3707477093558</c:v>
                </c:pt>
                <c:pt idx="5">
                  <c:v>2600.0394913200871</c:v>
                </c:pt>
                <c:pt idx="6">
                  <c:v>2651.7152762101032</c:v>
                </c:pt>
                <c:pt idx="7">
                  <c:v>2704.4181173247634</c:v>
                </c:pt>
                <c:pt idx="8">
                  <c:v>2758.1684274065774</c:v>
                </c:pt>
                <c:pt idx="9">
                  <c:v>2812.9870249013184</c:v>
                </c:pt>
                <c:pt idx="10">
                  <c:v>2868.8951420211815</c:v>
                </c:pt>
                <c:pt idx="11">
                  <c:v>2925.9144329688861</c:v>
                </c:pt>
                <c:pt idx="12">
                  <c:v>2984.0669823241187</c:v>
                </c:pt>
                <c:pt idx="13">
                  <c:v>3043.3753135977895</c:v>
                </c:pt>
                <c:pt idx="14">
                  <c:v>3103.8623979555559</c:v>
                </c:pt>
                <c:pt idx="15">
                  <c:v>3165.5516631149803</c:v>
                </c:pt>
                <c:pt idx="16">
                  <c:v>3228.4670024193474</c:v>
                </c:pt>
                <c:pt idx="17">
                  <c:v>3292.6327840925078</c:v>
                </c:pt>
                <c:pt idx="18">
                  <c:v>3358.0738606762607</c:v>
                </c:pt>
                <c:pt idx="19">
                  <c:v>3424.8155786572606</c:v>
                </c:pt>
                <c:pt idx="20">
                  <c:v>3492.8837882830994</c:v>
                </c:pt>
                <c:pt idx="21">
                  <c:v>3562.3048535752459</c:v>
                </c:pt>
                <c:pt idx="22">
                  <c:v>3633.105662540067</c:v>
                </c:pt>
                <c:pt idx="23">
                  <c:v>3705.3136375830509</c:v>
                </c:pt>
                <c:pt idx="24">
                  <c:v>3778.9567461300176</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92451399.003700003</c:v>
                </c:pt>
                <c:pt idx="1">
                  <c:v>92470503.258681506</c:v>
                </c:pt>
                <c:pt idx="2">
                  <c:v>92489511.992388099</c:v>
                </c:pt>
                <c:pt idx="3">
                  <c:v>92508425.682426155</c:v>
                </c:pt>
                <c:pt idx="4">
                  <c:v>92527244.804014027</c:v>
                </c:pt>
                <c:pt idx="5">
                  <c:v>92545969.829993963</c:v>
                </c:pt>
                <c:pt idx="6">
                  <c:v>92564601.230843991</c:v>
                </c:pt>
                <c:pt idx="7">
                  <c:v>92583139.474689767</c:v>
                </c:pt>
                <c:pt idx="8">
                  <c:v>92601585.027316317</c:v>
                </c:pt>
                <c:pt idx="9">
                  <c:v>92619938.352179736</c:v>
                </c:pt>
                <c:pt idx="10">
                  <c:v>92638199.910418838</c:v>
                </c:pt>
                <c:pt idx="11">
                  <c:v>92656370.160866737</c:v>
                </c:pt>
                <c:pt idx="12">
                  <c:v>92674449.560062408</c:v>
                </c:pt>
                <c:pt idx="13">
                  <c:v>92692438.562262103</c:v>
                </c:pt>
                <c:pt idx="14">
                  <c:v>92710337.619450793</c:v>
                </c:pt>
                <c:pt idx="15">
                  <c:v>92728147.181353539</c:v>
                </c:pt>
                <c:pt idx="16">
                  <c:v>92745867.695446759</c:v>
                </c:pt>
                <c:pt idx="17">
                  <c:v>92763499.606969535</c:v>
                </c:pt>
                <c:pt idx="18">
                  <c:v>92781043.358934686</c:v>
                </c:pt>
                <c:pt idx="19">
                  <c:v>92798499.392140016</c:v>
                </c:pt>
                <c:pt idx="20">
                  <c:v>92815868.145179316</c:v>
                </c:pt>
                <c:pt idx="21">
                  <c:v>92833150.054453418</c:v>
                </c:pt>
                <c:pt idx="22">
                  <c:v>92850345.554181144</c:v>
                </c:pt>
                <c:pt idx="23">
                  <c:v>92867455.076410249</c:v>
                </c:pt>
                <c:pt idx="24">
                  <c:v>92884479.051028192</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3820850.9962999937</c:v>
                </c:pt>
                <c:pt idx="1">
                  <c:v>3801746.7413184936</c:v>
                </c:pt>
                <c:pt idx="2">
                  <c:v>3782738.007611901</c:v>
                </c:pt>
                <c:pt idx="3">
                  <c:v>3763824.3175738417</c:v>
                </c:pt>
                <c:pt idx="4">
                  <c:v>3745005.1959859724</c:v>
                </c:pt>
                <c:pt idx="5">
                  <c:v>3726280.1700060423</c:v>
                </c:pt>
                <c:pt idx="6">
                  <c:v>3707648.7691560122</c:v>
                </c:pt>
                <c:pt idx="7">
                  <c:v>3689110.5253102323</c:v>
                </c:pt>
                <c:pt idx="8">
                  <c:v>3670664.9726836812</c:v>
                </c:pt>
                <c:pt idx="9">
                  <c:v>3652311.6478202627</c:v>
                </c:pt>
                <c:pt idx="10">
                  <c:v>3634050.0895811613</c:v>
                </c:pt>
                <c:pt idx="11">
                  <c:v>3615879.8391332556</c:v>
                </c:pt>
                <c:pt idx="12">
                  <c:v>3597800.4399375892</c:v>
                </c:pt>
                <c:pt idx="13">
                  <c:v>3579811.4377379012</c:v>
                </c:pt>
                <c:pt idx="14">
                  <c:v>3561912.3805492115</c:v>
                </c:pt>
                <c:pt idx="15">
                  <c:v>3544102.8186464654</c:v>
                </c:pt>
                <c:pt idx="16">
                  <c:v>3526382.3045532331</c:v>
                </c:pt>
                <c:pt idx="17">
                  <c:v>3508750.393030467</c:v>
                </c:pt>
                <c:pt idx="18">
                  <c:v>3491206.6410653144</c:v>
                </c:pt>
                <c:pt idx="19">
                  <c:v>3473750.6078599878</c:v>
                </c:pt>
                <c:pt idx="20">
                  <c:v>3456381.8548206878</c:v>
                </c:pt>
                <c:pt idx="21">
                  <c:v>3439099.9455465842</c:v>
                </c:pt>
                <c:pt idx="22">
                  <c:v>3421904.4458188512</c:v>
                </c:pt>
                <c:pt idx="23">
                  <c:v>3404794.9235897572</c:v>
                </c:pt>
                <c:pt idx="24">
                  <c:v>3387770.9489718084</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92451399.003700003</c:v>
                </c:pt>
                <c:pt idx="1">
                  <c:v>3820850.9962999937</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81492B46-B2FE-214D-91DD-D3998E01C80E}">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2" customWidth="1"/>
  </cols>
  <sheetData>
    <row r="2" spans="2:14" ht="56" customHeight="1" x14ac:dyDescent="0.15">
      <c r="D2" s="34"/>
      <c r="E2" s="3"/>
      <c r="F2" s="3"/>
      <c r="G2" s="3"/>
      <c r="H2"/>
      <c r="I2"/>
      <c r="J2"/>
      <c r="K2"/>
      <c r="L2"/>
      <c r="M2"/>
      <c r="N2"/>
    </row>
    <row r="3" spans="2:14" ht="18" x14ac:dyDescent="0.2">
      <c r="D3" s="3"/>
      <c r="F3" s="456"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462</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5"/>
      <c r="F17" s="477"/>
      <c r="G17" s="478"/>
      <c r="H17" s="478"/>
      <c r="I17" s="478"/>
      <c r="J17" s="479"/>
      <c r="K17"/>
      <c r="L17"/>
      <c r="M17"/>
      <c r="N17"/>
    </row>
    <row r="18" spans="2:14" ht="14" customHeight="1" x14ac:dyDescent="0.15">
      <c r="B18" s="473" t="s">
        <v>463</v>
      </c>
      <c r="C18" s="473"/>
      <c r="D18" s="473"/>
      <c r="E18" s="455"/>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5"/>
      <c r="F20" s="63"/>
      <c r="G20" s="3"/>
      <c r="H20"/>
      <c r="I20"/>
      <c r="J20"/>
      <c r="K20"/>
      <c r="L20"/>
      <c r="M20"/>
      <c r="N20"/>
    </row>
    <row r="21" spans="2:14" ht="14" customHeight="1" x14ac:dyDescent="0.15">
      <c r="B21" s="473"/>
      <c r="C21" s="473"/>
      <c r="D21" s="473"/>
      <c r="E21" s="455"/>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406</v>
      </c>
      <c r="F23" s="3"/>
      <c r="G23" s="3"/>
      <c r="H23"/>
      <c r="I23"/>
      <c r="J23"/>
      <c r="K23"/>
      <c r="L23"/>
      <c r="M23"/>
      <c r="N23"/>
    </row>
    <row r="24" spans="2:14" ht="15" thickBot="1" x14ac:dyDescent="0.25">
      <c r="D24" s="8"/>
      <c r="E24" s="8"/>
      <c r="F24" s="8"/>
      <c r="G24" s="8"/>
      <c r="H24" s="453"/>
      <c r="I24" s="454"/>
      <c r="J24" s="454"/>
    </row>
    <row r="25" spans="2:14" ht="21" thickTop="1" x14ac:dyDescent="0.25">
      <c r="E25" s="21" t="s">
        <v>273</v>
      </c>
    </row>
    <row r="26" spans="2:14" ht="19" x14ac:dyDescent="0.25">
      <c r="E26" s="21"/>
    </row>
    <row r="27" spans="2:14" ht="17" x14ac:dyDescent="0.2">
      <c r="E27" s="22" t="s">
        <v>21</v>
      </c>
    </row>
    <row r="28" spans="2:14" ht="113" customHeight="1" x14ac:dyDescent="0.2">
      <c r="E28" s="23" t="s">
        <v>405</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464</v>
      </c>
    </row>
    <row r="34" spans="5:5" ht="16" x14ac:dyDescent="0.2">
      <c r="E34" s="23"/>
    </row>
    <row r="35" spans="5:5" ht="17" x14ac:dyDescent="0.2">
      <c r="E35" s="22" t="s">
        <v>364</v>
      </c>
    </row>
    <row r="36" spans="5:5" ht="85" x14ac:dyDescent="0.2">
      <c r="E36" s="23" t="s">
        <v>369</v>
      </c>
    </row>
    <row r="37" spans="5:5" ht="16" x14ac:dyDescent="0.2">
      <c r="E37" s="23"/>
    </row>
    <row r="38" spans="5:5" ht="17" x14ac:dyDescent="0.2">
      <c r="E38" s="22" t="s">
        <v>73</v>
      </c>
    </row>
    <row r="39" spans="5:5" ht="51" x14ac:dyDescent="0.2">
      <c r="E39" s="23" t="s">
        <v>272</v>
      </c>
    </row>
    <row r="40" spans="5:5" ht="16" x14ac:dyDescent="0.2">
      <c r="E40" s="23"/>
    </row>
    <row r="41" spans="5:5" ht="17" x14ac:dyDescent="0.2">
      <c r="E41" s="22" t="s">
        <v>76</v>
      </c>
    </row>
    <row r="42" spans="5:5" ht="68" x14ac:dyDescent="0.2">
      <c r="E42" s="23" t="s">
        <v>365</v>
      </c>
    </row>
    <row r="43" spans="5:5" ht="16" x14ac:dyDescent="0.2">
      <c r="E43" s="23"/>
    </row>
    <row r="44" spans="5:5" ht="17" x14ac:dyDescent="0.2">
      <c r="E44" s="22" t="s">
        <v>160</v>
      </c>
    </row>
    <row r="45" spans="5:5" ht="51" x14ac:dyDescent="0.2">
      <c r="E45" s="23" t="s">
        <v>366</v>
      </c>
    </row>
    <row r="46" spans="5:5" ht="16" x14ac:dyDescent="0.2">
      <c r="E46" s="23"/>
    </row>
    <row r="47" spans="5:5" ht="17" x14ac:dyDescent="0.2">
      <c r="E47" s="22" t="s">
        <v>156</v>
      </c>
    </row>
    <row r="48" spans="5:5" ht="103" customHeight="1" x14ac:dyDescent="0.2">
      <c r="E48" s="23" t="s">
        <v>465</v>
      </c>
    </row>
    <row r="49" spans="5:5" ht="16" x14ac:dyDescent="0.2">
      <c r="E49" s="23"/>
    </row>
    <row r="50" spans="5:5" ht="17" x14ac:dyDescent="0.2">
      <c r="E50" s="22" t="s">
        <v>367</v>
      </c>
    </row>
    <row r="51" spans="5:5" ht="102" x14ac:dyDescent="0.2">
      <c r="E51" s="23" t="s">
        <v>466</v>
      </c>
    </row>
    <row r="54" spans="5:5" ht="17" x14ac:dyDescent="0.2">
      <c r="E54" s="22" t="s">
        <v>368</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E30" zoomScale="125" zoomScaleNormal="58"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5"/>
    </row>
    <row r="2" spans="1:44" ht="20" thickBot="1" x14ac:dyDescent="0.3">
      <c r="H2" s="28" t="s">
        <v>149</v>
      </c>
    </row>
    <row r="3" spans="1:44" ht="21" customHeight="1" x14ac:dyDescent="0.25">
      <c r="H3" s="31" t="s">
        <v>406</v>
      </c>
      <c r="I3" s="31"/>
      <c r="L3" s="29"/>
      <c r="M3" s="29"/>
      <c r="N3" s="29"/>
      <c r="P3" s="490" t="s">
        <v>0</v>
      </c>
      <c r="Q3" s="491"/>
      <c r="R3" s="491"/>
      <c r="S3" s="491"/>
      <c r="T3" s="491"/>
      <c r="U3" s="491"/>
      <c r="V3" s="491"/>
      <c r="W3" s="491"/>
      <c r="X3" s="492"/>
    </row>
    <row r="4" spans="1:44" ht="20" customHeight="1" x14ac:dyDescent="0.25">
      <c r="A4" s="13"/>
      <c r="H4" s="32" t="s">
        <v>27</v>
      </c>
      <c r="I4" s="32"/>
      <c r="P4" s="493" t="s">
        <v>311</v>
      </c>
      <c r="Q4" s="494"/>
      <c r="R4" s="494"/>
      <c r="S4" s="494"/>
      <c r="T4" s="494"/>
      <c r="U4" s="494"/>
      <c r="V4" s="494"/>
      <c r="W4" s="494"/>
      <c r="X4" s="495"/>
    </row>
    <row r="5" spans="1:44" ht="26" customHeight="1" thickBot="1" x14ac:dyDescent="0.3">
      <c r="A5"/>
      <c r="I5" s="173"/>
      <c r="J5"/>
      <c r="K5"/>
      <c r="L5" s="473" t="s">
        <v>461</v>
      </c>
      <c r="M5" s="473"/>
      <c r="N5" s="473"/>
      <c r="P5" s="493"/>
      <c r="Q5" s="494"/>
      <c r="R5" s="494"/>
      <c r="S5" s="494"/>
      <c r="T5" s="494"/>
      <c r="U5" s="494"/>
      <c r="V5" s="494"/>
      <c r="W5" s="494"/>
      <c r="X5" s="495"/>
    </row>
    <row r="6" spans="1:44" ht="16" customHeight="1" x14ac:dyDescent="0.15">
      <c r="A6"/>
      <c r="H6" s="507" t="s">
        <v>199</v>
      </c>
      <c r="I6" s="508"/>
      <c r="J6" s="449" t="s">
        <v>313</v>
      </c>
      <c r="K6"/>
      <c r="L6" s="473"/>
      <c r="M6" s="473"/>
      <c r="N6" s="473"/>
      <c r="P6" s="493"/>
      <c r="Q6" s="494"/>
      <c r="R6" s="494"/>
      <c r="S6" s="494"/>
      <c r="T6" s="494"/>
      <c r="U6" s="494"/>
      <c r="V6" s="494"/>
      <c r="W6" s="494"/>
      <c r="X6" s="495"/>
    </row>
    <row r="7" spans="1:44" ht="15" customHeight="1" x14ac:dyDescent="0.2">
      <c r="A7"/>
      <c r="H7" s="509"/>
      <c r="I7" s="510"/>
      <c r="J7" s="450" t="s">
        <v>245</v>
      </c>
      <c r="K7" s="14"/>
      <c r="L7" s="473"/>
      <c r="M7" s="473"/>
      <c r="N7" s="473"/>
      <c r="P7" s="493"/>
      <c r="Q7" s="494"/>
      <c r="R7" s="494"/>
      <c r="S7" s="494"/>
      <c r="T7" s="494"/>
      <c r="U7" s="494"/>
      <c r="V7" s="494"/>
      <c r="W7" s="494"/>
      <c r="X7" s="495"/>
    </row>
    <row r="8" spans="1:44" ht="13" customHeight="1" thickBot="1" x14ac:dyDescent="0.25">
      <c r="H8" s="511"/>
      <c r="I8" s="512"/>
      <c r="J8" s="451" t="s">
        <v>219</v>
      </c>
      <c r="K8"/>
      <c r="L8" s="473"/>
      <c r="M8" s="473"/>
      <c r="N8" s="473"/>
      <c r="P8" s="493"/>
      <c r="Q8" s="494"/>
      <c r="R8" s="494"/>
      <c r="S8" s="494"/>
      <c r="T8" s="494"/>
      <c r="U8" s="494"/>
      <c r="V8" s="494"/>
      <c r="W8" s="494"/>
      <c r="X8" s="495"/>
    </row>
    <row r="9" spans="1:44" ht="22" customHeight="1" thickBot="1" x14ac:dyDescent="0.25">
      <c r="L9" s="473"/>
      <c r="M9" s="473"/>
      <c r="N9" s="473"/>
      <c r="P9" s="493"/>
      <c r="Q9" s="494"/>
      <c r="R9" s="494"/>
      <c r="S9" s="494"/>
      <c r="T9" s="494"/>
      <c r="U9" s="494"/>
      <c r="V9" s="494"/>
      <c r="W9" s="494"/>
      <c r="X9" s="495"/>
      <c r="Y9" s="2"/>
      <c r="Z9" s="2"/>
      <c r="AA9" s="2"/>
    </row>
    <row r="10" spans="1:44" ht="15" customHeight="1" thickBot="1" x14ac:dyDescent="0.25">
      <c r="H10" s="486" t="s">
        <v>214</v>
      </c>
      <c r="I10" s="487"/>
      <c r="J10" s="457"/>
      <c r="K10"/>
      <c r="L10" s="473"/>
      <c r="M10" s="473"/>
      <c r="N10" s="473"/>
      <c r="P10" s="496"/>
      <c r="Q10" s="497"/>
      <c r="R10" s="497"/>
      <c r="S10" s="497"/>
      <c r="T10" s="497"/>
      <c r="U10" s="497"/>
      <c r="V10" s="497"/>
      <c r="W10" s="497"/>
      <c r="X10" s="498"/>
      <c r="Y10" s="2"/>
      <c r="Z10" s="2"/>
      <c r="AA10" s="2"/>
    </row>
    <row r="11" spans="1:44" customFormat="1" ht="13" customHeight="1" thickBot="1" x14ac:dyDescent="0.25">
      <c r="B11" s="467">
        <v>11</v>
      </c>
      <c r="C11" s="3"/>
      <c r="D11" s="3"/>
      <c r="E11" s="3"/>
      <c r="F11" s="3"/>
      <c r="G11" s="3"/>
      <c r="H11" s="488" t="s">
        <v>216</v>
      </c>
      <c r="I11" s="489"/>
      <c r="J11" s="458"/>
      <c r="M11" s="3"/>
      <c r="N11" s="3"/>
      <c r="O11" s="3"/>
      <c r="P11" s="3"/>
      <c r="Q11" s="3"/>
      <c r="R11" s="3"/>
      <c r="S11" s="3"/>
      <c r="T11" s="3"/>
      <c r="U11" s="3"/>
      <c r="V11" s="3"/>
      <c r="W11" s="3"/>
      <c r="X11" s="3"/>
      <c r="Y11" s="3"/>
      <c r="Z11" s="3"/>
    </row>
    <row r="12" spans="1:44" ht="15" thickBot="1" x14ac:dyDescent="0.25">
      <c r="A12" s="125"/>
      <c r="B12" s="125"/>
      <c r="C12" s="125"/>
      <c r="D12" s="125"/>
      <c r="E12" s="125"/>
      <c r="F12" s="125"/>
      <c r="G12" s="125"/>
      <c r="H12" s="125"/>
      <c r="I12" s="125"/>
      <c r="J12" s="125"/>
      <c r="K12" s="125"/>
      <c r="L12"/>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row>
    <row r="13" spans="1:44" ht="22" thickTop="1" x14ac:dyDescent="0.25">
      <c r="A13" s="145"/>
      <c r="B13" s="178" t="s">
        <v>56</v>
      </c>
      <c r="C13" s="146"/>
      <c r="D13" s="145"/>
      <c r="E13" s="145"/>
      <c r="F13" s="145"/>
      <c r="G13" s="145"/>
      <c r="H13" s="145"/>
      <c r="I13" s="145"/>
      <c r="J13" s="145"/>
      <c r="K13" s="145"/>
      <c r="L13" s="148"/>
      <c r="M13" s="127"/>
      <c r="N13" s="177" t="s">
        <v>31</v>
      </c>
      <c r="O13" s="129"/>
      <c r="P13" s="129"/>
      <c r="Q13" s="129"/>
      <c r="R13" s="129"/>
      <c r="S13" s="127"/>
      <c r="T13" s="127"/>
      <c r="U13" s="127"/>
      <c r="V13" s="127"/>
      <c r="W13" s="127"/>
      <c r="X13" s="127"/>
      <c r="Y13" s="127"/>
      <c r="Z13" s="127"/>
      <c r="AA13" s="127"/>
      <c r="AB13" s="127"/>
      <c r="AC13" s="127"/>
      <c r="AD13" s="129"/>
      <c r="AE13" s="129"/>
      <c r="AF13" s="129"/>
      <c r="AG13" s="129"/>
      <c r="AH13" s="129"/>
      <c r="AI13" s="129"/>
      <c r="AJ13" s="129"/>
      <c r="AK13" s="129"/>
      <c r="AL13" s="129"/>
      <c r="AM13" s="129"/>
      <c r="AN13" s="129"/>
      <c r="AO13" s="129"/>
      <c r="AP13" s="129"/>
      <c r="AQ13" s="129"/>
      <c r="AR13" s="140"/>
    </row>
    <row r="14" spans="1:44" ht="19" x14ac:dyDescent="0.25">
      <c r="A14" s="145"/>
      <c r="B14" s="146"/>
      <c r="C14" s="146"/>
      <c r="D14" s="145"/>
      <c r="E14" s="145"/>
      <c r="F14" s="145"/>
      <c r="G14" s="145"/>
      <c r="H14" s="147"/>
      <c r="I14" s="147"/>
      <c r="J14" s="147"/>
      <c r="K14" s="147"/>
      <c r="L14" s="149"/>
      <c r="M14" s="130"/>
      <c r="N14" s="128" t="s">
        <v>155</v>
      </c>
      <c r="O14" s="128"/>
      <c r="P14" s="130"/>
      <c r="Q14" s="127"/>
      <c r="R14" s="127"/>
      <c r="S14" s="127"/>
      <c r="T14" s="127"/>
      <c r="U14" s="127"/>
      <c r="V14" s="127"/>
      <c r="W14" s="127"/>
      <c r="X14" s="127"/>
      <c r="Y14" s="127"/>
      <c r="Z14" s="127"/>
      <c r="AA14" s="127"/>
      <c r="AB14" s="127"/>
      <c r="AC14" s="127"/>
      <c r="AD14" s="129"/>
      <c r="AE14" s="129"/>
      <c r="AF14" s="129"/>
      <c r="AG14" s="129"/>
      <c r="AH14" s="129"/>
      <c r="AI14" s="129"/>
      <c r="AJ14" s="129"/>
      <c r="AK14" s="129"/>
      <c r="AL14" s="129"/>
      <c r="AM14" s="129"/>
      <c r="AN14" s="129"/>
      <c r="AO14" s="129"/>
      <c r="AP14" s="129"/>
      <c r="AQ14" s="129"/>
      <c r="AR14" s="141"/>
    </row>
    <row r="15" spans="1:44" ht="19" x14ac:dyDescent="0.25">
      <c r="A15" s="150"/>
      <c r="B15" s="151"/>
      <c r="C15" s="151"/>
      <c r="D15" s="151"/>
      <c r="E15" s="151"/>
      <c r="F15" s="151"/>
      <c r="G15" s="151"/>
      <c r="H15" s="151"/>
      <c r="I15" s="151"/>
      <c r="J15" s="151"/>
      <c r="K15" s="151"/>
      <c r="L15" s="152"/>
      <c r="M15" s="130"/>
      <c r="N15" s="128"/>
      <c r="O15" s="128"/>
      <c r="P15" s="130"/>
      <c r="Q15" s="127"/>
      <c r="R15" s="131"/>
      <c r="S15" s="127"/>
      <c r="T15" s="127"/>
      <c r="U15" s="127"/>
      <c r="V15" s="127"/>
      <c r="W15" s="127"/>
      <c r="X15" s="127"/>
      <c r="Y15" s="127"/>
      <c r="Z15" s="127"/>
      <c r="AA15" s="127"/>
      <c r="AB15" s="127"/>
      <c r="AC15" s="127"/>
      <c r="AD15" s="129"/>
      <c r="AE15" s="129"/>
      <c r="AF15" s="129"/>
      <c r="AG15" s="129"/>
      <c r="AH15" s="129"/>
      <c r="AI15" s="129"/>
      <c r="AJ15" s="129"/>
      <c r="AK15" s="129"/>
      <c r="AL15" s="129"/>
      <c r="AM15" s="129"/>
      <c r="AN15" s="129"/>
      <c r="AO15" s="129"/>
      <c r="AP15" s="129"/>
      <c r="AQ15" s="129"/>
      <c r="AR15" s="141"/>
    </row>
    <row r="16" spans="1:44" ht="16" x14ac:dyDescent="0.2">
      <c r="A16" s="150"/>
      <c r="B16" s="65" t="s">
        <v>170</v>
      </c>
      <c r="C16" s="123"/>
      <c r="D16" s="66"/>
      <c r="E16" s="67"/>
      <c r="F16" s="160"/>
      <c r="G16" s="65" t="s">
        <v>157</v>
      </c>
      <c r="H16" s="67"/>
      <c r="I16" s="160"/>
      <c r="J16" s="65" t="s">
        <v>111</v>
      </c>
      <c r="K16" s="67"/>
      <c r="L16" s="163"/>
      <c r="M16" s="130"/>
      <c r="N16" s="504" t="s">
        <v>258</v>
      </c>
      <c r="O16" s="505"/>
      <c r="P16" s="506"/>
      <c r="Q16" s="127"/>
      <c r="R16" s="127"/>
      <c r="S16" s="127"/>
      <c r="T16" s="127"/>
      <c r="U16" s="127"/>
      <c r="V16" s="127"/>
      <c r="W16" s="127"/>
      <c r="X16" s="127"/>
      <c r="Y16" s="127"/>
      <c r="Z16" s="127"/>
      <c r="AA16" s="127"/>
      <c r="AB16" s="127"/>
      <c r="AC16" s="127"/>
      <c r="AD16" s="129"/>
      <c r="AE16" s="129"/>
      <c r="AF16" s="129"/>
      <c r="AG16" s="129"/>
      <c r="AH16" s="129"/>
      <c r="AI16" s="129"/>
      <c r="AJ16" s="129"/>
      <c r="AK16" s="129"/>
      <c r="AL16" s="129"/>
      <c r="AM16" s="129"/>
      <c r="AN16" s="129"/>
      <c r="AO16" s="129"/>
      <c r="AP16" s="129"/>
      <c r="AQ16" s="129"/>
      <c r="AR16" s="143"/>
    </row>
    <row r="17" spans="1:44" ht="16" x14ac:dyDescent="0.2">
      <c r="A17" s="150"/>
      <c r="B17" s="68"/>
      <c r="C17" s="124"/>
      <c r="D17" s="69" t="s">
        <v>55</v>
      </c>
      <c r="E17" s="69" t="s">
        <v>268</v>
      </c>
      <c r="F17" s="165"/>
      <c r="G17" s="70" t="s">
        <v>159</v>
      </c>
      <c r="H17" s="422" t="s">
        <v>308</v>
      </c>
      <c r="I17" s="160"/>
      <c r="J17" s="71" t="s">
        <v>193</v>
      </c>
      <c r="K17" s="469">
        <v>7.3031580167629145E-2</v>
      </c>
      <c r="L17" s="163"/>
      <c r="M17" s="130"/>
      <c r="N17" s="260" t="s">
        <v>110</v>
      </c>
      <c r="O17" s="261"/>
      <c r="P17" s="276">
        <f>Unstructured!D149</f>
        <v>0</v>
      </c>
      <c r="Q17" s="127"/>
      <c r="R17" s="129"/>
      <c r="S17" s="127"/>
      <c r="T17" s="127"/>
      <c r="U17" s="127"/>
      <c r="V17" s="127"/>
      <c r="W17" s="127"/>
      <c r="X17" s="127"/>
      <c r="Y17" s="127"/>
      <c r="Z17" s="127"/>
      <c r="AA17" s="127"/>
      <c r="AB17" s="127"/>
      <c r="AC17" s="127"/>
      <c r="AD17" s="129"/>
      <c r="AE17" s="129"/>
      <c r="AF17" s="129"/>
      <c r="AG17" s="129"/>
      <c r="AH17" s="129"/>
      <c r="AI17" s="129"/>
      <c r="AJ17" s="129"/>
      <c r="AK17" s="129"/>
      <c r="AL17" s="129"/>
      <c r="AM17" s="129"/>
      <c r="AN17" s="129"/>
      <c r="AO17" s="129"/>
      <c r="AP17" s="129"/>
      <c r="AQ17" s="129"/>
      <c r="AR17" s="143"/>
    </row>
    <row r="18" spans="1:44" ht="17" thickBot="1" x14ac:dyDescent="0.25">
      <c r="A18" s="150"/>
      <c r="B18" s="70" t="s">
        <v>267</v>
      </c>
      <c r="C18" s="72"/>
      <c r="D18" s="107">
        <f>(1.42+0.12+0.07+0.012133)-D21</f>
        <v>1.4599196999999999</v>
      </c>
      <c r="E18" s="116">
        <f>$D$18*$E$30</f>
        <v>1.7519036399999999</v>
      </c>
      <c r="F18" s="165"/>
      <c r="G18" s="71" t="s">
        <v>228</v>
      </c>
      <c r="H18" s="105">
        <v>3</v>
      </c>
      <c r="I18" s="160"/>
      <c r="J18" s="71" t="s">
        <v>162</v>
      </c>
      <c r="K18" s="111">
        <v>2.5000000000000001E-2</v>
      </c>
      <c r="L18" s="163"/>
      <c r="M18" s="130"/>
      <c r="N18" s="262" t="s">
        <v>112</v>
      </c>
      <c r="O18" s="263"/>
      <c r="P18" s="277">
        <f>Roof_Upgrade_Cost</f>
        <v>0</v>
      </c>
      <c r="Q18" s="127"/>
      <c r="R18" s="129"/>
      <c r="S18" s="127"/>
      <c r="T18" s="127"/>
      <c r="U18" s="127"/>
      <c r="V18" s="127"/>
      <c r="W18" s="127"/>
      <c r="X18" s="127"/>
      <c r="Y18" s="127"/>
      <c r="Z18" s="127"/>
      <c r="AA18" s="127"/>
      <c r="AB18" s="127"/>
      <c r="AC18" s="127"/>
      <c r="AD18" s="129"/>
      <c r="AE18" s="129"/>
      <c r="AF18" s="129"/>
      <c r="AG18" s="129"/>
      <c r="AH18" s="129"/>
      <c r="AI18" s="129"/>
      <c r="AJ18" s="129"/>
      <c r="AK18" s="129"/>
      <c r="AL18" s="129"/>
      <c r="AM18" s="129"/>
      <c r="AN18" s="129"/>
      <c r="AO18" s="129"/>
      <c r="AP18" s="129"/>
      <c r="AQ18" s="129"/>
      <c r="AR18" s="143"/>
    </row>
    <row r="19" spans="1:44" ht="17" thickTop="1" x14ac:dyDescent="0.2">
      <c r="A19" s="150"/>
      <c r="B19" s="71" t="s">
        <v>132</v>
      </c>
      <c r="C19" s="72"/>
      <c r="D19" s="107">
        <v>0</v>
      </c>
      <c r="E19" s="117">
        <f>$D$19*$E$30</f>
        <v>0</v>
      </c>
      <c r="F19" s="160"/>
      <c r="G19" s="71" t="s">
        <v>158</v>
      </c>
      <c r="H19" s="110">
        <v>1516684.5</v>
      </c>
      <c r="I19" s="160"/>
      <c r="J19" s="75" t="s">
        <v>133</v>
      </c>
      <c r="K19" s="76"/>
      <c r="L19" s="163"/>
      <c r="M19" s="130"/>
      <c r="N19" s="264" t="s">
        <v>259</v>
      </c>
      <c r="O19" s="265"/>
      <c r="P19" s="278">
        <f>SUM(P17:P18)</f>
        <v>0</v>
      </c>
      <c r="Q19" s="127"/>
      <c r="R19" s="129"/>
      <c r="S19" s="127"/>
      <c r="T19" s="127"/>
      <c r="U19" s="127"/>
      <c r="V19" s="127"/>
      <c r="W19" s="127"/>
      <c r="X19" s="127"/>
      <c r="Y19" s="127"/>
      <c r="Z19" s="127"/>
      <c r="AA19" s="127"/>
      <c r="AB19" s="127"/>
      <c r="AC19" s="127"/>
      <c r="AD19" s="129"/>
      <c r="AE19" s="129"/>
      <c r="AF19" s="129"/>
      <c r="AG19" s="129"/>
      <c r="AH19" s="129"/>
      <c r="AI19" s="129"/>
      <c r="AJ19" s="129"/>
      <c r="AK19" s="129"/>
      <c r="AL19" s="129"/>
      <c r="AM19" s="129"/>
      <c r="AN19" s="129"/>
      <c r="AO19" s="129"/>
      <c r="AP19" s="129"/>
      <c r="AQ19" s="129"/>
      <c r="AR19" s="143"/>
    </row>
    <row r="20" spans="1:44" ht="16" x14ac:dyDescent="0.2">
      <c r="A20" s="150"/>
      <c r="B20" s="71" t="s">
        <v>440</v>
      </c>
      <c r="C20" s="72"/>
      <c r="D20" s="107">
        <v>0</v>
      </c>
      <c r="E20" s="117">
        <f>$D$20*$E$30</f>
        <v>0</v>
      </c>
      <c r="F20" s="160"/>
      <c r="G20" s="71" t="s">
        <v>200</v>
      </c>
      <c r="H20" s="108">
        <v>3.5000000000000003E-2</v>
      </c>
      <c r="I20" s="160"/>
      <c r="J20" s="78" t="s">
        <v>1</v>
      </c>
      <c r="K20" s="422" t="s">
        <v>308</v>
      </c>
      <c r="L20" s="163"/>
      <c r="M20" s="130"/>
      <c r="Q20" s="127"/>
      <c r="R20" s="129"/>
      <c r="S20" s="127"/>
      <c r="T20" s="127"/>
      <c r="U20" s="127"/>
      <c r="V20" s="127"/>
      <c r="W20" s="127"/>
      <c r="X20" s="127"/>
      <c r="Y20" s="127"/>
      <c r="Z20" s="127"/>
      <c r="AA20" s="127"/>
      <c r="AB20" s="127"/>
      <c r="AC20" s="127"/>
      <c r="AD20" s="129"/>
      <c r="AE20" s="129"/>
      <c r="AF20" s="129"/>
      <c r="AG20" s="129"/>
      <c r="AH20" s="129"/>
      <c r="AI20" s="129"/>
      <c r="AJ20" s="129"/>
      <c r="AK20" s="129"/>
      <c r="AL20" s="129"/>
      <c r="AM20" s="129"/>
      <c r="AN20" s="129"/>
      <c r="AO20" s="129"/>
      <c r="AP20" s="129"/>
      <c r="AQ20" s="129"/>
      <c r="AR20" s="143"/>
    </row>
    <row r="21" spans="1:44" ht="17" thickBot="1" x14ac:dyDescent="0.25">
      <c r="A21" s="150"/>
      <c r="B21" s="71" t="s">
        <v>45</v>
      </c>
      <c r="C21" s="72"/>
      <c r="D21" s="107">
        <f>(1.42+0.12+0.07+0.012133)*0.1</f>
        <v>0.1622133</v>
      </c>
      <c r="E21" s="118">
        <f>$D$21*$E$30</f>
        <v>0.19465595999999999</v>
      </c>
      <c r="F21" s="160"/>
      <c r="G21" s="80" t="s">
        <v>14</v>
      </c>
      <c r="H21" s="110">
        <v>100000</v>
      </c>
      <c r="I21" s="160"/>
      <c r="J21" s="71" t="s">
        <v>102</v>
      </c>
      <c r="K21" s="112">
        <v>110</v>
      </c>
      <c r="L21" s="163"/>
      <c r="M21" s="130"/>
      <c r="N21" s="501" t="s">
        <v>128</v>
      </c>
      <c r="O21" s="502"/>
      <c r="P21" s="503"/>
      <c r="Q21" s="127"/>
      <c r="R21" s="129"/>
      <c r="S21" s="127"/>
      <c r="T21" s="127"/>
      <c r="U21" s="127"/>
      <c r="V21" s="127"/>
      <c r="W21" s="127"/>
      <c r="X21" s="127"/>
      <c r="Y21" s="127"/>
      <c r="Z21" s="127"/>
      <c r="AA21" s="127"/>
      <c r="AB21" s="127"/>
      <c r="AC21" s="127"/>
      <c r="AD21" s="129"/>
      <c r="AE21" s="129"/>
      <c r="AF21" s="129"/>
      <c r="AG21" s="129"/>
      <c r="AH21" s="129"/>
      <c r="AI21" s="129"/>
      <c r="AJ21" s="129"/>
      <c r="AK21" s="129"/>
      <c r="AL21" s="129"/>
      <c r="AM21" s="129"/>
      <c r="AN21" s="129"/>
      <c r="AO21" s="129"/>
      <c r="AP21" s="129"/>
      <c r="AQ21" s="129"/>
      <c r="AR21" s="143"/>
    </row>
    <row r="22" spans="1:44" ht="18" thickTop="1" thickBot="1" x14ac:dyDescent="0.25">
      <c r="A22" s="150"/>
      <c r="B22" s="71" t="s">
        <v>227</v>
      </c>
      <c r="C22" s="72"/>
      <c r="D22" s="118">
        <f>SUM(D18:D21)</f>
        <v>1.6221329999999998</v>
      </c>
      <c r="E22" s="79">
        <f>SUM(E18:E21)</f>
        <v>1.9465595999999998</v>
      </c>
      <c r="F22" s="160"/>
      <c r="G22" s="65" t="s">
        <v>72</v>
      </c>
      <c r="H22" s="67"/>
      <c r="I22" s="160"/>
      <c r="J22" s="71" t="s">
        <v>250</v>
      </c>
      <c r="K22" s="106">
        <v>1000</v>
      </c>
      <c r="L22" s="163"/>
      <c r="M22" s="130"/>
      <c r="N22" s="280" t="s">
        <v>34</v>
      </c>
      <c r="O22" s="281"/>
      <c r="P22" s="279">
        <f>$H$23</f>
        <v>3675120.790361709</v>
      </c>
      <c r="Q22" s="127"/>
      <c r="R22" s="129"/>
      <c r="S22" s="127"/>
      <c r="T22" s="127"/>
      <c r="U22" s="127"/>
      <c r="V22" s="127"/>
      <c r="W22" s="127"/>
      <c r="X22" s="127"/>
      <c r="Y22" s="127"/>
      <c r="Z22" s="127"/>
      <c r="AA22" s="127"/>
      <c r="AB22" s="127"/>
      <c r="AC22" s="127"/>
      <c r="AD22" s="129"/>
      <c r="AE22" s="129"/>
      <c r="AF22" s="129"/>
      <c r="AG22" s="129"/>
      <c r="AH22" s="129"/>
      <c r="AI22" s="129"/>
      <c r="AJ22" s="129"/>
      <c r="AK22" s="129"/>
      <c r="AL22" s="129"/>
      <c r="AM22" s="129"/>
      <c r="AN22" s="129"/>
      <c r="AO22" s="129"/>
      <c r="AP22" s="129"/>
      <c r="AQ22" s="129"/>
      <c r="AR22" s="143"/>
    </row>
    <row r="23" spans="1:44" ht="18" thickTop="1" thickBot="1" x14ac:dyDescent="0.25">
      <c r="A23" s="150"/>
      <c r="B23" s="71" t="s">
        <v>46</v>
      </c>
      <c r="C23" s="72"/>
      <c r="D23" s="106">
        <v>2190000</v>
      </c>
      <c r="E23" s="119">
        <f>Size_of_System_in_W_DC/$E$30</f>
        <v>1825000</v>
      </c>
      <c r="F23" s="160"/>
      <c r="G23" s="70" t="s">
        <v>144</v>
      </c>
      <c r="H23" s="110">
        <f>Aggregate_Project_Cost</f>
        <v>3675120.790361709</v>
      </c>
      <c r="I23" s="160"/>
      <c r="J23" s="71" t="s">
        <v>103</v>
      </c>
      <c r="K23" s="108">
        <v>-2.5000000000000001E-2</v>
      </c>
      <c r="L23" s="163"/>
      <c r="M23" s="130"/>
      <c r="N23" s="268" t="s">
        <v>74</v>
      </c>
      <c r="O23" s="263"/>
      <c r="P23" s="279">
        <f>IF($H$27="Yes",$P$22*$H$32,0)</f>
        <v>0</v>
      </c>
      <c r="Q23" s="132"/>
      <c r="R23" s="129"/>
      <c r="S23" s="127"/>
      <c r="T23" s="127"/>
      <c r="U23" s="127"/>
      <c r="V23" s="127"/>
      <c r="W23" s="127"/>
      <c r="X23" s="127"/>
      <c r="Y23" s="127"/>
      <c r="Z23" s="127"/>
      <c r="AA23" s="127"/>
      <c r="AB23" s="127"/>
      <c r="AC23" s="127"/>
      <c r="AD23" s="129"/>
      <c r="AE23" s="129"/>
      <c r="AF23" s="129"/>
      <c r="AG23" s="129"/>
      <c r="AH23" s="129"/>
      <c r="AI23" s="129"/>
      <c r="AJ23" s="129"/>
      <c r="AK23" s="129"/>
      <c r="AL23" s="129"/>
      <c r="AM23" s="129"/>
      <c r="AN23" s="129"/>
      <c r="AO23" s="129"/>
      <c r="AP23" s="129"/>
      <c r="AQ23" s="129"/>
      <c r="AR23" s="143"/>
    </row>
    <row r="24" spans="1:44" ht="18" thickTop="1" thickBot="1" x14ac:dyDescent="0.25">
      <c r="A24" s="150"/>
      <c r="B24" s="71" t="s">
        <v>229</v>
      </c>
      <c r="C24" s="72"/>
      <c r="D24" s="107">
        <v>0</v>
      </c>
      <c r="E24" s="118">
        <f>$D$24*$E$30</f>
        <v>0</v>
      </c>
      <c r="F24" s="160"/>
      <c r="G24" s="82" t="s">
        <v>213</v>
      </c>
      <c r="H24" s="120">
        <f>Project_Sale_Price-IF(Project_Debt?="Yes",$H$30,0)</f>
        <v>3675120.790361709</v>
      </c>
      <c r="I24" s="160"/>
      <c r="J24" s="80" t="s">
        <v>101</v>
      </c>
      <c r="K24" s="105">
        <v>10</v>
      </c>
      <c r="L24" s="163"/>
      <c r="M24" s="130"/>
      <c r="N24" s="268" t="s">
        <v>75</v>
      </c>
      <c r="O24" s="263"/>
      <c r="P24" s="279">
        <f>P22-P23</f>
        <v>3675120.790361709</v>
      </c>
      <c r="Q24" s="127"/>
      <c r="R24" s="129"/>
      <c r="S24" s="129"/>
      <c r="T24" s="129"/>
      <c r="U24" s="129"/>
      <c r="V24" s="127"/>
      <c r="W24" s="127"/>
      <c r="X24" s="127"/>
      <c r="Y24" s="127"/>
      <c r="Z24" s="127"/>
      <c r="AA24" s="127"/>
      <c r="AB24" s="127"/>
      <c r="AC24" s="127"/>
      <c r="AD24" s="129"/>
      <c r="AE24" s="129"/>
      <c r="AF24" s="129"/>
      <c r="AG24" s="129"/>
      <c r="AH24" s="129"/>
      <c r="AI24" s="129"/>
      <c r="AJ24" s="129"/>
      <c r="AK24" s="129"/>
      <c r="AL24" s="129"/>
      <c r="AM24" s="129"/>
      <c r="AN24" s="129"/>
      <c r="AO24" s="129"/>
      <c r="AP24" s="129"/>
      <c r="AQ24" s="129"/>
      <c r="AR24" s="143"/>
    </row>
    <row r="25" spans="1:44" ht="17" thickTop="1" x14ac:dyDescent="0.2">
      <c r="A25" s="150"/>
      <c r="B25" s="71" t="s">
        <v>299</v>
      </c>
      <c r="C25" s="72"/>
      <c r="D25" s="72"/>
      <c r="E25" s="106">
        <v>1744.6808202283075</v>
      </c>
      <c r="F25" s="160"/>
      <c r="G25" s="80" t="s">
        <v>373</v>
      </c>
      <c r="H25" s="108">
        <v>6.5000000000000002E-2</v>
      </c>
      <c r="I25" s="160"/>
      <c r="J25" s="75" t="s">
        <v>62</v>
      </c>
      <c r="K25" s="76"/>
      <c r="L25" s="163"/>
      <c r="M25" s="130"/>
      <c r="N25" s="269" t="s">
        <v>148</v>
      </c>
      <c r="O25" s="270"/>
      <c r="P25" s="279">
        <f>Unstructured!C89</f>
        <v>401885.18519459246</v>
      </c>
      <c r="Q25" s="127"/>
      <c r="R25" s="129"/>
      <c r="S25" s="129"/>
      <c r="T25" s="129"/>
      <c r="U25" s="129"/>
      <c r="V25" s="127"/>
      <c r="W25" s="127"/>
      <c r="X25" s="127"/>
      <c r="Y25" s="127"/>
      <c r="Z25" s="127"/>
      <c r="AA25" s="127"/>
      <c r="AB25" s="127"/>
      <c r="AC25" s="127"/>
      <c r="AD25" s="129"/>
      <c r="AE25" s="129"/>
      <c r="AF25" s="129"/>
      <c r="AG25" s="129"/>
      <c r="AH25" s="129"/>
      <c r="AI25" s="129"/>
      <c r="AJ25" s="129"/>
      <c r="AK25" s="129"/>
      <c r="AL25" s="129"/>
      <c r="AM25" s="129"/>
      <c r="AN25" s="129"/>
      <c r="AO25" s="129"/>
      <c r="AP25" s="129"/>
      <c r="AQ25" s="129"/>
      <c r="AR25" s="143"/>
    </row>
    <row r="26" spans="1:44" ht="16" x14ac:dyDescent="0.2">
      <c r="A26" s="150"/>
      <c r="B26" s="71" t="s">
        <v>230</v>
      </c>
      <c r="C26" s="72"/>
      <c r="D26" s="72"/>
      <c r="E26" s="108">
        <v>5.0000000000000001E-3</v>
      </c>
      <c r="F26" s="166" t="s">
        <v>109</v>
      </c>
      <c r="G26" s="65" t="s">
        <v>66</v>
      </c>
      <c r="H26" s="67" t="s">
        <v>474</v>
      </c>
      <c r="I26" s="160"/>
      <c r="J26" s="71" t="s">
        <v>204</v>
      </c>
      <c r="K26" s="111">
        <v>0</v>
      </c>
      <c r="L26" s="163"/>
      <c r="M26" s="130"/>
      <c r="N26" s="269" t="s">
        <v>150</v>
      </c>
      <c r="O26" s="270"/>
      <c r="P26" s="282">
        <f>Unstructured!C90</f>
        <v>8.0025571611758828E-2</v>
      </c>
      <c r="Q26" s="127"/>
      <c r="R26" s="129"/>
      <c r="S26" s="129"/>
      <c r="T26" s="129"/>
      <c r="U26" s="129"/>
      <c r="V26" s="127"/>
      <c r="W26" s="127"/>
      <c r="X26" s="127"/>
      <c r="Y26" s="127"/>
      <c r="Z26" s="127"/>
      <c r="AA26" s="127"/>
      <c r="AB26" s="127"/>
      <c r="AC26" s="127"/>
      <c r="AD26" s="129"/>
      <c r="AE26" s="129"/>
      <c r="AF26" s="129"/>
      <c r="AG26" s="129"/>
      <c r="AH26" s="129"/>
      <c r="AI26" s="129"/>
      <c r="AJ26" s="129"/>
      <c r="AK26" s="129"/>
      <c r="AL26" s="129"/>
      <c r="AM26" s="129"/>
      <c r="AN26" s="129"/>
      <c r="AO26" s="129"/>
      <c r="AP26" s="129"/>
      <c r="AQ26" s="129"/>
      <c r="AR26" s="143"/>
    </row>
    <row r="27" spans="1:44" ht="16" x14ac:dyDescent="0.2">
      <c r="A27" s="150"/>
      <c r="B27" s="71" t="s">
        <v>290</v>
      </c>
      <c r="C27" s="72"/>
      <c r="D27" s="72"/>
      <c r="E27" s="435">
        <v>0.96</v>
      </c>
      <c r="F27" s="167">
        <v>1</v>
      </c>
      <c r="G27" s="70" t="s">
        <v>39</v>
      </c>
      <c r="H27" s="422" t="s">
        <v>308</v>
      </c>
      <c r="I27" s="160"/>
      <c r="J27" s="71" t="s">
        <v>192</v>
      </c>
      <c r="K27" s="120">
        <f>K34</f>
        <v>250000</v>
      </c>
      <c r="L27" s="163"/>
      <c r="M27" s="130"/>
      <c r="N27" s="271" t="s">
        <v>60</v>
      </c>
      <c r="O27" s="265"/>
      <c r="P27" s="283">
        <f>Unstructured!C83</f>
        <v>4.0310784414732792E-2</v>
      </c>
      <c r="Q27" s="127"/>
      <c r="R27" s="127"/>
      <c r="S27" s="129"/>
      <c r="T27" s="129"/>
      <c r="U27" s="129"/>
      <c r="V27" s="127"/>
      <c r="W27" s="127"/>
      <c r="X27" s="127"/>
      <c r="Y27" s="127"/>
      <c r="Z27" s="127"/>
      <c r="AA27" s="127"/>
      <c r="AB27" s="127"/>
      <c r="AC27" s="127"/>
      <c r="AD27" s="129"/>
      <c r="AE27" s="129"/>
      <c r="AF27" s="129"/>
      <c r="AG27" s="129"/>
      <c r="AH27" s="129"/>
      <c r="AI27" s="129"/>
      <c r="AJ27" s="129"/>
      <c r="AK27" s="129"/>
      <c r="AL27" s="129"/>
      <c r="AM27" s="129"/>
      <c r="AN27" s="129"/>
      <c r="AO27" s="129"/>
      <c r="AP27" s="129"/>
      <c r="AQ27" s="129"/>
      <c r="AR27" s="143"/>
    </row>
    <row r="28" spans="1:44" ht="16" x14ac:dyDescent="0.2">
      <c r="A28" s="150"/>
      <c r="B28" s="71" t="s">
        <v>248</v>
      </c>
      <c r="C28" s="72"/>
      <c r="D28" s="72"/>
      <c r="E28" s="436">
        <f>(Size_of_System_in_W_DC/1000)*$E$25</f>
        <v>3820850.9962999937</v>
      </c>
      <c r="F28" s="168"/>
      <c r="G28" s="71" t="s">
        <v>40</v>
      </c>
      <c r="H28" s="105">
        <v>20</v>
      </c>
      <c r="I28" s="160"/>
      <c r="J28" s="71" t="s">
        <v>374</v>
      </c>
      <c r="K28" s="325">
        <v>2.5000000000000001E-2</v>
      </c>
      <c r="L28" s="163"/>
      <c r="M28" s="136"/>
      <c r="N28"/>
      <c r="O28"/>
      <c r="P28"/>
      <c r="Q28" s="127"/>
      <c r="R28" s="127"/>
      <c r="S28" s="129"/>
      <c r="T28" s="129"/>
      <c r="U28" s="129"/>
      <c r="V28" s="127"/>
      <c r="W28" s="127"/>
      <c r="X28" s="127"/>
      <c r="Y28" s="127"/>
      <c r="Z28" s="127"/>
      <c r="AA28" s="127"/>
      <c r="AB28" s="127"/>
      <c r="AC28" s="127"/>
      <c r="AD28" s="129"/>
      <c r="AE28" s="129"/>
      <c r="AF28" s="129"/>
      <c r="AG28" s="129"/>
      <c r="AH28" s="129"/>
      <c r="AI28" s="129"/>
      <c r="AJ28" s="129"/>
      <c r="AK28" s="129"/>
      <c r="AL28" s="129"/>
      <c r="AM28" s="129"/>
      <c r="AN28" s="129"/>
      <c r="AO28" s="129"/>
      <c r="AP28" s="129"/>
      <c r="AQ28" s="129"/>
      <c r="AR28" s="141"/>
    </row>
    <row r="29" spans="1:44" ht="17" thickBot="1" x14ac:dyDescent="0.25">
      <c r="A29" s="150"/>
      <c r="B29" s="71" t="s">
        <v>249</v>
      </c>
      <c r="C29" s="72"/>
      <c r="D29" s="72"/>
      <c r="E29" s="119">
        <f>$E$28*$E$27</f>
        <v>3668016.9564479939</v>
      </c>
      <c r="F29" s="160"/>
      <c r="G29" s="71" t="s">
        <v>41</v>
      </c>
      <c r="H29" s="108">
        <v>5.5E-2</v>
      </c>
      <c r="I29" s="160"/>
      <c r="J29" s="71" t="s">
        <v>180</v>
      </c>
      <c r="K29" s="326">
        <v>0</v>
      </c>
      <c r="L29" s="163"/>
      <c r="M29" s="130"/>
      <c r="N29" s="504" t="s">
        <v>194</v>
      </c>
      <c r="O29" s="505"/>
      <c r="P29" s="506"/>
      <c r="Q29" s="127"/>
      <c r="R29" s="127"/>
      <c r="S29" s="129"/>
      <c r="T29" s="129"/>
      <c r="U29" s="129"/>
      <c r="V29" s="127"/>
      <c r="W29" s="127"/>
      <c r="X29" s="127"/>
      <c r="Y29" s="127"/>
      <c r="Z29" s="127"/>
      <c r="AA29" s="127"/>
      <c r="AB29" s="127"/>
      <c r="AC29" s="127"/>
      <c r="AD29" s="129"/>
      <c r="AE29" s="129"/>
      <c r="AF29" s="129"/>
      <c r="AG29" s="129"/>
      <c r="AH29" s="129"/>
      <c r="AI29" s="129"/>
      <c r="AJ29" s="129"/>
      <c r="AK29" s="129"/>
      <c r="AL29" s="129"/>
      <c r="AM29" s="129"/>
      <c r="AN29" s="129"/>
      <c r="AO29" s="129"/>
      <c r="AP29" s="129"/>
      <c r="AQ29" s="129"/>
      <c r="AR29" s="141"/>
    </row>
    <row r="30" spans="1:44" ht="17" thickTop="1" x14ac:dyDescent="0.2">
      <c r="A30" s="150"/>
      <c r="B30" s="80" t="s">
        <v>33</v>
      </c>
      <c r="C30" s="83"/>
      <c r="D30" s="81"/>
      <c r="E30" s="109">
        <v>1.2</v>
      </c>
      <c r="F30" s="160"/>
      <c r="G30" s="71" t="s">
        <v>42</v>
      </c>
      <c r="H30" s="110">
        <v>1470048.3161446836</v>
      </c>
      <c r="I30" s="160"/>
      <c r="J30" s="71" t="s">
        <v>300</v>
      </c>
      <c r="K30" s="327">
        <f>Size_of_System_in_W_DC*$D$24</f>
        <v>0</v>
      </c>
      <c r="L30" s="163"/>
      <c r="M30" s="130"/>
      <c r="N30" s="266" t="s">
        <v>467</v>
      </c>
      <c r="O30" s="267"/>
      <c r="P30" s="284" t="str">
        <f>Unstructured!$C$84</f>
        <v>Pass</v>
      </c>
      <c r="Q30" s="127"/>
      <c r="R30" s="127"/>
      <c r="S30" s="129"/>
      <c r="T30" s="129"/>
      <c r="U30" s="129"/>
      <c r="V30" s="127"/>
      <c r="W30" s="127"/>
      <c r="X30" s="127"/>
      <c r="Y30" s="127"/>
      <c r="Z30" s="127"/>
      <c r="AA30" s="127"/>
      <c r="AB30" s="127"/>
      <c r="AC30" s="127"/>
      <c r="AD30" s="129"/>
      <c r="AE30" s="129"/>
      <c r="AF30" s="129"/>
      <c r="AG30" s="129"/>
      <c r="AH30" s="129"/>
      <c r="AI30" s="129"/>
      <c r="AJ30" s="129"/>
      <c r="AK30" s="129"/>
      <c r="AL30" s="129"/>
      <c r="AM30" s="129"/>
      <c r="AN30" s="129"/>
      <c r="AO30" s="129"/>
      <c r="AP30" s="129"/>
      <c r="AQ30" s="129"/>
      <c r="AR30" s="141"/>
    </row>
    <row r="31" spans="1:44" ht="16" x14ac:dyDescent="0.2">
      <c r="A31" s="150"/>
      <c r="B31" s="513" t="s">
        <v>85</v>
      </c>
      <c r="C31" s="514"/>
      <c r="D31" s="515"/>
      <c r="E31" s="516"/>
      <c r="F31" s="160"/>
      <c r="G31" s="71" t="s">
        <v>136</v>
      </c>
      <c r="H31" s="108">
        <v>1.2</v>
      </c>
      <c r="I31" s="160"/>
      <c r="J31" s="80" t="s">
        <v>301</v>
      </c>
      <c r="K31" s="328">
        <v>0.05</v>
      </c>
      <c r="L31" s="163"/>
      <c r="M31" s="130"/>
      <c r="N31" s="272" t="s">
        <v>117</v>
      </c>
      <c r="O31" s="263"/>
      <c r="P31" s="285" t="str">
        <f>Unstructured!C106</f>
        <v>N/A</v>
      </c>
      <c r="Q31" s="127"/>
      <c r="R31" s="127"/>
      <c r="S31" s="129"/>
      <c r="T31" s="129"/>
      <c r="U31" s="129"/>
      <c r="V31" s="127"/>
      <c r="W31" s="127"/>
      <c r="X31" s="127"/>
      <c r="Y31" s="127"/>
      <c r="Z31" s="127"/>
      <c r="AA31" s="127"/>
      <c r="AB31" s="127"/>
      <c r="AC31" s="127"/>
      <c r="AD31" s="129"/>
      <c r="AE31" s="129"/>
      <c r="AF31" s="129"/>
      <c r="AG31" s="129"/>
      <c r="AH31" s="129"/>
      <c r="AI31" s="129"/>
      <c r="AJ31" s="129"/>
      <c r="AK31" s="129"/>
      <c r="AL31" s="129"/>
      <c r="AM31" s="129"/>
      <c r="AN31" s="129"/>
      <c r="AO31" s="129"/>
      <c r="AP31" s="129"/>
      <c r="AQ31" s="129"/>
      <c r="AR31" s="143"/>
    </row>
    <row r="32" spans="1:44" ht="16" x14ac:dyDescent="0.2">
      <c r="A32" s="150"/>
      <c r="B32" s="459" t="s">
        <v>88</v>
      </c>
      <c r="C32" s="460"/>
      <c r="D32" s="462"/>
      <c r="E32" s="120">
        <f>Size_of_System_in_W_DC*$D$18</f>
        <v>3197224.1429999997</v>
      </c>
      <c r="F32" s="160"/>
      <c r="G32" s="80" t="s">
        <v>137</v>
      </c>
      <c r="H32" s="321">
        <v>0.05</v>
      </c>
      <c r="I32" s="160"/>
      <c r="J32" s="86" t="s">
        <v>135</v>
      </c>
      <c r="K32" s="96"/>
      <c r="L32" s="163"/>
      <c r="M32" s="130"/>
      <c r="N32" s="272" t="s">
        <v>63</v>
      </c>
      <c r="O32" s="263"/>
      <c r="P32" s="285" t="str">
        <f>Unstructured!C105</f>
        <v>N/A</v>
      </c>
      <c r="Q32" s="127"/>
      <c r="R32" s="127"/>
      <c r="S32" s="129"/>
      <c r="T32" s="129"/>
      <c r="U32" s="129"/>
      <c r="V32" s="127"/>
      <c r="W32" s="127"/>
      <c r="X32" s="127"/>
      <c r="Y32" s="127"/>
      <c r="Z32" s="127"/>
      <c r="AA32" s="127"/>
      <c r="AB32" s="127"/>
      <c r="AC32" s="127"/>
      <c r="AD32" s="129"/>
      <c r="AE32" s="129"/>
      <c r="AF32" s="129"/>
      <c r="AG32" s="129"/>
      <c r="AH32" s="129"/>
      <c r="AI32" s="129"/>
      <c r="AJ32" s="129"/>
      <c r="AK32" s="129"/>
      <c r="AL32" s="129"/>
      <c r="AM32" s="129"/>
      <c r="AN32" s="129"/>
      <c r="AO32" s="129"/>
      <c r="AP32" s="129"/>
      <c r="AQ32" s="129"/>
      <c r="AR32" s="143"/>
    </row>
    <row r="33" spans="1:44" ht="16" x14ac:dyDescent="0.2">
      <c r="A33" s="150"/>
      <c r="B33" s="71" t="s">
        <v>256</v>
      </c>
      <c r="C33" s="72"/>
      <c r="D33" s="64"/>
      <c r="E33" s="120">
        <f>$D$19*Size_of_System_in_W_DC</f>
        <v>0</v>
      </c>
      <c r="F33" s="160"/>
      <c r="G33" s="523" t="s">
        <v>316</v>
      </c>
      <c r="H33" s="524"/>
      <c r="I33" s="160"/>
      <c r="J33" s="71" t="s">
        <v>10</v>
      </c>
      <c r="K33" s="422" t="s">
        <v>419</v>
      </c>
      <c r="L33" s="163"/>
      <c r="M33" s="130"/>
      <c r="N33" s="268"/>
      <c r="O33" s="263"/>
      <c r="P33" s="286"/>
      <c r="Q33" s="127"/>
      <c r="R33" s="127"/>
      <c r="S33" s="129"/>
      <c r="T33" s="129"/>
      <c r="U33" s="129"/>
      <c r="V33" s="127"/>
      <c r="W33" s="127"/>
      <c r="X33" s="127"/>
      <c r="Y33" s="127"/>
      <c r="Z33" s="127"/>
      <c r="AA33" s="127"/>
      <c r="AB33" s="127"/>
      <c r="AC33" s="127"/>
      <c r="AD33" s="129"/>
      <c r="AE33" s="129"/>
      <c r="AF33" s="129"/>
      <c r="AG33" s="129"/>
      <c r="AH33" s="129"/>
      <c r="AI33" s="129"/>
      <c r="AJ33" s="129"/>
      <c r="AK33" s="129"/>
      <c r="AL33" s="129"/>
      <c r="AM33" s="129"/>
      <c r="AN33" s="129"/>
      <c r="AO33" s="129"/>
      <c r="AP33" s="129"/>
      <c r="AQ33" s="129"/>
      <c r="AR33" s="143"/>
    </row>
    <row r="34" spans="1:44" ht="16" x14ac:dyDescent="0.2">
      <c r="A34" s="150"/>
      <c r="B34" s="71" t="s">
        <v>440</v>
      </c>
      <c r="C34" s="72"/>
      <c r="D34" s="64"/>
      <c r="E34" s="120">
        <f>$D$20*Size_of_System_in_W_DC</f>
        <v>0</v>
      </c>
      <c r="F34" s="160"/>
      <c r="G34" s="71" t="s">
        <v>458</v>
      </c>
      <c r="H34" s="421" t="s">
        <v>457</v>
      </c>
      <c r="I34" s="160"/>
      <c r="J34" s="71" t="s">
        <v>376</v>
      </c>
      <c r="K34" s="110">
        <v>250000</v>
      </c>
      <c r="L34" s="163"/>
      <c r="M34" s="130"/>
      <c r="N34" s="268" t="s">
        <v>82</v>
      </c>
      <c r="O34" s="263"/>
      <c r="P34" s="287">
        <f>E32</f>
        <v>3197224.1429999997</v>
      </c>
      <c r="Q34" s="127"/>
      <c r="R34" s="127"/>
      <c r="S34" s="129"/>
      <c r="T34" s="129"/>
      <c r="U34" s="129"/>
      <c r="V34" s="127"/>
      <c r="W34" s="127"/>
      <c r="X34" s="127"/>
      <c r="Y34" s="127"/>
      <c r="Z34" s="127"/>
      <c r="AA34" s="127"/>
      <c r="AB34" s="127"/>
      <c r="AC34" s="127"/>
      <c r="AD34" s="129"/>
      <c r="AE34" s="129"/>
      <c r="AF34" s="129"/>
      <c r="AG34" s="129"/>
      <c r="AH34" s="129"/>
      <c r="AI34" s="129"/>
      <c r="AJ34" s="129"/>
      <c r="AK34" s="129"/>
      <c r="AL34" s="129"/>
      <c r="AM34" s="129"/>
      <c r="AN34" s="129"/>
      <c r="AO34" s="129"/>
      <c r="AP34" s="129"/>
      <c r="AQ34" s="129"/>
      <c r="AR34" s="143"/>
    </row>
    <row r="35" spans="1:44" ht="16" x14ac:dyDescent="0.2">
      <c r="A35" s="150"/>
      <c r="B35" s="71" t="s">
        <v>257</v>
      </c>
      <c r="C35" s="72"/>
      <c r="D35" s="64"/>
      <c r="E35" s="120">
        <f>$D$21*Size_of_System_in_W_DC</f>
        <v>355247.12700000004</v>
      </c>
      <c r="F35" s="160"/>
      <c r="G35" s="71" t="s">
        <v>235</v>
      </c>
      <c r="H35" s="421" t="s">
        <v>455</v>
      </c>
      <c r="I35" s="160"/>
      <c r="J35" s="71" t="s">
        <v>94</v>
      </c>
      <c r="K35" s="422" t="s">
        <v>3</v>
      </c>
      <c r="L35" s="163"/>
      <c r="M35" s="130"/>
      <c r="N35" s="268" t="s">
        <v>309</v>
      </c>
      <c r="O35" s="263"/>
      <c r="P35" s="287">
        <f>E33</f>
        <v>0</v>
      </c>
      <c r="Q35" s="127"/>
      <c r="R35" s="127"/>
      <c r="S35" s="129"/>
      <c r="T35" s="129"/>
      <c r="U35" s="129"/>
      <c r="V35" s="127"/>
      <c r="W35" s="127"/>
      <c r="X35" s="127"/>
      <c r="Y35" s="127"/>
      <c r="Z35" s="127"/>
      <c r="AA35" s="127"/>
      <c r="AB35" s="127"/>
      <c r="AC35" s="127"/>
      <c r="AD35" s="129"/>
      <c r="AE35" s="129"/>
      <c r="AF35" s="129"/>
      <c r="AG35" s="129"/>
      <c r="AH35" s="129"/>
      <c r="AI35" s="129"/>
      <c r="AJ35" s="129"/>
      <c r="AK35" s="129"/>
      <c r="AL35" s="129"/>
      <c r="AM35" s="129"/>
      <c r="AN35" s="129"/>
      <c r="AO35" s="129"/>
      <c r="AP35" s="129"/>
      <c r="AQ35" s="129"/>
      <c r="AR35" s="143"/>
    </row>
    <row r="36" spans="1:44" ht="17" customHeight="1" x14ac:dyDescent="0.2">
      <c r="A36" s="150"/>
      <c r="B36" s="71" t="s">
        <v>96</v>
      </c>
      <c r="C36" s="72"/>
      <c r="D36" s="64"/>
      <c r="E36" s="120">
        <f>IF(Site_Purchase_or_Lease?="Purchase",$K$34,0)</f>
        <v>0</v>
      </c>
      <c r="F36" s="160"/>
      <c r="G36" s="71" t="s">
        <v>151</v>
      </c>
      <c r="H36" s="421" t="s">
        <v>372</v>
      </c>
      <c r="I36" s="160"/>
      <c r="J36" s="71" t="s">
        <v>375</v>
      </c>
      <c r="K36" s="422" t="s">
        <v>308</v>
      </c>
      <c r="L36" s="163"/>
      <c r="M36" s="130"/>
      <c r="N36" s="268" t="s">
        <v>58</v>
      </c>
      <c r="O36" s="270"/>
      <c r="P36" s="287">
        <f>E35</f>
        <v>355247.12700000004</v>
      </c>
      <c r="Q36" s="127"/>
      <c r="R36" s="127"/>
      <c r="S36" s="129"/>
      <c r="T36" s="129"/>
      <c r="U36" s="129"/>
      <c r="V36" s="127"/>
      <c r="W36" s="127"/>
      <c r="X36" s="127"/>
      <c r="Y36" s="127"/>
      <c r="Z36" s="127"/>
      <c r="AA36" s="127"/>
      <c r="AB36" s="127"/>
      <c r="AC36" s="127"/>
      <c r="AD36" s="129"/>
      <c r="AE36" s="129"/>
      <c r="AF36" s="129"/>
      <c r="AG36" s="129"/>
      <c r="AH36" s="129"/>
      <c r="AI36" s="129"/>
      <c r="AJ36" s="129"/>
      <c r="AK36" s="129"/>
      <c r="AL36" s="129"/>
      <c r="AM36" s="129"/>
      <c r="AN36" s="129"/>
      <c r="AO36" s="129"/>
      <c r="AP36" s="129"/>
      <c r="AQ36" s="129"/>
      <c r="AR36" s="143"/>
    </row>
    <row r="37" spans="1:44" ht="16" x14ac:dyDescent="0.2">
      <c r="A37" s="150"/>
      <c r="B37" s="71" t="s">
        <v>15</v>
      </c>
      <c r="C37" s="72"/>
      <c r="D37" s="64"/>
      <c r="E37" s="120">
        <f>IF(Construction_Loan?="Yes",Construction_Loan_Fee+(Construction_Loan_Amount*(Construction_Loan_Rate/12)*Construction_Loan_Term),0)</f>
        <v>0</v>
      </c>
      <c r="F37" s="160"/>
      <c r="G37" s="71" t="s">
        <v>8</v>
      </c>
      <c r="H37" s="200">
        <v>0.5</v>
      </c>
      <c r="I37" s="160"/>
      <c r="J37" s="71" t="s">
        <v>302</v>
      </c>
      <c r="K37" s="111">
        <v>1.4999999999999999E-2</v>
      </c>
      <c r="L37" s="163"/>
      <c r="M37" s="130"/>
      <c r="N37" s="268" t="s">
        <v>59</v>
      </c>
      <c r="O37" s="263"/>
      <c r="P37" s="287">
        <f>SUM(E36:E38)</f>
        <v>122649.52036170941</v>
      </c>
      <c r="Q37" s="127"/>
      <c r="R37" s="127"/>
      <c r="S37" s="127"/>
      <c r="T37" s="127"/>
      <c r="U37" s="127"/>
      <c r="V37" s="127"/>
      <c r="W37" s="127"/>
      <c r="X37" s="127"/>
      <c r="Y37" s="127"/>
      <c r="Z37" s="127"/>
      <c r="AA37" s="127"/>
      <c r="AB37" s="127"/>
      <c r="AC37" s="127"/>
      <c r="AD37" s="129"/>
      <c r="AE37" s="129"/>
      <c r="AF37" s="129"/>
      <c r="AG37" s="129"/>
      <c r="AH37" s="129"/>
      <c r="AI37" s="129"/>
      <c r="AJ37" s="129"/>
      <c r="AK37" s="129"/>
      <c r="AL37" s="129"/>
      <c r="AM37" s="129"/>
      <c r="AN37" s="129"/>
      <c r="AO37" s="129"/>
      <c r="AP37" s="129"/>
      <c r="AQ37" s="129"/>
      <c r="AR37" s="143"/>
    </row>
    <row r="38" spans="1:44" ht="17" thickBot="1" x14ac:dyDescent="0.25">
      <c r="A38" s="150"/>
      <c r="B38" s="71" t="s">
        <v>231</v>
      </c>
      <c r="C38" s="72"/>
      <c r="D38" s="64"/>
      <c r="E38" s="110">
        <v>122649.52036170941</v>
      </c>
      <c r="F38" s="160"/>
      <c r="G38" s="71" t="s">
        <v>201</v>
      </c>
      <c r="H38" s="200">
        <v>0.21</v>
      </c>
      <c r="I38" s="160"/>
      <c r="J38" s="71" t="s">
        <v>95</v>
      </c>
      <c r="K38" s="112">
        <v>0</v>
      </c>
      <c r="L38" s="163"/>
      <c r="M38" s="130"/>
      <c r="N38" s="268" t="s">
        <v>92</v>
      </c>
      <c r="O38" s="273"/>
      <c r="P38" s="277">
        <f>$H$23-$E$39</f>
        <v>0</v>
      </c>
      <c r="Q38" s="127"/>
      <c r="R38" s="127"/>
      <c r="S38" s="127"/>
      <c r="T38" s="127"/>
      <c r="U38" s="127"/>
      <c r="V38" s="127"/>
      <c r="W38" s="127"/>
      <c r="X38" s="127"/>
      <c r="Y38" s="127"/>
      <c r="Z38" s="127"/>
      <c r="AA38" s="127"/>
      <c r="AB38" s="127"/>
      <c r="AC38" s="127"/>
      <c r="AD38" s="129"/>
      <c r="AE38" s="129"/>
      <c r="AF38" s="129"/>
      <c r="AG38" s="129"/>
      <c r="AH38" s="129"/>
      <c r="AI38" s="129"/>
      <c r="AJ38" s="129"/>
      <c r="AK38" s="129"/>
      <c r="AL38" s="129"/>
      <c r="AM38" s="129"/>
      <c r="AN38" s="129"/>
      <c r="AO38" s="129"/>
      <c r="AP38" s="129"/>
      <c r="AQ38" s="129"/>
      <c r="AR38" s="143"/>
    </row>
    <row r="39" spans="1:44" ht="17" thickTop="1" x14ac:dyDescent="0.2">
      <c r="A39" s="150"/>
      <c r="B39" s="80" t="s">
        <v>232</v>
      </c>
      <c r="C39" s="83"/>
      <c r="D39" s="463"/>
      <c r="E39" s="122">
        <f>SUM(E32:E38)</f>
        <v>3675120.790361709</v>
      </c>
      <c r="F39" s="160"/>
      <c r="G39" s="461" t="s">
        <v>436</v>
      </c>
      <c r="H39" s="421" t="s">
        <v>328</v>
      </c>
      <c r="I39" s="160"/>
      <c r="J39" s="71" t="s">
        <v>107</v>
      </c>
      <c r="K39" s="113">
        <v>2.5000000000000001E-2</v>
      </c>
      <c r="L39" s="163"/>
      <c r="M39" s="130"/>
      <c r="N39" s="269" t="s">
        <v>54</v>
      </c>
      <c r="O39" s="263"/>
      <c r="P39" s="287">
        <f>SUM(P34:P38)</f>
        <v>3675120.790361709</v>
      </c>
      <c r="Q39" s="127"/>
      <c r="R39" s="127"/>
      <c r="S39" s="127"/>
      <c r="T39" s="127"/>
      <c r="U39" s="127"/>
      <c r="V39" s="127"/>
      <c r="W39" s="127"/>
      <c r="X39" s="127"/>
      <c r="Y39" s="127"/>
      <c r="Z39" s="127"/>
      <c r="AA39" s="127"/>
      <c r="AB39" s="127"/>
      <c r="AC39" s="127"/>
      <c r="AD39" s="129"/>
      <c r="AE39" s="129"/>
      <c r="AF39" s="129"/>
      <c r="AG39" s="129"/>
      <c r="AH39" s="129"/>
      <c r="AI39" s="129"/>
      <c r="AJ39" s="129"/>
      <c r="AK39" s="129"/>
      <c r="AL39" s="129"/>
      <c r="AM39" s="129"/>
      <c r="AN39" s="129"/>
      <c r="AO39" s="129"/>
      <c r="AP39" s="129"/>
      <c r="AQ39" s="129"/>
      <c r="AR39" s="143"/>
    </row>
    <row r="40" spans="1:44" ht="16" x14ac:dyDescent="0.2">
      <c r="A40" s="150"/>
      <c r="B40" s="150"/>
      <c r="C40" s="150"/>
      <c r="D40" s="150"/>
      <c r="E40" s="150"/>
      <c r="F40" s="165"/>
      <c r="G40" s="461" t="s">
        <v>437</v>
      </c>
      <c r="H40" s="421" t="s">
        <v>475</v>
      </c>
      <c r="I40" s="160"/>
      <c r="J40" s="86" t="s">
        <v>9</v>
      </c>
      <c r="K40" s="96"/>
      <c r="L40" s="163"/>
      <c r="M40" s="130"/>
      <c r="N40" s="274"/>
      <c r="O40" s="263"/>
      <c r="P40" s="286"/>
      <c r="Q40" s="127"/>
      <c r="R40" s="127"/>
      <c r="S40" s="127"/>
      <c r="T40" s="127"/>
      <c r="U40" s="127"/>
      <c r="V40" s="127"/>
      <c r="W40" s="127"/>
      <c r="X40" s="127"/>
      <c r="Y40" s="127"/>
      <c r="Z40" s="127"/>
      <c r="AA40" s="127"/>
      <c r="AB40" s="127"/>
      <c r="AC40" s="127"/>
      <c r="AD40" s="129"/>
      <c r="AE40" s="129"/>
      <c r="AF40" s="129"/>
      <c r="AG40" s="129"/>
      <c r="AH40" s="129"/>
      <c r="AI40" s="129"/>
      <c r="AJ40" s="129"/>
      <c r="AK40" s="129"/>
      <c r="AL40" s="129"/>
      <c r="AM40" s="129"/>
      <c r="AN40" s="129"/>
      <c r="AO40" s="129"/>
      <c r="AP40" s="129"/>
      <c r="AQ40" s="129"/>
      <c r="AR40" s="143"/>
    </row>
    <row r="41" spans="1:44" ht="16" x14ac:dyDescent="0.2">
      <c r="A41" s="150"/>
      <c r="B41" s="517" t="s">
        <v>28</v>
      </c>
      <c r="C41" s="518"/>
      <c r="D41" s="519"/>
      <c r="E41" s="520"/>
      <c r="F41" s="165"/>
      <c r="G41" s="71" t="s">
        <v>97</v>
      </c>
      <c r="H41" s="411">
        <f>SUMIF($E$65:$E$68,"Yes",$D$65:$D$68)</f>
        <v>0.3</v>
      </c>
      <c r="I41" s="160"/>
      <c r="J41" s="71" t="s">
        <v>303</v>
      </c>
      <c r="K41" s="114">
        <f>15.21/1000</f>
        <v>1.5210000000000001E-2</v>
      </c>
      <c r="L41" s="163"/>
      <c r="M41" s="130"/>
      <c r="N41" s="271" t="s">
        <v>69</v>
      </c>
      <c r="O41" s="265"/>
      <c r="P41" s="288">
        <f>P26-H25</f>
        <v>1.5025571611758826E-2</v>
      </c>
      <c r="Q41" s="127"/>
      <c r="R41" s="127"/>
      <c r="S41" s="127"/>
      <c r="T41" s="127"/>
      <c r="U41" s="127"/>
      <c r="V41" s="127"/>
      <c r="W41" s="127"/>
      <c r="X41" s="127"/>
      <c r="Y41" s="127"/>
      <c r="Z41" s="127"/>
      <c r="AA41" s="127"/>
      <c r="AB41" s="127"/>
      <c r="AC41" s="127"/>
      <c r="AD41" s="129"/>
      <c r="AE41" s="129"/>
      <c r="AF41" s="129"/>
      <c r="AG41" s="129"/>
      <c r="AH41" s="129"/>
      <c r="AI41" s="129"/>
      <c r="AJ41" s="129"/>
      <c r="AK41" s="129"/>
      <c r="AL41" s="129"/>
      <c r="AM41" s="129"/>
      <c r="AN41" s="129"/>
      <c r="AO41" s="129"/>
      <c r="AP41" s="129"/>
      <c r="AQ41" s="129"/>
      <c r="AR41" s="143"/>
    </row>
    <row r="42" spans="1:44" ht="16" x14ac:dyDescent="0.2">
      <c r="A42" s="150"/>
      <c r="B42" s="470" t="s">
        <v>53</v>
      </c>
      <c r="C42" s="471"/>
      <c r="D42" s="472"/>
      <c r="E42" s="340">
        <v>7.3648296020305801E-2</v>
      </c>
      <c r="F42" s="165"/>
      <c r="G42" s="461" t="s">
        <v>439</v>
      </c>
      <c r="H42" s="200">
        <v>0</v>
      </c>
      <c r="I42" s="160"/>
      <c r="J42" s="71" t="s">
        <v>185</v>
      </c>
      <c r="K42" s="111">
        <v>0.02</v>
      </c>
      <c r="L42" s="163"/>
      <c r="M42" s="137"/>
      <c r="N42" s="136"/>
      <c r="O42" s="137"/>
      <c r="P42" s="139"/>
      <c r="Q42" s="127"/>
      <c r="R42" s="127"/>
      <c r="S42" s="127"/>
      <c r="T42" s="127"/>
      <c r="U42" s="127"/>
      <c r="V42" s="127"/>
      <c r="W42" s="127"/>
      <c r="X42" s="127"/>
      <c r="Y42" s="127"/>
      <c r="Z42" s="127"/>
      <c r="AA42" s="127"/>
      <c r="AB42" s="127"/>
      <c r="AC42" s="127"/>
      <c r="AD42" s="129"/>
      <c r="AE42" s="129"/>
      <c r="AF42" s="129"/>
      <c r="AG42" s="129"/>
      <c r="AH42" s="129"/>
      <c r="AI42" s="129"/>
      <c r="AJ42" s="129"/>
      <c r="AK42" s="129"/>
      <c r="AL42" s="129"/>
      <c r="AM42" s="129"/>
      <c r="AN42" s="129"/>
      <c r="AO42" s="129"/>
      <c r="AP42" s="129"/>
      <c r="AQ42" s="129"/>
      <c r="AR42" s="143"/>
    </row>
    <row r="43" spans="1:44" ht="17" thickBot="1" x14ac:dyDescent="0.25">
      <c r="A43" s="150"/>
      <c r="B43" s="71" t="s">
        <v>476</v>
      </c>
      <c r="C43" s="72"/>
      <c r="D43" s="468"/>
      <c r="E43" s="199">
        <v>0</v>
      </c>
      <c r="F43" s="165"/>
      <c r="G43" s="461" t="s">
        <v>438</v>
      </c>
      <c r="H43" s="423">
        <v>2</v>
      </c>
      <c r="I43" s="160"/>
      <c r="J43" s="71" t="s">
        <v>255</v>
      </c>
      <c r="K43" s="114">
        <f>3.85/1000</f>
        <v>3.8500000000000001E-3</v>
      </c>
      <c r="L43" s="164"/>
      <c r="M43" s="138"/>
      <c r="N43" s="134"/>
      <c r="O43" s="134"/>
      <c r="P43" s="134"/>
      <c r="Q43" s="133"/>
      <c r="R43" s="134"/>
      <c r="S43" s="134"/>
      <c r="T43" s="134"/>
      <c r="U43" s="134"/>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44"/>
    </row>
    <row r="44" spans="1:44" customFormat="1" ht="16" customHeight="1" thickTop="1" x14ac:dyDescent="0.25">
      <c r="A44" s="150"/>
      <c r="B44" s="71" t="s">
        <v>113</v>
      </c>
      <c r="C44" s="72"/>
      <c r="D44" s="468"/>
      <c r="E44" s="199">
        <v>2.5000000000000001E-2</v>
      </c>
      <c r="F44" s="150"/>
      <c r="G44" s="461" t="s">
        <v>429</v>
      </c>
      <c r="H44" s="423">
        <v>1</v>
      </c>
      <c r="I44" s="150"/>
      <c r="J44" s="80" t="s">
        <v>188</v>
      </c>
      <c r="K44" s="111">
        <v>0.02</v>
      </c>
      <c r="L44" s="161"/>
      <c r="M44" s="137"/>
      <c r="N44" s="177" t="s">
        <v>31</v>
      </c>
      <c r="O44" s="129"/>
      <c r="P44" s="129"/>
      <c r="Q44" s="127"/>
      <c r="R44" s="127"/>
      <c r="S44" s="127"/>
      <c r="T44" s="130"/>
      <c r="U44" s="130"/>
      <c r="V44" s="14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40"/>
    </row>
    <row r="45" spans="1:44" customFormat="1" ht="16" customHeight="1" x14ac:dyDescent="0.25">
      <c r="A45" s="150"/>
      <c r="B45" s="71" t="s">
        <v>274</v>
      </c>
      <c r="C45" s="72"/>
      <c r="D45" s="468"/>
      <c r="E45" s="341">
        <v>8022687.5</v>
      </c>
      <c r="F45" s="150"/>
      <c r="G45" s="461" t="s">
        <v>430</v>
      </c>
      <c r="H45" s="424">
        <v>10</v>
      </c>
      <c r="I45" s="150"/>
      <c r="J45" s="150"/>
      <c r="K45" s="150"/>
      <c r="L45" s="161"/>
      <c r="M45" s="137"/>
      <c r="N45" s="128" t="s">
        <v>99</v>
      </c>
      <c r="O45" s="128"/>
      <c r="P45" s="130"/>
      <c r="Q45" s="127"/>
      <c r="R45" s="127"/>
      <c r="S45" s="127"/>
      <c r="T45" s="127"/>
      <c r="U45" s="127" t="s">
        <v>363</v>
      </c>
      <c r="V45" s="141"/>
      <c r="W45" s="130"/>
      <c r="X45" s="128" t="s">
        <v>116</v>
      </c>
      <c r="Y45" s="130"/>
      <c r="Z45" s="130"/>
      <c r="AA45" s="130"/>
      <c r="AB45" s="130"/>
      <c r="AC45" s="130"/>
      <c r="AD45" s="130"/>
      <c r="AE45" s="130"/>
      <c r="AF45" s="130"/>
      <c r="AG45" s="130"/>
      <c r="AH45" s="130"/>
      <c r="AI45" s="130"/>
      <c r="AJ45" s="130"/>
      <c r="AK45" s="130"/>
      <c r="AL45" s="130"/>
      <c r="AM45" s="130"/>
      <c r="AN45" s="130"/>
      <c r="AO45" s="130"/>
      <c r="AP45" s="130"/>
      <c r="AQ45" s="130"/>
      <c r="AR45" s="141"/>
    </row>
    <row r="46" spans="1:44" customFormat="1" ht="16" customHeight="1" x14ac:dyDescent="0.2">
      <c r="A46" s="150"/>
      <c r="B46" s="71" t="s">
        <v>260</v>
      </c>
      <c r="C46" s="72"/>
      <c r="D46" s="468"/>
      <c r="E46" s="199">
        <v>0.06</v>
      </c>
      <c r="F46" s="150"/>
      <c r="G46" s="461" t="s">
        <v>431</v>
      </c>
      <c r="H46" s="114">
        <v>26</v>
      </c>
      <c r="I46" s="145"/>
      <c r="J46" s="150"/>
      <c r="K46" s="150"/>
      <c r="L46" s="161"/>
      <c r="M46" s="137"/>
      <c r="N46" s="130"/>
      <c r="O46" s="130"/>
      <c r="P46" s="130"/>
      <c r="Q46" s="127"/>
      <c r="R46" s="540" t="str">
        <f>IF(Project_Debt?="Yes", "Partnership data compromised. Debt should be turned off in cell H27.","")</f>
        <v/>
      </c>
      <c r="S46" s="540"/>
      <c r="T46" s="540"/>
      <c r="U46" s="127"/>
      <c r="V46" s="141"/>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41"/>
    </row>
    <row r="47" spans="1:44" ht="16" customHeight="1" x14ac:dyDescent="0.2">
      <c r="A47" s="153"/>
      <c r="B47" s="80" t="s">
        <v>391</v>
      </c>
      <c r="C47" s="83"/>
      <c r="D47" s="81"/>
      <c r="E47" s="342">
        <v>0.2</v>
      </c>
      <c r="F47" s="153"/>
      <c r="G47" s="461" t="s">
        <v>432</v>
      </c>
      <c r="H47" s="111">
        <v>0.02</v>
      </c>
      <c r="I47" s="145"/>
      <c r="J47" s="153"/>
      <c r="K47" s="153"/>
      <c r="L47" s="162"/>
      <c r="M47" s="130"/>
      <c r="N47" s="130"/>
      <c r="O47" s="130"/>
      <c r="P47" s="130"/>
      <c r="Q47" s="127"/>
      <c r="R47" s="540"/>
      <c r="S47" s="540"/>
      <c r="T47" s="540"/>
      <c r="U47" s="127"/>
      <c r="V47" s="142"/>
      <c r="W47" s="127"/>
      <c r="X47" s="129"/>
      <c r="Y47" s="130"/>
      <c r="Z47" s="130"/>
      <c r="AA47" s="130"/>
      <c r="AB47" s="127"/>
      <c r="AC47" s="127"/>
      <c r="AD47" s="129"/>
      <c r="AE47" s="129"/>
      <c r="AF47" s="129"/>
      <c r="AG47" s="129"/>
      <c r="AH47" s="129"/>
      <c r="AI47" s="129"/>
      <c r="AJ47" s="129"/>
      <c r="AK47" s="129"/>
      <c r="AL47" s="129"/>
      <c r="AM47" s="129"/>
      <c r="AN47" s="129"/>
      <c r="AO47" s="129"/>
      <c r="AP47" s="129"/>
      <c r="AQ47" s="129"/>
      <c r="AR47" s="143"/>
    </row>
    <row r="48" spans="1:44" ht="16" x14ac:dyDescent="0.2">
      <c r="A48" s="145"/>
      <c r="B48" s="145"/>
      <c r="C48" s="145"/>
      <c r="D48" s="145"/>
      <c r="E48" s="150"/>
      <c r="F48" s="145"/>
      <c r="G48" s="461" t="s">
        <v>433</v>
      </c>
      <c r="H48" s="111">
        <v>0.05</v>
      </c>
      <c r="I48" s="145"/>
      <c r="J48" s="145"/>
      <c r="K48" s="147"/>
      <c r="L48" s="149"/>
      <c r="M48" s="127"/>
      <c r="N48" s="526" t="s">
        <v>190</v>
      </c>
      <c r="O48" s="527"/>
      <c r="P48" s="528"/>
      <c r="Q48" s="127"/>
      <c r="R48" s="540"/>
      <c r="S48" s="540"/>
      <c r="T48" s="540"/>
      <c r="U48" s="127"/>
      <c r="V48" s="142"/>
      <c r="W48" s="127"/>
      <c r="X48" s="499" t="s">
        <v>152</v>
      </c>
      <c r="Y48" s="500"/>
      <c r="Z48" s="500"/>
      <c r="AA48" s="500"/>
      <c r="AB48" s="127"/>
      <c r="AC48" s="127"/>
      <c r="AD48" s="129"/>
      <c r="AE48" s="129"/>
      <c r="AF48" s="129"/>
      <c r="AG48" s="129"/>
      <c r="AH48" s="129"/>
      <c r="AI48" s="129"/>
      <c r="AJ48" s="129"/>
      <c r="AK48" s="129"/>
      <c r="AL48" s="129"/>
      <c r="AM48" s="129"/>
      <c r="AN48" s="129"/>
      <c r="AO48" s="129"/>
      <c r="AP48" s="129"/>
      <c r="AQ48" s="129"/>
      <c r="AR48" s="143"/>
    </row>
    <row r="49" spans="1:44" ht="16" x14ac:dyDescent="0.2">
      <c r="A49" s="145"/>
      <c r="B49" s="521" t="s">
        <v>426</v>
      </c>
      <c r="C49" s="522"/>
      <c r="D49" s="522"/>
      <c r="E49" s="522"/>
      <c r="F49" s="145"/>
      <c r="G49" s="461" t="s">
        <v>434</v>
      </c>
      <c r="H49" s="412">
        <f>(1-Additional_ITC_Basis_Reducer_Fine_Tuning)*(Project_Sale_Price-(Site_Purchase_Price+Roof_Upgrade_Cost+Other_Closing_Costs_Fees+IF($E$23&gt;5000000,Interconnection_Costs,0)))</f>
        <v>3374847.7064999994</v>
      </c>
      <c r="I49" s="145"/>
      <c r="J49" s="145"/>
      <c r="K49" s="147"/>
      <c r="L49" s="158"/>
      <c r="M49" s="127"/>
      <c r="N49" s="68"/>
      <c r="O49" s="102" t="s">
        <v>261</v>
      </c>
      <c r="P49" s="103" t="s">
        <v>262</v>
      </c>
      <c r="Q49" s="127"/>
      <c r="R49" s="127"/>
      <c r="S49" s="127"/>
      <c r="T49" s="127"/>
      <c r="U49" s="127"/>
      <c r="V49" s="142"/>
      <c r="W49" s="127"/>
      <c r="X49" s="301"/>
      <c r="Y49" s="261"/>
      <c r="Z49" s="261"/>
      <c r="AA49" s="303" t="s">
        <v>305</v>
      </c>
      <c r="AB49" s="127"/>
      <c r="AC49" s="127"/>
      <c r="AD49" s="129"/>
      <c r="AE49" s="129"/>
      <c r="AF49" s="129"/>
      <c r="AG49" s="129"/>
      <c r="AH49" s="129"/>
      <c r="AI49" s="129"/>
      <c r="AJ49" s="129"/>
      <c r="AK49" s="129"/>
      <c r="AL49" s="129"/>
      <c r="AM49" s="129"/>
      <c r="AN49" s="129"/>
      <c r="AO49" s="129"/>
      <c r="AP49" s="129"/>
      <c r="AQ49" s="129"/>
      <c r="AR49" s="143"/>
    </row>
    <row r="50" spans="1:44" ht="16" x14ac:dyDescent="0.2">
      <c r="A50" s="145"/>
      <c r="B50" s="84"/>
      <c r="C50" s="73"/>
      <c r="D50" s="73"/>
      <c r="E50" s="74"/>
      <c r="F50" s="145"/>
      <c r="G50" s="410" t="s">
        <v>435</v>
      </c>
      <c r="H50" s="413">
        <f>H49*Federal_ITC_Rate*IF(AND(Owner_is_Taxpayer_Non_Taxpayer?="Non-Taxpayer", Project_Debt?="Yes"),1-MIN(0.15,Project_Loan_Amount/Project_Sale_Price),1)</f>
        <v>1012454.3119499998</v>
      </c>
      <c r="I50" s="145"/>
      <c r="J50" s="145"/>
      <c r="K50" s="147"/>
      <c r="L50" s="158"/>
      <c r="M50" s="127"/>
      <c r="N50" s="269" t="s">
        <v>279</v>
      </c>
      <c r="O50" s="289">
        <f>'Partnership Flip'!C69</f>
        <v>-2019846.3863827952</v>
      </c>
      <c r="P50" s="290">
        <f>'Partnership Flip'!C56</f>
        <v>-1655274.4039789138</v>
      </c>
      <c r="Q50" s="127"/>
      <c r="R50" s="127"/>
      <c r="S50" s="127"/>
      <c r="T50" s="127"/>
      <c r="U50" s="127"/>
      <c r="V50" s="142"/>
      <c r="W50" s="127"/>
      <c r="X50" s="269" t="s">
        <v>123</v>
      </c>
      <c r="Y50" s="304" t="s">
        <v>173</v>
      </c>
      <c r="Z50" s="304" t="s">
        <v>175</v>
      </c>
      <c r="AA50" s="303" t="s">
        <v>304</v>
      </c>
      <c r="AB50" s="127"/>
      <c r="AC50" s="127"/>
      <c r="AD50" s="129"/>
      <c r="AE50" s="129"/>
      <c r="AF50" s="129"/>
      <c r="AG50" s="129"/>
      <c r="AH50" s="129"/>
      <c r="AI50" s="129"/>
      <c r="AJ50" s="129"/>
      <c r="AK50" s="129"/>
      <c r="AL50" s="129"/>
      <c r="AM50" s="129"/>
      <c r="AN50" s="129"/>
      <c r="AO50" s="129"/>
      <c r="AP50" s="129"/>
      <c r="AQ50" s="129"/>
      <c r="AR50" s="143"/>
    </row>
    <row r="51" spans="1:44" ht="16" x14ac:dyDescent="0.2">
      <c r="A51" s="145"/>
      <c r="B51" s="71" t="s">
        <v>202</v>
      </c>
      <c r="C51" s="72"/>
      <c r="D51" s="72"/>
      <c r="E51" s="85">
        <f>(1-(0.5*Federal_ITC_Rate))*(Project_Sale_Price-(Site_Purchase_Price+Roof_Upgrade_Cost+Interconnection_Costs+Other_Closing_Costs_Fees))*(1-Additional_ITC_Basis_Reducer_Fine_Tuning)</f>
        <v>2868620.5505249994</v>
      </c>
      <c r="F51" s="145"/>
      <c r="G51" s="523" t="s">
        <v>317</v>
      </c>
      <c r="H51" s="524"/>
      <c r="I51" s="145"/>
      <c r="J51" s="145"/>
      <c r="K51" s="147"/>
      <c r="L51" s="157"/>
      <c r="M51" s="127"/>
      <c r="N51" s="272" t="s">
        <v>253</v>
      </c>
      <c r="O51" s="322">
        <f>'Partnership Flip'!C75</f>
        <v>8.2612936870510856E-2</v>
      </c>
      <c r="P51" s="323">
        <f>'Partnership Flip'!C62</f>
        <v>6.4851561818694892E-2</v>
      </c>
      <c r="Q51" s="127"/>
      <c r="R51" s="127"/>
      <c r="S51" s="127"/>
      <c r="T51" s="127"/>
      <c r="U51" s="127"/>
      <c r="V51" s="142"/>
      <c r="W51" s="127"/>
      <c r="X51" s="268" t="s">
        <v>360</v>
      </c>
      <c r="Y51" s="305">
        <f>'Customer Analysis'!$D$22+'Customer Analysis'!$D$23</f>
        <v>7.3648296020305801E-2</v>
      </c>
      <c r="Z51" s="305">
        <f>'Customer Analysis'!$W$22+'Customer Analysis'!$W$23</f>
        <v>0.11773786210560654</v>
      </c>
      <c r="AA51" s="306">
        <f>E44</f>
        <v>2.5000000000000001E-2</v>
      </c>
      <c r="AB51" s="127"/>
      <c r="AC51" s="127"/>
      <c r="AD51" s="129"/>
      <c r="AE51" s="129"/>
      <c r="AF51" s="129"/>
      <c r="AG51" s="129"/>
      <c r="AH51" s="129"/>
      <c r="AI51" s="129"/>
      <c r="AJ51" s="129"/>
      <c r="AK51" s="129"/>
      <c r="AL51" s="129"/>
      <c r="AM51" s="129"/>
      <c r="AN51" s="129"/>
      <c r="AO51" s="129"/>
      <c r="AP51" s="129"/>
      <c r="AQ51" s="129"/>
      <c r="AR51" s="143"/>
    </row>
    <row r="52" spans="1:44" ht="16" x14ac:dyDescent="0.2">
      <c r="A52" s="145"/>
      <c r="B52" s="71"/>
      <c r="C52" s="72"/>
      <c r="D52" s="72"/>
      <c r="E52" s="77"/>
      <c r="F52" s="145"/>
      <c r="G52" s="71" t="s">
        <v>142</v>
      </c>
      <c r="H52" s="113">
        <v>2.5000000000000001E-2</v>
      </c>
      <c r="I52" s="156"/>
      <c r="J52" s="145"/>
      <c r="K52" s="147"/>
      <c r="L52" s="157"/>
      <c r="M52" s="127"/>
      <c r="N52" s="272" t="s">
        <v>254</v>
      </c>
      <c r="O52" s="291">
        <f>'Partnership Flip'!C74</f>
        <v>402428.22842863924</v>
      </c>
      <c r="P52" s="292">
        <f>'Partnership Flip'!C61</f>
        <v>-543.04323404631577</v>
      </c>
      <c r="Q52" s="127"/>
      <c r="R52" s="127"/>
      <c r="S52" s="127"/>
      <c r="T52" s="127"/>
      <c r="U52" s="127"/>
      <c r="V52" s="142"/>
      <c r="W52" s="127"/>
      <c r="X52" s="268" t="s">
        <v>122</v>
      </c>
      <c r="Y52" s="305">
        <f>'Customer Analysis'!$D$24</f>
        <v>7.3031580167629145E-2</v>
      </c>
      <c r="Z52" s="305">
        <f>'Customer Analysis'!$W$24</f>
        <v>0.11675194919323223</v>
      </c>
      <c r="AA52" s="306">
        <f>K18</f>
        <v>2.5000000000000001E-2</v>
      </c>
      <c r="AB52" s="127"/>
      <c r="AC52" s="127"/>
      <c r="AD52" s="129"/>
      <c r="AE52" s="129"/>
      <c r="AF52" s="129"/>
      <c r="AG52" s="129"/>
      <c r="AH52" s="129"/>
      <c r="AI52" s="129"/>
      <c r="AJ52" s="129"/>
      <c r="AK52" s="129"/>
      <c r="AL52" s="129"/>
      <c r="AM52" s="129"/>
      <c r="AN52" s="129"/>
      <c r="AO52" s="129"/>
      <c r="AP52" s="129"/>
      <c r="AQ52" s="129"/>
      <c r="AR52" s="143"/>
    </row>
    <row r="53" spans="1:44" ht="16" x14ac:dyDescent="0.2">
      <c r="A53" s="145"/>
      <c r="B53" s="87" t="s">
        <v>186</v>
      </c>
      <c r="C53" s="88" t="s">
        <v>126</v>
      </c>
      <c r="D53" s="89" t="s">
        <v>195</v>
      </c>
      <c r="E53" s="90" t="s">
        <v>196</v>
      </c>
      <c r="F53" s="145"/>
      <c r="G53" s="71" t="s">
        <v>320</v>
      </c>
      <c r="H53" s="115" t="s">
        <v>310</v>
      </c>
      <c r="I53" s="156"/>
      <c r="J53" s="145"/>
      <c r="K53" s="147"/>
      <c r="L53" s="157"/>
      <c r="M53" s="127"/>
      <c r="N53" s="272" t="s">
        <v>218</v>
      </c>
      <c r="O53" s="293">
        <f>'Partnership Flip'!C77</f>
        <v>8.1992233514778468E-2</v>
      </c>
      <c r="P53" s="294">
        <f>'Partnership Flip'!C64</f>
        <v>-7.9413350580202491E-2</v>
      </c>
      <c r="Q53" s="127"/>
      <c r="R53" s="127"/>
      <c r="S53" s="127"/>
      <c r="T53" s="127"/>
      <c r="U53" s="127"/>
      <c r="V53" s="142"/>
      <c r="W53" s="127"/>
      <c r="X53" s="268"/>
      <c r="Y53" s="305"/>
      <c r="Z53" s="305"/>
      <c r="AA53" s="307" t="s">
        <v>305</v>
      </c>
      <c r="AB53" s="127"/>
      <c r="AC53" s="127"/>
      <c r="AD53" s="129"/>
      <c r="AE53" s="129"/>
      <c r="AF53" s="129"/>
      <c r="AG53" s="129"/>
      <c r="AH53" s="129"/>
      <c r="AI53" s="129"/>
      <c r="AJ53" s="129"/>
      <c r="AK53" s="129"/>
      <c r="AL53" s="129"/>
      <c r="AM53" s="129"/>
      <c r="AN53" s="129"/>
      <c r="AO53" s="129"/>
      <c r="AP53" s="129"/>
      <c r="AQ53" s="129"/>
      <c r="AR53" s="143"/>
    </row>
    <row r="54" spans="1:44" ht="17" customHeight="1" x14ac:dyDescent="0.2">
      <c r="A54" s="145"/>
      <c r="B54" s="91">
        <v>1</v>
      </c>
      <c r="C54" s="92">
        <v>0.2</v>
      </c>
      <c r="D54" s="93">
        <f>IF(Depreciation_Methodology?="MACRS",Depreciation_Basis*C54,IF(Depreciation_Methodology?="Bonus Depr.",((Depreciation_Basis*Depreciation_Bonus_Rate)+(Depreciation_Basis*((1-Depreciation_Bonus_Rate)*C54))),"ERROR"))</f>
        <v>573724.11010499985</v>
      </c>
      <c r="E54" s="94">
        <f t="shared" ref="E54:E59" si="0">Depreciation_Basis*C54</f>
        <v>573724.11010499985</v>
      </c>
      <c r="F54" s="145"/>
      <c r="G54" s="71" t="s">
        <v>318</v>
      </c>
      <c r="H54" s="179">
        <v>0</v>
      </c>
      <c r="I54" s="156"/>
      <c r="J54" s="145"/>
      <c r="K54" s="147"/>
      <c r="L54" s="157"/>
      <c r="M54" s="127"/>
      <c r="N54" s="272"/>
      <c r="O54" s="295"/>
      <c r="P54" s="286"/>
      <c r="Q54" s="127"/>
      <c r="R54" s="127"/>
      <c r="S54" s="127"/>
      <c r="T54" s="127"/>
      <c r="U54" s="127"/>
      <c r="V54" s="142"/>
      <c r="W54" s="127"/>
      <c r="X54" s="269" t="s">
        <v>263</v>
      </c>
      <c r="Y54" s="308" t="s">
        <v>173</v>
      </c>
      <c r="Z54" s="308" t="s">
        <v>175</v>
      </c>
      <c r="AA54" s="307" t="s">
        <v>304</v>
      </c>
      <c r="AB54" s="127"/>
      <c r="AC54" s="127"/>
      <c r="AD54" s="129"/>
      <c r="AE54" s="129"/>
      <c r="AF54" s="129"/>
      <c r="AG54" s="129"/>
      <c r="AH54" s="129"/>
      <c r="AI54" s="129"/>
      <c r="AJ54" s="129"/>
      <c r="AK54" s="129"/>
      <c r="AL54" s="129"/>
      <c r="AM54" s="129"/>
      <c r="AN54" s="129"/>
      <c r="AO54" s="129"/>
      <c r="AP54" s="129"/>
      <c r="AQ54" s="129"/>
      <c r="AR54" s="143"/>
    </row>
    <row r="55" spans="1:44" ht="16" x14ac:dyDescent="0.2">
      <c r="A55" s="145"/>
      <c r="B55" s="91">
        <v>2</v>
      </c>
      <c r="C55" s="92">
        <v>0.32</v>
      </c>
      <c r="D55" s="93">
        <f>IF(Depreciation_Methodology?="MACRS",Depreciation_Basis*C55,IF(Depreciation_Methodology?="Bonus Depr.",((Depreciation_Basis*((1-Depreciation_Bonus_Rate)*C55))),"ERROR"))</f>
        <v>917958.57616799977</v>
      </c>
      <c r="E55" s="94">
        <f t="shared" si="0"/>
        <v>917958.57616799977</v>
      </c>
      <c r="F55" s="145"/>
      <c r="G55" s="71" t="s">
        <v>319</v>
      </c>
      <c r="H55" s="110">
        <f>Depreciation_Basis</f>
        <v>2868620.5505249994</v>
      </c>
      <c r="I55" s="156"/>
      <c r="J55" s="145"/>
      <c r="K55" s="147"/>
      <c r="L55" s="157"/>
      <c r="M55" s="127"/>
      <c r="N55" s="272" t="s">
        <v>65</v>
      </c>
      <c r="O55" s="295"/>
      <c r="P55" s="296">
        <f>'Partnership Flip'!C65</f>
        <v>6</v>
      </c>
      <c r="Q55" s="127"/>
      <c r="R55" s="127"/>
      <c r="S55" s="127"/>
      <c r="T55" s="127"/>
      <c r="U55" s="127"/>
      <c r="V55" s="142"/>
      <c r="W55" s="127"/>
      <c r="X55" s="268" t="s">
        <v>264</v>
      </c>
      <c r="Y55" s="309">
        <f>'Customer Analysis'!$D$19</f>
        <v>92451399.003700003</v>
      </c>
      <c r="Z55" s="309">
        <f>'Customer Analysis'!$W$19</f>
        <v>92798499.392140016</v>
      </c>
      <c r="AA55" s="306">
        <f>E26</f>
        <v>5.0000000000000001E-3</v>
      </c>
      <c r="AB55" s="127"/>
      <c r="AC55" s="127"/>
      <c r="AD55" s="129"/>
      <c r="AE55" s="129"/>
      <c r="AF55" s="129"/>
      <c r="AG55" s="129"/>
      <c r="AH55" s="129"/>
      <c r="AI55" s="129"/>
      <c r="AJ55" s="129"/>
      <c r="AK55" s="129"/>
      <c r="AL55" s="129"/>
      <c r="AM55" s="129"/>
      <c r="AN55" s="129"/>
      <c r="AO55" s="129"/>
      <c r="AP55" s="129"/>
      <c r="AQ55" s="129"/>
      <c r="AR55" s="143"/>
    </row>
    <row r="56" spans="1:44" ht="16" x14ac:dyDescent="0.2">
      <c r="A56" s="145"/>
      <c r="B56" s="91">
        <v>3</v>
      </c>
      <c r="C56" s="95">
        <v>0.192</v>
      </c>
      <c r="D56" s="93">
        <f>IF(Depreciation_Methodology?="MACRS",Depreciation_Basis*C56,IF(Depreciation_Methodology?="Bonus Depr.",((Depreciation_Basis*((1-Depreciation_Bonus_Rate)*C56))),"ERROR"))</f>
        <v>550775.14570079988</v>
      </c>
      <c r="E56" s="94">
        <f t="shared" si="0"/>
        <v>550775.14570079988</v>
      </c>
      <c r="F56" s="145"/>
      <c r="G56" s="80" t="s">
        <v>2</v>
      </c>
      <c r="H56" s="111">
        <v>7.0000000000000007E-2</v>
      </c>
      <c r="I56" s="156"/>
      <c r="J56" s="145"/>
      <c r="K56" s="147"/>
      <c r="L56" s="157"/>
      <c r="M56" s="127"/>
      <c r="N56" s="264" t="s">
        <v>280</v>
      </c>
      <c r="O56" s="297"/>
      <c r="P56" s="298" t="str">
        <f>(100*Dashboard!$H$62) &amp;"%  to " &amp;(100*Dashboard!$H$63)&amp;"% Ratio"</f>
        <v>45.04%  to 54.96% Ratio</v>
      </c>
      <c r="Q56" s="127"/>
      <c r="R56" s="127"/>
      <c r="S56" s="127"/>
      <c r="T56" s="127"/>
      <c r="U56" s="127"/>
      <c r="V56" s="142"/>
      <c r="W56" s="127"/>
      <c r="X56" s="302" t="s">
        <v>221</v>
      </c>
      <c r="Y56" s="310">
        <f>'Customer Analysis'!$D$21</f>
        <v>3820850.9962999937</v>
      </c>
      <c r="Z56" s="310">
        <f>'Customer Analysis'!$W$21</f>
        <v>3473750.6078599878</v>
      </c>
      <c r="AA56" s="311">
        <f>-AA55</f>
        <v>-5.0000000000000001E-3</v>
      </c>
      <c r="AB56" s="127"/>
      <c r="AC56" s="127"/>
      <c r="AD56" s="129"/>
      <c r="AE56" s="129"/>
      <c r="AF56" s="129"/>
      <c r="AG56" s="129"/>
      <c r="AH56" s="129"/>
      <c r="AI56" s="129"/>
      <c r="AJ56" s="129"/>
      <c r="AK56" s="129"/>
      <c r="AL56" s="129"/>
      <c r="AM56" s="129"/>
      <c r="AN56" s="129"/>
      <c r="AO56" s="129"/>
      <c r="AP56" s="129"/>
      <c r="AQ56" s="129"/>
      <c r="AR56" s="143"/>
    </row>
    <row r="57" spans="1:44" ht="16" customHeight="1" x14ac:dyDescent="0.2">
      <c r="A57" s="145"/>
      <c r="B57" s="91">
        <v>4</v>
      </c>
      <c r="C57" s="95">
        <v>0.1152</v>
      </c>
      <c r="D57" s="93">
        <f>IF(Depreciation_Methodology?="MACRS",Depreciation_Basis*C57,IF(Depreciation_Methodology?="Bonus Depr.",((Depreciation_Basis*((1-Depreciation_Bonus_Rate)*C57))),"ERROR"))</f>
        <v>330465.08742047992</v>
      </c>
      <c r="E57" s="94">
        <f t="shared" si="0"/>
        <v>330465.08742047992</v>
      </c>
      <c r="F57" s="145"/>
      <c r="G57" s="197" t="s">
        <v>36</v>
      </c>
      <c r="H57" s="198"/>
      <c r="I57" s="156"/>
      <c r="J57" s="145"/>
      <c r="K57" s="147"/>
      <c r="L57" s="157"/>
      <c r="M57" s="127"/>
      <c r="N57" s="127"/>
      <c r="O57" s="127"/>
      <c r="P57" s="127"/>
      <c r="Q57" s="127"/>
      <c r="R57" s="127"/>
      <c r="S57" s="127"/>
      <c r="T57" s="127"/>
      <c r="U57" s="127"/>
      <c r="V57" s="142"/>
      <c r="W57" s="127"/>
      <c r="X57" s="72"/>
      <c r="Y57" s="72"/>
      <c r="Z57" s="64"/>
      <c r="AA57" s="104"/>
      <c r="AB57" s="127"/>
      <c r="AC57" s="127"/>
      <c r="AD57" s="129"/>
      <c r="AE57" s="129"/>
      <c r="AF57" s="129"/>
      <c r="AG57" s="129"/>
      <c r="AH57" s="129"/>
      <c r="AI57" s="129"/>
      <c r="AJ57" s="129"/>
      <c r="AK57" s="129"/>
      <c r="AL57" s="129"/>
      <c r="AM57" s="129"/>
      <c r="AN57" s="129"/>
      <c r="AO57" s="129"/>
      <c r="AP57" s="129"/>
      <c r="AQ57" s="129"/>
      <c r="AR57" s="143"/>
    </row>
    <row r="58" spans="1:44" ht="16" x14ac:dyDescent="0.2">
      <c r="A58" s="145"/>
      <c r="B58" s="91">
        <v>5</v>
      </c>
      <c r="C58" s="95">
        <v>0.1152</v>
      </c>
      <c r="D58" s="93">
        <f>IF(Depreciation_Methodology?="MACRS",Depreciation_Basis*C58,IF(Depreciation_Methodology?="Bonus Depr.",((Depreciation_Basis*((1-Depreciation_Bonus_Rate)*C58))),"ERROR"))</f>
        <v>330465.08742047992</v>
      </c>
      <c r="E58" s="94">
        <f t="shared" si="0"/>
        <v>330465.08742047992</v>
      </c>
      <c r="F58" s="145"/>
      <c r="G58" s="71" t="s">
        <v>37</v>
      </c>
      <c r="H58" s="199">
        <v>0.99</v>
      </c>
      <c r="I58" s="156"/>
      <c r="J58" s="145"/>
      <c r="K58" s="147"/>
      <c r="L58" s="157"/>
      <c r="M58" s="127"/>
      <c r="N58" s="517" t="s">
        <v>211</v>
      </c>
      <c r="O58" s="518"/>
      <c r="P58" s="525"/>
      <c r="Q58" s="127"/>
      <c r="R58" s="127"/>
      <c r="S58" s="127"/>
      <c r="T58" s="127"/>
      <c r="U58" s="127"/>
      <c r="V58" s="142"/>
      <c r="W58" s="127"/>
      <c r="X58" s="526" t="s">
        <v>312</v>
      </c>
      <c r="Y58" s="527"/>
      <c r="Z58" s="527"/>
      <c r="AA58" s="528"/>
      <c r="AB58" s="127"/>
      <c r="AC58" s="127"/>
      <c r="AD58" s="129"/>
      <c r="AE58" s="129"/>
      <c r="AF58" s="129"/>
      <c r="AG58" s="129"/>
      <c r="AH58" s="129"/>
      <c r="AI58" s="129"/>
      <c r="AJ58" s="129"/>
      <c r="AK58" s="129"/>
      <c r="AL58" s="129"/>
      <c r="AM58" s="129"/>
      <c r="AN58" s="129"/>
      <c r="AO58" s="129"/>
      <c r="AP58" s="129"/>
      <c r="AQ58" s="129"/>
      <c r="AR58" s="143"/>
    </row>
    <row r="59" spans="1:44" ht="16" x14ac:dyDescent="0.2">
      <c r="A59" s="145"/>
      <c r="B59" s="97">
        <v>6</v>
      </c>
      <c r="C59" s="95">
        <v>5.7599999999999998E-2</v>
      </c>
      <c r="D59" s="93">
        <f>IF(Depreciation_Methodology?="MACRS",Depreciation_Basis*C59,IF(Depreciation_Methodology?="Bonus Depr.",((Depreciation_Basis*((1-Depreciation_Bonus_Rate)*C59))),"ERROR"))</f>
        <v>165232.54371023996</v>
      </c>
      <c r="E59" s="94">
        <f t="shared" si="0"/>
        <v>165232.54371023996</v>
      </c>
      <c r="F59" s="145"/>
      <c r="G59" s="71" t="s">
        <v>38</v>
      </c>
      <c r="H59" s="257">
        <f>1-$H$58</f>
        <v>1.0000000000000009E-2</v>
      </c>
      <c r="I59" s="156"/>
      <c r="J59" s="145"/>
      <c r="K59" s="147"/>
      <c r="L59" s="157"/>
      <c r="M59" s="127"/>
      <c r="N59" s="269" t="s">
        <v>212</v>
      </c>
      <c r="O59" s="270"/>
      <c r="P59" s="299" t="str">
        <f>Unstructured!$C$84</f>
        <v>Pass</v>
      </c>
      <c r="Q59" s="127"/>
      <c r="R59" s="127"/>
      <c r="S59" s="127"/>
      <c r="T59" s="127"/>
      <c r="U59" s="127"/>
      <c r="V59" s="142"/>
      <c r="W59" s="127"/>
      <c r="X59" s="274"/>
      <c r="Y59" s="320" t="s">
        <v>173</v>
      </c>
      <c r="Z59" s="320" t="s">
        <v>153</v>
      </c>
      <c r="AA59" s="303" t="s">
        <v>154</v>
      </c>
      <c r="AB59" s="127"/>
      <c r="AC59" s="127"/>
      <c r="AD59" s="129"/>
      <c r="AE59" s="129"/>
      <c r="AF59" s="129"/>
      <c r="AG59" s="129"/>
      <c r="AH59" s="129"/>
      <c r="AI59" s="129"/>
      <c r="AJ59" s="129"/>
      <c r="AK59" s="129"/>
      <c r="AL59" s="129"/>
      <c r="AM59" s="129"/>
      <c r="AN59" s="129"/>
      <c r="AO59" s="129"/>
      <c r="AP59" s="129"/>
      <c r="AQ59" s="129"/>
      <c r="AR59" s="143"/>
    </row>
    <row r="60" spans="1:44" ht="16" x14ac:dyDescent="0.2">
      <c r="A60" s="145"/>
      <c r="B60" s="71"/>
      <c r="C60" s="98" t="s">
        <v>239</v>
      </c>
      <c r="D60" s="99">
        <f>SUM(D54:D59)</f>
        <v>2868620.5505249994</v>
      </c>
      <c r="E60" s="100">
        <f>SUM(E54:E59)</f>
        <v>2868620.5505249994</v>
      </c>
      <c r="F60" s="145"/>
      <c r="G60" s="71" t="s">
        <v>12</v>
      </c>
      <c r="H60" s="199">
        <v>0.05</v>
      </c>
      <c r="I60" s="156"/>
      <c r="J60" s="145"/>
      <c r="K60" s="147"/>
      <c r="L60" s="158"/>
      <c r="M60" s="127"/>
      <c r="N60" s="272" t="s">
        <v>117</v>
      </c>
      <c r="O60" s="263"/>
      <c r="P60" s="285" t="s">
        <v>234</v>
      </c>
      <c r="Q60" s="127"/>
      <c r="R60" s="127"/>
      <c r="S60" s="127"/>
      <c r="T60" s="127"/>
      <c r="U60" s="127"/>
      <c r="V60" s="142"/>
      <c r="W60" s="127"/>
      <c r="X60" s="269" t="s">
        <v>306</v>
      </c>
      <c r="Y60" s="312">
        <f>Dashboard!H23</f>
        <v>3675120.790361709</v>
      </c>
      <c r="Z60" s="312">
        <f>'Customer Analysis'!$J$34</f>
        <v>2594685.2331689806</v>
      </c>
      <c r="AA60" s="313">
        <f>'Customer Analysis'!$M$34</f>
        <v>2465767.1429078234</v>
      </c>
      <c r="AB60" s="127"/>
      <c r="AC60" s="127"/>
      <c r="AD60" s="129"/>
      <c r="AE60" s="129"/>
      <c r="AF60" s="129"/>
      <c r="AG60" s="129"/>
      <c r="AH60" s="129"/>
      <c r="AI60" s="129"/>
      <c r="AJ60" s="129"/>
      <c r="AK60" s="129"/>
      <c r="AL60" s="129"/>
      <c r="AM60" s="129"/>
      <c r="AN60" s="129"/>
      <c r="AO60" s="129"/>
      <c r="AP60" s="129"/>
      <c r="AQ60" s="129"/>
      <c r="AR60" s="143"/>
    </row>
    <row r="61" spans="1:44" ht="16" x14ac:dyDescent="0.2">
      <c r="A61" s="145"/>
      <c r="B61" s="80"/>
      <c r="C61" s="83"/>
      <c r="D61" s="83"/>
      <c r="E61" s="101"/>
      <c r="F61" s="145"/>
      <c r="G61" s="71" t="s">
        <v>13</v>
      </c>
      <c r="H61" s="257">
        <f>1-$H$60</f>
        <v>0.95</v>
      </c>
      <c r="I61" s="156"/>
      <c r="J61" s="145"/>
      <c r="K61" s="147"/>
      <c r="L61" s="158"/>
      <c r="M61" s="127"/>
      <c r="N61" s="275" t="s">
        <v>63</v>
      </c>
      <c r="O61" s="261"/>
      <c r="P61" s="300" t="s">
        <v>234</v>
      </c>
      <c r="Q61" s="127"/>
      <c r="R61" s="127"/>
      <c r="S61" s="127"/>
      <c r="T61" s="127"/>
      <c r="U61" s="127"/>
      <c r="V61" s="142"/>
      <c r="W61" s="127"/>
      <c r="X61" s="274"/>
      <c r="Y61" s="312"/>
      <c r="Z61" s="295"/>
      <c r="AA61" s="286"/>
      <c r="AB61" s="127"/>
      <c r="AC61" s="127"/>
      <c r="AD61" s="129"/>
      <c r="AE61" s="129"/>
      <c r="AF61" s="129"/>
      <c r="AG61" s="129"/>
      <c r="AH61" s="129"/>
      <c r="AI61" s="129"/>
      <c r="AJ61" s="129"/>
      <c r="AK61" s="129"/>
      <c r="AL61" s="129"/>
      <c r="AM61" s="129"/>
      <c r="AN61" s="129"/>
      <c r="AO61" s="129"/>
      <c r="AP61" s="129"/>
      <c r="AQ61" s="129"/>
      <c r="AR61" s="143"/>
    </row>
    <row r="62" spans="1:44" ht="16" x14ac:dyDescent="0.2">
      <c r="A62" s="145"/>
      <c r="B62" s="145"/>
      <c r="C62" s="145"/>
      <c r="D62" s="145"/>
      <c r="E62" s="145"/>
      <c r="F62" s="145"/>
      <c r="G62" s="71" t="s">
        <v>225</v>
      </c>
      <c r="H62" s="199">
        <v>0.45040000000000002</v>
      </c>
      <c r="I62" s="156"/>
      <c r="J62" s="145"/>
      <c r="K62" s="147"/>
      <c r="L62" s="158"/>
      <c r="M62" s="127"/>
      <c r="N62" s="268"/>
      <c r="O62" s="263"/>
      <c r="P62" s="286"/>
      <c r="Q62" s="127"/>
      <c r="R62" s="127"/>
      <c r="S62" s="127"/>
      <c r="T62" s="127"/>
      <c r="U62" s="127"/>
      <c r="V62" s="142"/>
      <c r="W62" s="127"/>
      <c r="X62" s="271" t="s">
        <v>307</v>
      </c>
      <c r="Y62" s="397">
        <f>'Customer Analysis'!$C$56</f>
        <v>4.7995263945264301E-2</v>
      </c>
      <c r="Z62" s="397">
        <f>'Customer Analysis'!$C$57</f>
        <v>5.852287986177284E-2</v>
      </c>
      <c r="AA62" s="398">
        <f>'Customer Analysis'!$C$58</f>
        <v>6.7521112587158427E-2</v>
      </c>
      <c r="AB62" s="127"/>
      <c r="AC62" s="127"/>
      <c r="AD62" s="129"/>
      <c r="AE62" s="129"/>
      <c r="AF62" s="129"/>
      <c r="AG62" s="129"/>
      <c r="AH62" s="129"/>
      <c r="AI62" s="129"/>
      <c r="AJ62" s="129"/>
      <c r="AK62" s="129"/>
      <c r="AL62" s="129"/>
      <c r="AM62" s="129"/>
      <c r="AN62" s="129"/>
      <c r="AO62" s="129"/>
      <c r="AP62" s="129"/>
      <c r="AQ62" s="129"/>
      <c r="AR62" s="143"/>
    </row>
    <row r="63" spans="1:44" ht="16" x14ac:dyDescent="0.2">
      <c r="A63" s="145"/>
      <c r="B63" s="545" t="s">
        <v>427</v>
      </c>
      <c r="C63" s="546"/>
      <c r="D63" s="546"/>
      <c r="E63" s="547"/>
      <c r="F63" s="145"/>
      <c r="G63" s="71" t="s">
        <v>11</v>
      </c>
      <c r="H63" s="257">
        <f>1-Tax_Equity_Investment_Share</f>
        <v>0.54959999999999998</v>
      </c>
      <c r="I63" s="156"/>
      <c r="J63" s="145"/>
      <c r="K63" s="147"/>
      <c r="L63" s="158"/>
      <c r="M63" s="127"/>
      <c r="N63" s="268" t="s">
        <v>82</v>
      </c>
      <c r="O63" s="263"/>
      <c r="P63" s="287">
        <f>E32</f>
        <v>3197224.1429999997</v>
      </c>
      <c r="Q63" s="127"/>
      <c r="R63" s="127"/>
      <c r="S63" s="127"/>
      <c r="T63" s="127"/>
      <c r="U63" s="127"/>
      <c r="V63" s="142"/>
      <c r="W63" s="127"/>
      <c r="X63" s="137"/>
      <c r="Y63" s="137"/>
      <c r="Z63" s="137"/>
      <c r="AA63" s="137"/>
      <c r="AB63" s="127"/>
      <c r="AC63" s="127"/>
      <c r="AD63" s="129"/>
      <c r="AE63" s="129"/>
      <c r="AF63" s="129"/>
      <c r="AG63" s="129"/>
      <c r="AH63" s="129"/>
      <c r="AI63" s="129"/>
      <c r="AJ63" s="129"/>
      <c r="AK63" s="129"/>
      <c r="AL63" s="129"/>
      <c r="AM63" s="129"/>
      <c r="AN63" s="129"/>
      <c r="AO63" s="129"/>
      <c r="AP63" s="129"/>
      <c r="AQ63" s="129"/>
      <c r="AR63" s="143"/>
    </row>
    <row r="64" spans="1:44" ht="16" x14ac:dyDescent="0.2">
      <c r="A64" s="145"/>
      <c r="B64" s="418" t="s">
        <v>420</v>
      </c>
      <c r="C64" s="408"/>
      <c r="D64" s="409" t="s">
        <v>421</v>
      </c>
      <c r="E64" s="419" t="s">
        <v>428</v>
      </c>
      <c r="F64" s="145"/>
      <c r="G64" s="71" t="s">
        <v>446</v>
      </c>
      <c r="H64" s="433">
        <v>5</v>
      </c>
      <c r="I64" s="145"/>
      <c r="J64" s="145"/>
      <c r="K64" s="147"/>
      <c r="L64" s="158"/>
      <c r="M64" s="127"/>
      <c r="N64" s="268" t="s">
        <v>309</v>
      </c>
      <c r="O64" s="263"/>
      <c r="P64" s="287">
        <f>Roof_Upgrade_Cost</f>
        <v>0</v>
      </c>
      <c r="Q64" s="127"/>
      <c r="R64" s="127"/>
      <c r="S64" s="127"/>
      <c r="T64" s="127"/>
      <c r="U64" s="127"/>
      <c r="V64" s="142"/>
      <c r="W64" s="127"/>
      <c r="X64" s="539" t="s">
        <v>468</v>
      </c>
      <c r="Y64" s="539"/>
      <c r="Z64" s="539"/>
      <c r="AA64" s="137"/>
      <c r="AB64" s="127"/>
      <c r="AC64" s="127"/>
      <c r="AD64" s="129"/>
      <c r="AE64" s="129"/>
      <c r="AF64" s="129"/>
      <c r="AG64" s="129"/>
      <c r="AH64" s="129"/>
      <c r="AI64" s="129"/>
      <c r="AJ64" s="129"/>
      <c r="AK64" s="129"/>
      <c r="AL64" s="129"/>
      <c r="AM64" s="129"/>
      <c r="AN64" s="129"/>
      <c r="AO64" s="129"/>
      <c r="AP64" s="129"/>
      <c r="AQ64" s="129"/>
      <c r="AR64" s="143"/>
    </row>
    <row r="65" spans="1:44" ht="16" x14ac:dyDescent="0.2">
      <c r="A65" s="145"/>
      <c r="B65" s="464" t="s">
        <v>422</v>
      </c>
      <c r="D65" s="417">
        <v>0.3</v>
      </c>
      <c r="E65" s="423" t="s">
        <v>418</v>
      </c>
      <c r="F65" s="145"/>
      <c r="G65" s="71" t="s">
        <v>354</v>
      </c>
      <c r="H65" s="257">
        <f>Investor_Discount_Rate</f>
        <v>6.5000000000000002E-2</v>
      </c>
      <c r="I65" s="145"/>
      <c r="J65" s="145"/>
      <c r="K65" s="147"/>
      <c r="L65" s="158"/>
      <c r="M65" s="127"/>
      <c r="N65" s="268" t="s">
        <v>58</v>
      </c>
      <c r="O65" s="270"/>
      <c r="P65" s="287">
        <f>E35</f>
        <v>355247.12700000004</v>
      </c>
      <c r="Q65" s="127"/>
      <c r="R65" s="127"/>
      <c r="S65" s="127"/>
      <c r="T65" s="127"/>
      <c r="U65" s="127"/>
      <c r="V65" s="142"/>
      <c r="W65" s="127"/>
      <c r="X65" s="315" t="s">
        <v>281</v>
      </c>
      <c r="Y65" s="316"/>
      <c r="Z65" s="314">
        <f>Y60</f>
        <v>3675120.790361709</v>
      </c>
      <c r="AA65" s="137"/>
      <c r="AB65" s="127"/>
      <c r="AC65" s="127"/>
      <c r="AD65" s="129"/>
      <c r="AE65" s="129"/>
      <c r="AF65" s="129"/>
      <c r="AG65" s="129"/>
      <c r="AH65" s="129"/>
      <c r="AI65" s="129"/>
      <c r="AJ65" s="129"/>
      <c r="AK65" s="129"/>
      <c r="AL65" s="129"/>
      <c r="AM65" s="129"/>
      <c r="AN65" s="129"/>
      <c r="AO65" s="129"/>
      <c r="AP65" s="129"/>
      <c r="AQ65" s="129"/>
      <c r="AR65" s="143"/>
    </row>
    <row r="66" spans="1:44" ht="16" x14ac:dyDescent="0.2">
      <c r="A66" s="145"/>
      <c r="B66" s="464" t="s">
        <v>423</v>
      </c>
      <c r="D66" s="417">
        <v>0.1</v>
      </c>
      <c r="E66" s="423" t="s">
        <v>308</v>
      </c>
      <c r="F66" s="145"/>
      <c r="G66" s="71" t="s">
        <v>355</v>
      </c>
      <c r="H66" s="200">
        <v>3.5000000000000003E-2</v>
      </c>
      <c r="I66" s="145"/>
      <c r="J66" s="145"/>
      <c r="K66" s="147"/>
      <c r="L66" s="158"/>
      <c r="M66" s="127"/>
      <c r="N66" s="268" t="s">
        <v>59</v>
      </c>
      <c r="O66" s="263"/>
      <c r="P66" s="287">
        <f>SUM(E36:E38)</f>
        <v>122649.52036170941</v>
      </c>
      <c r="Q66" s="127"/>
      <c r="R66" s="127"/>
      <c r="S66" s="127"/>
      <c r="T66" s="127"/>
      <c r="U66" s="127"/>
      <c r="V66" s="142"/>
      <c r="W66" s="127"/>
      <c r="X66" s="317" t="s">
        <v>282</v>
      </c>
      <c r="Y66" s="318"/>
      <c r="Z66" s="313">
        <f>'Customer Analysis'!$C$70</f>
        <v>525519.28963931499</v>
      </c>
      <c r="AA66" s="137"/>
      <c r="AB66" s="127"/>
      <c r="AC66" s="127"/>
      <c r="AD66" s="129"/>
      <c r="AE66" s="129"/>
      <c r="AF66" s="129"/>
      <c r="AG66" s="129"/>
      <c r="AH66" s="129"/>
      <c r="AI66" s="129"/>
      <c r="AJ66" s="129"/>
      <c r="AK66" s="129"/>
      <c r="AL66" s="129"/>
      <c r="AM66" s="129"/>
      <c r="AN66" s="129"/>
      <c r="AO66" s="129"/>
      <c r="AP66" s="129"/>
      <c r="AQ66" s="129"/>
      <c r="AR66" s="143"/>
    </row>
    <row r="67" spans="1:44" ht="17" thickBot="1" x14ac:dyDescent="0.25">
      <c r="A67" s="145"/>
      <c r="B67" s="464" t="s">
        <v>424</v>
      </c>
      <c r="D67" s="417">
        <v>0.1</v>
      </c>
      <c r="E67" s="423" t="s">
        <v>308</v>
      </c>
      <c r="F67" s="145"/>
      <c r="G67" s="80" t="s">
        <v>356</v>
      </c>
      <c r="H67" s="201">
        <v>0.9</v>
      </c>
      <c r="I67" s="156"/>
      <c r="J67" s="145"/>
      <c r="K67" s="147"/>
      <c r="L67" s="158"/>
      <c r="M67" s="127"/>
      <c r="N67" s="268" t="s">
        <v>92</v>
      </c>
      <c r="O67" s="273"/>
      <c r="P67" s="277">
        <f>$H$23-$E$39</f>
        <v>0</v>
      </c>
      <c r="Q67" s="127"/>
      <c r="R67" s="127"/>
      <c r="S67" s="127"/>
      <c r="T67" s="127"/>
      <c r="U67" s="127"/>
      <c r="V67" s="142"/>
      <c r="W67" s="127"/>
      <c r="X67" s="264" t="s">
        <v>220</v>
      </c>
      <c r="Y67" s="319"/>
      <c r="Z67" s="311">
        <f>'Customer Analysis'!$C$71</f>
        <v>0.11276630475710259</v>
      </c>
      <c r="AA67" s="137"/>
      <c r="AB67" s="127"/>
      <c r="AC67" s="127"/>
      <c r="AD67" s="129"/>
      <c r="AE67" s="129"/>
      <c r="AF67" s="129"/>
      <c r="AG67" s="129"/>
      <c r="AH67" s="129"/>
      <c r="AI67" s="129"/>
      <c r="AJ67" s="129"/>
      <c r="AK67" s="129"/>
      <c r="AL67" s="129"/>
      <c r="AM67" s="129"/>
      <c r="AN67" s="129"/>
      <c r="AO67" s="129"/>
      <c r="AP67" s="129"/>
      <c r="AQ67" s="129"/>
      <c r="AR67" s="143"/>
    </row>
    <row r="68" spans="1:44" ht="17" thickTop="1" x14ac:dyDescent="0.2">
      <c r="A68" s="145"/>
      <c r="B68" s="465" t="s">
        <v>425</v>
      </c>
      <c r="C68" s="466"/>
      <c r="D68" s="420">
        <v>0.1</v>
      </c>
      <c r="E68" s="423" t="s">
        <v>308</v>
      </c>
      <c r="F68" s="145"/>
      <c r="G68" s="145"/>
      <c r="H68" s="145"/>
      <c r="I68" s="156"/>
      <c r="J68" s="437"/>
      <c r="K68" s="147"/>
      <c r="L68" s="158"/>
      <c r="M68" s="127"/>
      <c r="N68" s="269" t="s">
        <v>54</v>
      </c>
      <c r="O68" s="263"/>
      <c r="P68" s="287">
        <f>SUM(P63:P67)</f>
        <v>3675120.790361709</v>
      </c>
      <c r="Q68" s="127"/>
      <c r="R68" s="127"/>
      <c r="S68" s="129"/>
      <c r="T68" s="127"/>
      <c r="U68" s="127"/>
      <c r="V68" s="142"/>
      <c r="W68" s="127"/>
      <c r="X68" s="127"/>
      <c r="Y68" s="127"/>
      <c r="Z68" s="127"/>
      <c r="AA68" s="127"/>
      <c r="AB68" s="127"/>
      <c r="AC68" s="127"/>
      <c r="AD68" s="129"/>
      <c r="AE68" s="129"/>
      <c r="AF68" s="129"/>
      <c r="AG68" s="129"/>
      <c r="AH68" s="129"/>
      <c r="AI68" s="129"/>
      <c r="AJ68" s="129"/>
      <c r="AK68" s="129"/>
      <c r="AL68" s="129"/>
      <c r="AM68" s="129"/>
      <c r="AN68" s="129"/>
      <c r="AO68" s="129"/>
      <c r="AP68" s="129"/>
      <c r="AQ68" s="129"/>
      <c r="AR68" s="143"/>
    </row>
    <row r="69" spans="1:44" ht="16" x14ac:dyDescent="0.2">
      <c r="A69" s="145"/>
      <c r="B69" s="145"/>
      <c r="C69" s="145"/>
      <c r="D69" s="145"/>
      <c r="E69" s="145"/>
      <c r="F69" s="145"/>
      <c r="G69" s="145"/>
      <c r="H69" s="145"/>
      <c r="I69" s="156"/>
      <c r="J69" s="145"/>
      <c r="K69" s="147"/>
      <c r="L69" s="158"/>
      <c r="M69" s="127"/>
      <c r="N69" s="274"/>
      <c r="O69" s="263"/>
      <c r="P69" s="286"/>
      <c r="Q69" s="127"/>
      <c r="R69" s="127"/>
      <c r="S69" s="129"/>
      <c r="T69" s="127"/>
      <c r="U69" s="127"/>
      <c r="V69" s="142"/>
      <c r="W69" s="127"/>
      <c r="X69" s="127"/>
      <c r="Y69" s="127"/>
      <c r="Z69" s="127"/>
      <c r="AA69" s="127"/>
      <c r="AB69" s="127"/>
      <c r="AC69" s="127"/>
      <c r="AD69" s="129"/>
      <c r="AE69" s="129"/>
      <c r="AF69" s="129"/>
      <c r="AG69" s="129"/>
      <c r="AH69" s="129"/>
      <c r="AI69" s="129"/>
      <c r="AJ69" s="129"/>
      <c r="AK69" s="129"/>
      <c r="AL69" s="129"/>
      <c r="AM69" s="129"/>
      <c r="AN69" s="129"/>
      <c r="AO69" s="129"/>
      <c r="AP69" s="129"/>
      <c r="AQ69" s="129"/>
      <c r="AR69" s="143"/>
    </row>
    <row r="70" spans="1:44" ht="16" x14ac:dyDescent="0.2">
      <c r="A70" s="145"/>
      <c r="B70" s="533" t="s">
        <v>444</v>
      </c>
      <c r="C70" s="534"/>
      <c r="D70" s="534"/>
      <c r="E70" s="535"/>
      <c r="F70" s="145"/>
      <c r="G70" s="145"/>
      <c r="H70" s="159"/>
      <c r="I70" s="145"/>
      <c r="J70" s="145"/>
      <c r="K70" s="147"/>
      <c r="L70" s="158"/>
      <c r="M70" s="127"/>
      <c r="N70" s="271" t="s">
        <v>69</v>
      </c>
      <c r="O70" s="265"/>
      <c r="P70" s="288">
        <f>P51-H25</f>
        <v>-1.4843818130511055E-4</v>
      </c>
      <c r="Q70" s="127"/>
      <c r="R70" s="127"/>
      <c r="S70" s="129"/>
      <c r="T70" s="127"/>
      <c r="U70" s="127"/>
      <c r="V70" s="142"/>
      <c r="W70" s="127"/>
      <c r="X70" s="127"/>
      <c r="Y70" s="127"/>
      <c r="Z70" s="127"/>
      <c r="AA70" s="127"/>
      <c r="AB70" s="127"/>
      <c r="AC70" s="127"/>
      <c r="AD70" s="129"/>
      <c r="AE70" s="129"/>
      <c r="AF70" s="129"/>
      <c r="AG70" s="129"/>
      <c r="AH70" s="129"/>
      <c r="AI70" s="129"/>
      <c r="AJ70" s="129"/>
      <c r="AK70" s="129"/>
      <c r="AL70" s="129"/>
      <c r="AM70" s="129"/>
      <c r="AN70" s="129"/>
      <c r="AO70" s="129"/>
      <c r="AP70" s="129"/>
      <c r="AQ70" s="129"/>
      <c r="AR70" s="143"/>
    </row>
    <row r="71" spans="1:44" ht="14" x14ac:dyDescent="0.2">
      <c r="A71" s="145"/>
      <c r="B71" s="536"/>
      <c r="C71" s="537"/>
      <c r="D71" s="537"/>
      <c r="E71" s="538"/>
      <c r="F71" s="145"/>
      <c r="G71" s="145"/>
      <c r="H71" s="159"/>
      <c r="I71" s="145"/>
      <c r="J71" s="145"/>
      <c r="K71" s="147"/>
      <c r="L71" s="158"/>
      <c r="M71" s="127"/>
      <c r="N71" s="130"/>
      <c r="O71" s="130"/>
      <c r="P71" s="130"/>
      <c r="Q71" s="127"/>
      <c r="R71" s="127"/>
      <c r="S71" s="129"/>
      <c r="T71" s="127"/>
      <c r="U71" s="127"/>
      <c r="V71" s="142"/>
      <c r="W71" s="127"/>
      <c r="X71" s="127"/>
      <c r="Y71" s="127"/>
      <c r="Z71" s="127"/>
      <c r="AA71" s="127"/>
      <c r="AB71" s="127"/>
      <c r="AC71" s="127"/>
      <c r="AD71" s="129"/>
      <c r="AE71" s="129"/>
      <c r="AF71" s="129"/>
      <c r="AG71" s="129"/>
      <c r="AH71" s="129"/>
      <c r="AI71" s="129"/>
      <c r="AJ71" s="129"/>
      <c r="AK71" s="129"/>
      <c r="AL71" s="129"/>
      <c r="AM71" s="129"/>
      <c r="AN71" s="129"/>
      <c r="AO71" s="129"/>
      <c r="AP71" s="129"/>
      <c r="AQ71" s="129"/>
      <c r="AR71" s="143"/>
    </row>
    <row r="72" spans="1:44" ht="16" x14ac:dyDescent="0.2">
      <c r="A72" s="145"/>
      <c r="B72" s="430" t="s">
        <v>441</v>
      </c>
      <c r="C72" s="431">
        <v>0.12</v>
      </c>
      <c r="D72" s="431">
        <v>0.15</v>
      </c>
      <c r="E72" s="431">
        <v>0.18</v>
      </c>
      <c r="F72" s="145"/>
      <c r="G72" s="145"/>
      <c r="H72" s="159"/>
      <c r="I72" s="145"/>
      <c r="J72" s="145"/>
      <c r="K72" s="145"/>
      <c r="L72" s="158"/>
      <c r="M72" s="127"/>
      <c r="N72" s="127"/>
      <c r="O72" s="127"/>
      <c r="P72" s="127"/>
      <c r="Q72" s="127"/>
      <c r="R72" s="127"/>
      <c r="S72" s="127"/>
      <c r="T72" s="127"/>
      <c r="U72" s="127"/>
      <c r="V72" s="142"/>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42"/>
    </row>
    <row r="73" spans="1:44" ht="16" x14ac:dyDescent="0.2">
      <c r="A73" s="145"/>
      <c r="B73" s="416" t="s">
        <v>442</v>
      </c>
      <c r="C73" s="425">
        <f>Aggregate_Project_Cost*C72</f>
        <v>441014.49484340503</v>
      </c>
      <c r="D73" s="425">
        <f>Aggregate_Project_Cost*D72</f>
        <v>551268.11855425627</v>
      </c>
      <c r="E73" s="426">
        <f>Aggregate_Project_Cost*E72</f>
        <v>661521.74226510758</v>
      </c>
      <c r="F73" s="145"/>
      <c r="G73" s="145"/>
      <c r="H73" s="159"/>
      <c r="I73" s="156"/>
      <c r="J73" s="145"/>
      <c r="K73" s="145"/>
      <c r="L73" s="158"/>
      <c r="M73" s="127"/>
      <c r="N73" s="127"/>
      <c r="O73" s="127"/>
      <c r="P73" s="127"/>
      <c r="Q73" s="127"/>
      <c r="R73" s="127"/>
      <c r="S73" s="127"/>
      <c r="T73" s="127"/>
      <c r="U73" s="127"/>
      <c r="V73" s="142"/>
      <c r="W73" s="127"/>
      <c r="X73" s="127"/>
      <c r="Y73" s="127"/>
      <c r="Z73" s="127"/>
      <c r="AA73" s="127"/>
      <c r="AB73" s="127"/>
      <c r="AC73" s="127"/>
      <c r="AD73" s="127"/>
      <c r="AE73" s="127"/>
      <c r="AF73" s="127"/>
      <c r="AG73" s="127"/>
      <c r="AH73" s="127"/>
      <c r="AI73" s="127"/>
      <c r="AJ73" s="127"/>
      <c r="AK73" s="127"/>
      <c r="AL73" s="127"/>
      <c r="AM73" s="127"/>
      <c r="AN73" s="127"/>
      <c r="AO73" s="127"/>
      <c r="AP73" s="127"/>
      <c r="AQ73" s="127"/>
      <c r="AR73" s="142"/>
    </row>
    <row r="74" spans="1:44" ht="16" x14ac:dyDescent="0.2">
      <c r="A74" s="145"/>
      <c r="B74" s="427" t="s">
        <v>443</v>
      </c>
      <c r="C74" s="428"/>
      <c r="D74" s="423" t="s">
        <v>310</v>
      </c>
      <c r="E74" s="429">
        <v>0.15</v>
      </c>
      <c r="F74" s="145"/>
      <c r="G74" s="145"/>
      <c r="H74" s="159"/>
      <c r="I74" s="156"/>
      <c r="J74" s="145"/>
      <c r="K74" s="145"/>
      <c r="L74" s="158"/>
      <c r="M74" s="127"/>
      <c r="N74" s="127"/>
      <c r="O74" s="127"/>
      <c r="P74" s="127"/>
      <c r="Q74" s="127"/>
      <c r="R74" s="127"/>
      <c r="S74" s="127"/>
      <c r="T74" s="127"/>
      <c r="U74" s="127"/>
      <c r="V74" s="142"/>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42"/>
    </row>
    <row r="75" spans="1:44" ht="14" x14ac:dyDescent="0.2">
      <c r="A75" s="145"/>
      <c r="B75" s="145"/>
      <c r="C75" s="145"/>
      <c r="D75" s="145"/>
      <c r="E75" s="145"/>
      <c r="F75" s="145"/>
      <c r="G75" s="145"/>
      <c r="H75" s="159"/>
      <c r="I75" s="156"/>
      <c r="J75" s="145"/>
      <c r="K75" s="145"/>
      <c r="L75" s="158"/>
      <c r="M75" s="127"/>
      <c r="N75" s="127"/>
      <c r="O75" s="127"/>
      <c r="P75" s="127"/>
      <c r="Q75" s="127"/>
      <c r="R75" s="127"/>
      <c r="S75" s="127"/>
      <c r="T75" s="127"/>
      <c r="U75" s="127"/>
      <c r="V75" s="142"/>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42"/>
    </row>
    <row r="76" spans="1:44" ht="14" x14ac:dyDescent="0.2">
      <c r="A76" s="145"/>
      <c r="B76" s="145"/>
      <c r="C76" s="145"/>
      <c r="D76" s="145"/>
      <c r="E76" s="145"/>
      <c r="F76" s="145"/>
      <c r="G76" s="145"/>
      <c r="H76" s="159"/>
      <c r="I76" s="156"/>
      <c r="J76" s="145"/>
      <c r="K76" s="145"/>
      <c r="L76" s="158"/>
      <c r="M76" s="127"/>
      <c r="N76" s="127"/>
      <c r="O76" s="127"/>
      <c r="P76" s="127"/>
      <c r="Q76" s="127"/>
      <c r="R76" s="127"/>
      <c r="S76" s="127"/>
      <c r="T76" s="127"/>
      <c r="U76" s="127"/>
      <c r="V76" s="142"/>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42"/>
    </row>
    <row r="77" spans="1:44" ht="14" x14ac:dyDescent="0.2">
      <c r="A77" s="145"/>
      <c r="B77" s="145"/>
      <c r="C77" s="145"/>
      <c r="D77" s="145"/>
      <c r="E77" s="145"/>
      <c r="F77" s="145"/>
      <c r="G77" s="145"/>
      <c r="H77" s="159"/>
      <c r="I77" s="156"/>
      <c r="J77" s="145"/>
      <c r="K77" s="145"/>
      <c r="L77" s="158"/>
      <c r="M77" s="127"/>
      <c r="N77" s="127"/>
      <c r="O77" s="127"/>
      <c r="P77" s="127"/>
      <c r="Q77" s="127"/>
      <c r="R77" s="127"/>
      <c r="S77" s="127"/>
      <c r="T77" s="127"/>
      <c r="U77" s="127"/>
      <c r="V77" s="142"/>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42"/>
    </row>
    <row r="78" spans="1:44" ht="17" thickBot="1" x14ac:dyDescent="0.25">
      <c r="A78" s="447"/>
      <c r="B78" s="447"/>
      <c r="C78" s="447"/>
      <c r="D78" s="447"/>
      <c r="E78" s="447"/>
      <c r="F78" s="447"/>
      <c r="G78" s="447"/>
      <c r="H78" s="447"/>
      <c r="I78" s="447"/>
      <c r="J78" s="447"/>
      <c r="K78" s="447"/>
      <c r="L78" s="170"/>
      <c r="M78" s="127"/>
      <c r="N78" s="127"/>
      <c r="O78" s="127"/>
      <c r="P78" s="127"/>
      <c r="Q78" s="127"/>
      <c r="R78" s="127"/>
      <c r="S78" s="127"/>
      <c r="T78" s="127"/>
      <c r="U78" s="127"/>
      <c r="V78" s="142"/>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42"/>
    </row>
    <row r="79" spans="1:44" ht="17" thickTop="1" x14ac:dyDescent="0.2">
      <c r="A79" s="145"/>
      <c r="B79" s="150"/>
      <c r="C79" s="145"/>
      <c r="D79" s="145"/>
      <c r="E79" s="145"/>
      <c r="F79" s="145"/>
      <c r="G79" s="145"/>
      <c r="H79" s="159"/>
      <c r="I79" s="156"/>
      <c r="J79" s="145"/>
      <c r="K79" s="145"/>
      <c r="L79" s="448"/>
      <c r="M79" s="127"/>
      <c r="N79" s="127"/>
      <c r="O79" s="127"/>
      <c r="P79" s="127"/>
      <c r="Q79" s="127"/>
      <c r="R79" s="127"/>
      <c r="S79" s="127"/>
      <c r="T79" s="127"/>
      <c r="U79" s="127"/>
      <c r="V79" s="142"/>
      <c r="W79" s="127"/>
      <c r="X79" s="127"/>
      <c r="Y79" s="127"/>
      <c r="Z79" s="127"/>
      <c r="AA79" s="127"/>
      <c r="AB79" s="127"/>
      <c r="AC79" s="127"/>
      <c r="AD79" s="127"/>
      <c r="AE79" s="127"/>
      <c r="AF79" s="127"/>
      <c r="AG79" s="127"/>
      <c r="AH79" s="127"/>
      <c r="AI79" s="127"/>
      <c r="AJ79" s="127"/>
      <c r="AK79" s="127"/>
      <c r="AL79" s="127"/>
      <c r="AM79" s="127"/>
      <c r="AN79" s="127"/>
      <c r="AO79" s="127"/>
      <c r="AP79" s="127"/>
      <c r="AQ79" s="127"/>
      <c r="AR79" s="142"/>
    </row>
    <row r="80" spans="1:44" ht="16" x14ac:dyDescent="0.2">
      <c r="A80" s="145"/>
      <c r="B80" s="446" t="s">
        <v>460</v>
      </c>
      <c r="C80" s="145"/>
      <c r="D80" s="145"/>
      <c r="E80" s="145"/>
      <c r="F80" s="145"/>
      <c r="G80" s="145"/>
      <c r="H80" s="159"/>
      <c r="I80" s="156"/>
      <c r="J80" s="145"/>
      <c r="K80" s="145"/>
      <c r="L80" s="158"/>
      <c r="M80" s="127"/>
      <c r="N80" s="127"/>
      <c r="O80" s="127"/>
      <c r="P80" s="127"/>
      <c r="Q80" s="127"/>
      <c r="R80" s="127"/>
      <c r="S80" s="127"/>
      <c r="T80" s="127"/>
      <c r="U80" s="127"/>
      <c r="V80" s="142"/>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42"/>
    </row>
    <row r="81" spans="1:44" ht="16" x14ac:dyDescent="0.2">
      <c r="A81" s="145"/>
      <c r="B81" s="442" t="s">
        <v>456</v>
      </c>
      <c r="C81" s="443" t="str">
        <f>"Solar System size is set to "&amp;TEXT(Size_of_System_in_W_DC,"0,0")&amp;" W(dc), with an AC/DC Conversion Ratio of "&amp;TEXT($E$30*100,0)&amp;"%."</f>
        <v>Solar System size is set to 2,190,000 W(dc), with an AC/DC Conversion Ratio of 120%.</v>
      </c>
      <c r="D81" s="145"/>
      <c r="E81" s="145"/>
      <c r="F81" s="145"/>
      <c r="G81" s="145"/>
      <c r="H81" s="159"/>
      <c r="I81" s="156"/>
      <c r="J81" s="145"/>
      <c r="K81" s="145"/>
      <c r="L81" s="158"/>
      <c r="M81" s="127"/>
      <c r="N81" s="127"/>
      <c r="O81" s="127"/>
      <c r="P81" s="127"/>
      <c r="Q81" s="127"/>
      <c r="R81" s="127"/>
      <c r="S81" s="127"/>
      <c r="T81" s="127"/>
      <c r="U81" s="127"/>
      <c r="V81" s="142"/>
      <c r="W81" s="127"/>
      <c r="X81" s="127"/>
      <c r="Y81" s="127"/>
      <c r="Z81" s="127"/>
      <c r="AA81" s="127"/>
      <c r="AB81" s="127"/>
      <c r="AC81" s="127"/>
      <c r="AD81" s="127"/>
      <c r="AE81" s="127"/>
      <c r="AF81" s="127"/>
      <c r="AG81" s="127"/>
      <c r="AH81" s="127"/>
      <c r="AI81" s="127"/>
      <c r="AJ81" s="127"/>
      <c r="AK81" s="127"/>
      <c r="AL81" s="127"/>
      <c r="AM81" s="127"/>
      <c r="AN81" s="127"/>
      <c r="AO81" s="127"/>
      <c r="AP81" s="127"/>
      <c r="AQ81" s="127"/>
      <c r="AR81" s="142"/>
    </row>
    <row r="82" spans="1:44" ht="16" x14ac:dyDescent="0.2">
      <c r="A82" s="145"/>
      <c r="B82" s="442" t="s">
        <v>456</v>
      </c>
      <c r="C82" s="443" t="str">
        <f>"Solar Production is based upon a manual entry of "&amp;TEXT(Manual_Entry_Estimated_P50_Production,"0,0")&amp;" kWhs per kW(dc)."</f>
        <v>Solar Production is based upon a manual entry of 1,745 kWhs per kW(dc).</v>
      </c>
      <c r="D82" s="145"/>
      <c r="E82" s="145"/>
      <c r="F82" s="145"/>
      <c r="G82" s="145"/>
      <c r="H82" s="159"/>
      <c r="I82" s="156"/>
      <c r="J82" s="145"/>
      <c r="K82" s="145"/>
      <c r="L82" s="158"/>
      <c r="M82" s="127"/>
      <c r="N82" s="127"/>
      <c r="O82" s="127"/>
      <c r="P82" s="127"/>
      <c r="Q82" s="127"/>
      <c r="R82" s="127"/>
      <c r="S82" s="127"/>
      <c r="T82" s="127"/>
      <c r="U82" s="127"/>
      <c r="V82" s="142"/>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42"/>
    </row>
    <row r="83" spans="1:44" ht="16" x14ac:dyDescent="0.2">
      <c r="A83" s="145"/>
      <c r="B83" s="444" t="s">
        <v>456</v>
      </c>
      <c r="C83" s="445" t="str">
        <f>"P50 Solar Production for the 1st Year is estimated to be "&amp;TEXT(P50_Production_1st_Yr,"#,#")&amp;" kWhs."</f>
        <v>P50 Solar Production for the 1st Year is estimated to be 3,820,851 kWhs.</v>
      </c>
      <c r="D83" s="145"/>
      <c r="E83" s="145"/>
      <c r="F83" s="145"/>
      <c r="G83" s="145"/>
      <c r="H83" s="159"/>
      <c r="I83" s="156"/>
      <c r="J83" s="145"/>
      <c r="K83" s="145"/>
      <c r="L83" s="158"/>
      <c r="M83" s="127"/>
      <c r="N83" s="127"/>
      <c r="O83" s="127"/>
      <c r="P83" s="127"/>
      <c r="Q83" s="127"/>
      <c r="R83" s="127"/>
      <c r="S83" s="127"/>
      <c r="T83" s="127"/>
      <c r="U83" s="127"/>
      <c r="V83" s="142"/>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42"/>
    </row>
    <row r="84" spans="1:44" ht="16" x14ac:dyDescent="0.2">
      <c r="A84" s="145"/>
      <c r="B84" s="442" t="s">
        <v>456</v>
      </c>
      <c r="C84" s="445" t="str">
        <f>"Federal ITC is set for "&amp;TEXT(100*Federal_ITC_Rate,0)&amp;"%."</f>
        <v>Federal ITC is set for 30%.</v>
      </c>
      <c r="D84" s="145"/>
      <c r="E84" s="145"/>
      <c r="F84" s="145"/>
      <c r="G84" s="145"/>
      <c r="H84" s="159"/>
      <c r="I84" s="156"/>
      <c r="J84" s="145"/>
      <c r="K84" s="145"/>
      <c r="L84" s="158"/>
      <c r="M84" s="127"/>
      <c r="N84" s="127"/>
      <c r="O84" s="127"/>
      <c r="P84" s="127"/>
      <c r="Q84" s="127"/>
      <c r="R84" s="127"/>
      <c r="S84" s="127"/>
      <c r="T84" s="127"/>
      <c r="U84" s="127"/>
      <c r="V84" s="142"/>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42"/>
    </row>
    <row r="85" spans="1:44" ht="16" x14ac:dyDescent="0.2">
      <c r="A85" s="145"/>
      <c r="B85" s="442" t="s">
        <v>456</v>
      </c>
      <c r="C85" s="445" t="str">
        <f>"Development Margins are set to $"&amp;TEXT(D21,"0.00")&amp;" per W(dc), for a total Development Margin of $"&amp;TEXT(ROUNDUP(E35,0),"0,0")&amp;"."</f>
        <v>Development Margins are set to $0.16 per W(dc), for a total Development Margin of $355,248.</v>
      </c>
      <c r="D85" s="145"/>
      <c r="E85" s="145"/>
      <c r="F85" s="145"/>
      <c r="G85" s="145"/>
      <c r="H85" s="159"/>
      <c r="I85" s="156"/>
      <c r="J85" s="145"/>
      <c r="K85" s="145"/>
      <c r="L85" s="158"/>
      <c r="M85" s="127"/>
      <c r="N85" s="127"/>
      <c r="O85" s="127"/>
      <c r="P85" s="127"/>
      <c r="Q85" s="127"/>
      <c r="R85" s="127"/>
      <c r="S85" s="127"/>
      <c r="T85" s="127"/>
      <c r="U85" s="127"/>
      <c r="V85" s="142"/>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42"/>
    </row>
    <row r="86" spans="1:44" ht="16" x14ac:dyDescent="0.2">
      <c r="A86" s="145"/>
      <c r="B86" s="442" t="s">
        <v>456</v>
      </c>
      <c r="C86" s="445" t="str">
        <f>"Constsruction Costs are set to $"&amp;TEXT(D18,"0.00")&amp;" per W(dc), for a total build cost of $"&amp;TEXT(ROUNDUP(Aggregate_Construction_Cost,0),"0,0")&amp;", excluding Interconnection Costs and Development Costs."</f>
        <v>Constsruction Costs are set to $1.46 per W(dc), for a total build cost of $3,197,225, excluding Interconnection Costs and Development Costs.</v>
      </c>
      <c r="D86" s="145"/>
      <c r="E86" s="145"/>
      <c r="F86" s="145"/>
      <c r="G86" s="145"/>
      <c r="H86" s="159"/>
      <c r="I86" s="156"/>
      <c r="J86" s="145"/>
      <c r="K86" s="145"/>
      <c r="L86" s="158"/>
      <c r="M86" s="127"/>
      <c r="N86" s="127"/>
      <c r="O86" s="127"/>
      <c r="P86" s="127"/>
      <c r="Q86" s="127"/>
      <c r="R86" s="127"/>
      <c r="S86" s="127"/>
      <c r="T86" s="127"/>
      <c r="U86" s="127"/>
      <c r="V86" s="142"/>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42"/>
    </row>
    <row r="87" spans="1:44" ht="16" x14ac:dyDescent="0.2">
      <c r="A87" s="145"/>
      <c r="B87" s="442" t="s">
        <v>456</v>
      </c>
      <c r="C87" s="445"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5"/>
      <c r="E87" s="145"/>
      <c r="F87" s="145"/>
      <c r="G87" s="145"/>
      <c r="H87" s="159"/>
      <c r="I87" s="156"/>
      <c r="J87" s="145"/>
      <c r="K87" s="145"/>
      <c r="L87" s="158"/>
      <c r="M87" s="127"/>
      <c r="N87" s="127"/>
      <c r="O87" s="127"/>
      <c r="P87" s="127"/>
      <c r="Q87" s="127"/>
      <c r="R87" s="127"/>
      <c r="S87" s="127"/>
      <c r="T87" s="127"/>
      <c r="U87" s="127"/>
      <c r="V87" s="142"/>
      <c r="W87" s="127"/>
      <c r="X87" s="127"/>
      <c r="Y87" s="127"/>
      <c r="Z87" s="127"/>
      <c r="AA87" s="127"/>
      <c r="AB87" s="127"/>
      <c r="AC87" s="127"/>
      <c r="AD87" s="127"/>
      <c r="AE87" s="127"/>
      <c r="AF87" s="127"/>
      <c r="AG87" s="127"/>
      <c r="AH87" s="127"/>
      <c r="AI87" s="127"/>
      <c r="AJ87" s="127"/>
      <c r="AK87" s="127"/>
      <c r="AL87" s="127"/>
      <c r="AM87" s="127"/>
      <c r="AN87" s="127"/>
      <c r="AO87" s="127"/>
      <c r="AP87" s="127"/>
      <c r="AQ87" s="127"/>
      <c r="AR87" s="142"/>
    </row>
    <row r="88" spans="1:44" ht="16" x14ac:dyDescent="0.2">
      <c r="A88" s="145"/>
      <c r="B88" s="442" t="s">
        <v>456</v>
      </c>
      <c r="C88" s="445"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5"/>
      <c r="E88" s="145"/>
      <c r="F88" s="145"/>
      <c r="G88" s="145"/>
      <c r="H88" s="159"/>
      <c r="I88" s="156"/>
      <c r="J88" s="145"/>
      <c r="K88" s="145"/>
      <c r="L88" s="158"/>
      <c r="M88" s="127"/>
      <c r="N88" s="127"/>
      <c r="O88" s="127"/>
      <c r="P88" s="127"/>
      <c r="Q88" s="127"/>
      <c r="R88" s="127"/>
      <c r="S88" s="127"/>
      <c r="T88" s="127"/>
      <c r="U88" s="127"/>
      <c r="V88" s="142"/>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42"/>
    </row>
    <row r="89" spans="1:44" ht="16" x14ac:dyDescent="0.2">
      <c r="A89" s="145"/>
      <c r="B89" s="442" t="s">
        <v>456</v>
      </c>
      <c r="C89" s="445"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5"/>
      <c r="E89" s="145"/>
      <c r="F89" s="145"/>
      <c r="G89" s="145"/>
      <c r="H89" s="159"/>
      <c r="I89" s="156"/>
      <c r="J89" s="145"/>
      <c r="K89" s="145"/>
      <c r="L89" s="158"/>
      <c r="M89" s="127"/>
      <c r="N89" s="127"/>
      <c r="O89" s="127"/>
      <c r="P89" s="127"/>
      <c r="Q89" s="127"/>
      <c r="R89" s="127"/>
      <c r="S89" s="127"/>
      <c r="T89" s="127"/>
      <c r="U89" s="127"/>
      <c r="V89" s="142"/>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42"/>
    </row>
    <row r="90" spans="1:44" ht="16" x14ac:dyDescent="0.2">
      <c r="A90" s="145"/>
      <c r="B90" s="442" t="s">
        <v>456</v>
      </c>
      <c r="C90" s="445"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5"/>
      <c r="E90" s="145"/>
      <c r="F90" s="145"/>
      <c r="G90" s="145"/>
      <c r="H90" s="159"/>
      <c r="I90" s="156"/>
      <c r="J90" s="145"/>
      <c r="K90" s="145"/>
      <c r="L90" s="158"/>
      <c r="M90" s="127"/>
      <c r="N90" s="127"/>
      <c r="O90" s="127"/>
      <c r="P90" s="127"/>
      <c r="Q90" s="127"/>
      <c r="R90" s="127"/>
      <c r="S90" s="127"/>
      <c r="T90" s="127"/>
      <c r="U90" s="127"/>
      <c r="V90" s="142"/>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42"/>
    </row>
    <row r="91" spans="1:44" ht="16" x14ac:dyDescent="0.2">
      <c r="A91" s="145"/>
      <c r="B91" s="442" t="s">
        <v>456</v>
      </c>
      <c r="C91" s="445" t="str">
        <f>IF(SRECs_Applicable?="Yes", "SRECS are included, and priced at $"&amp;TEXT(SREC_Price,"0.00")&amp;" per SREC, with a "&amp;TEXT(100*SREC_Increase_Decrease,"0.00")&amp;"% annual escalator over a "&amp;TEXT(SREC_Term_Yrs,0)&amp;" year term.","No SRECS applicable.")</f>
        <v>No SRECS applicable.</v>
      </c>
      <c r="D91" s="145"/>
      <c r="E91" s="145"/>
      <c r="F91" s="145"/>
      <c r="G91" s="145"/>
      <c r="H91" s="159"/>
      <c r="I91" s="156"/>
      <c r="J91" s="145"/>
      <c r="K91" s="145"/>
      <c r="L91" s="158"/>
      <c r="M91" s="127"/>
      <c r="N91" s="127"/>
      <c r="O91" s="127"/>
      <c r="P91" s="127"/>
      <c r="Q91" s="127"/>
      <c r="R91" s="127"/>
      <c r="S91" s="127"/>
      <c r="T91" s="127"/>
      <c r="U91" s="127"/>
      <c r="V91" s="142"/>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42"/>
    </row>
    <row r="92" spans="1:44" ht="16" x14ac:dyDescent="0.2">
      <c r="A92" s="145"/>
      <c r="B92" s="442" t="s">
        <v>456</v>
      </c>
      <c r="C92" s="445"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5"/>
      <c r="E92" s="145"/>
      <c r="F92" s="145"/>
      <c r="G92" s="153"/>
      <c r="H92" s="153"/>
      <c r="I92" s="156"/>
      <c r="J92" s="145"/>
      <c r="K92" s="145"/>
      <c r="L92" s="158"/>
      <c r="M92" s="127"/>
      <c r="N92" s="127"/>
      <c r="O92" s="127"/>
      <c r="P92" s="127"/>
      <c r="Q92" s="127"/>
      <c r="R92" s="127"/>
      <c r="S92" s="127"/>
      <c r="T92" s="127"/>
      <c r="U92" s="127"/>
      <c r="V92" s="142"/>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42"/>
    </row>
    <row r="93" spans="1:44" ht="16" x14ac:dyDescent="0.2">
      <c r="A93" s="145"/>
      <c r="B93" s="442" t="s">
        <v>456</v>
      </c>
      <c r="C93" s="445"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5"/>
      <c r="E93" s="145"/>
      <c r="F93" s="145"/>
      <c r="G93" s="153"/>
      <c r="H93" s="153"/>
      <c r="I93" s="156"/>
      <c r="J93" s="145"/>
      <c r="K93" s="145"/>
      <c r="L93" s="158"/>
      <c r="M93" s="127"/>
      <c r="N93" s="127"/>
      <c r="O93" s="127"/>
      <c r="P93" s="127"/>
      <c r="Q93" s="127"/>
      <c r="R93" s="127"/>
      <c r="S93" s="127"/>
      <c r="T93" s="127"/>
      <c r="U93" s="127"/>
      <c r="V93" s="142"/>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42"/>
    </row>
    <row r="94" spans="1:44" ht="16" x14ac:dyDescent="0.2">
      <c r="A94" s="153"/>
      <c r="B94" s="442" t="s">
        <v>456</v>
      </c>
      <c r="C94" s="445"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3"/>
      <c r="E94" s="153"/>
      <c r="F94" s="153"/>
      <c r="G94" s="153"/>
      <c r="H94" s="153"/>
      <c r="I94" s="153"/>
      <c r="J94" s="153"/>
      <c r="K94" s="153"/>
      <c r="L94" s="158"/>
      <c r="M94" s="127"/>
      <c r="N94" s="127"/>
      <c r="O94" s="127"/>
      <c r="P94" s="127"/>
      <c r="Q94" s="127"/>
      <c r="R94" s="127"/>
      <c r="S94" s="127"/>
      <c r="T94" s="127"/>
      <c r="U94" s="127"/>
      <c r="V94" s="142"/>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42"/>
    </row>
    <row r="95" spans="1:44" ht="16" x14ac:dyDescent="0.2">
      <c r="A95" s="153"/>
      <c r="B95" s="442" t="s">
        <v>456</v>
      </c>
      <c r="C95" s="445"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3"/>
      <c r="E95" s="153"/>
      <c r="F95" s="153"/>
      <c r="G95" s="153"/>
      <c r="H95" s="153"/>
      <c r="I95" s="153"/>
      <c r="J95" s="153"/>
      <c r="K95" s="153"/>
      <c r="L95" s="158"/>
      <c r="M95" s="127"/>
      <c r="N95" s="127"/>
      <c r="O95" s="127"/>
      <c r="P95" s="127"/>
      <c r="Q95" s="127"/>
      <c r="R95" s="127"/>
      <c r="S95" s="127"/>
      <c r="T95" s="127"/>
      <c r="U95" s="127"/>
      <c r="V95" s="142"/>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42"/>
    </row>
    <row r="96" spans="1:44" ht="16" x14ac:dyDescent="0.2">
      <c r="A96" s="153"/>
      <c r="B96" s="442" t="s">
        <v>456</v>
      </c>
      <c r="C96" s="445"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3"/>
      <c r="E96" s="153"/>
      <c r="F96" s="153"/>
      <c r="G96" s="153"/>
      <c r="H96" s="153"/>
      <c r="I96" s="153"/>
      <c r="J96" s="153"/>
      <c r="K96" s="153"/>
      <c r="L96" s="158"/>
      <c r="M96" s="127"/>
      <c r="N96" s="127"/>
      <c r="O96" s="127"/>
      <c r="P96" s="127"/>
      <c r="Q96" s="127"/>
      <c r="R96" s="127"/>
      <c r="S96" s="127"/>
      <c r="T96" s="127"/>
      <c r="U96" s="127"/>
      <c r="V96" s="142"/>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42"/>
    </row>
    <row r="97" spans="1:44" ht="16" x14ac:dyDescent="0.2">
      <c r="A97" s="153"/>
      <c r="B97" s="442" t="s">
        <v>456</v>
      </c>
      <c r="C97" s="445"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$3,675,121. That termination value is $551,268.</v>
      </c>
      <c r="D97" s="153"/>
      <c r="E97" s="153"/>
      <c r="F97" s="153"/>
      <c r="G97" s="153"/>
      <c r="H97" s="437"/>
      <c r="I97" s="153"/>
      <c r="J97" s="153"/>
      <c r="K97" s="153"/>
      <c r="L97" s="158"/>
      <c r="M97" s="127"/>
      <c r="N97" s="127"/>
      <c r="O97" s="127"/>
      <c r="P97" s="127"/>
      <c r="Q97" s="127"/>
      <c r="R97" s="127"/>
      <c r="S97" s="127"/>
      <c r="T97" s="127"/>
      <c r="U97" s="127"/>
      <c r="V97" s="142"/>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42"/>
    </row>
    <row r="98" spans="1:44" ht="14" x14ac:dyDescent="0.2">
      <c r="A98" s="153"/>
      <c r="B98" s="153"/>
      <c r="C98" s="153"/>
      <c r="D98" s="438"/>
      <c r="E98" s="153"/>
      <c r="F98" s="153"/>
      <c r="G98" s="153"/>
      <c r="H98" s="159"/>
      <c r="I98" s="153"/>
      <c r="J98" s="153"/>
      <c r="K98" s="153"/>
      <c r="L98" s="158"/>
      <c r="M98" s="127"/>
      <c r="N98" s="127"/>
      <c r="O98" s="127"/>
      <c r="P98" s="127"/>
      <c r="Q98" s="127"/>
      <c r="R98" s="127"/>
      <c r="S98" s="127"/>
      <c r="T98" s="127"/>
      <c r="U98" s="127"/>
      <c r="V98" s="142"/>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42"/>
    </row>
    <row r="99" spans="1:44" ht="14" x14ac:dyDescent="0.2">
      <c r="A99" s="153"/>
      <c r="B99" s="439"/>
      <c r="C99" s="437"/>
      <c r="D99" s="437"/>
      <c r="E99" s="153"/>
      <c r="F99" s="153"/>
      <c r="G99" s="153"/>
      <c r="H99" s="159"/>
      <c r="I99" s="153"/>
      <c r="J99" s="153"/>
      <c r="K99" s="153"/>
      <c r="L99" s="158"/>
      <c r="M99" s="127"/>
      <c r="N99" s="127"/>
      <c r="O99" s="127"/>
      <c r="P99" s="127"/>
      <c r="Q99" s="127"/>
      <c r="R99" s="127"/>
      <c r="S99" s="127"/>
      <c r="T99" s="127"/>
      <c r="U99" s="127"/>
      <c r="V99" s="142"/>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42"/>
    </row>
    <row r="100" spans="1:44" ht="14" x14ac:dyDescent="0.2">
      <c r="A100" s="145"/>
      <c r="B100" s="153"/>
      <c r="C100" s="153"/>
      <c r="D100" s="437"/>
      <c r="E100" s="153"/>
      <c r="F100" s="153"/>
      <c r="G100" s="153"/>
      <c r="H100" s="159"/>
      <c r="I100" s="156"/>
      <c r="J100" s="145"/>
      <c r="K100" s="145"/>
      <c r="L100" s="158"/>
      <c r="M100" s="127"/>
      <c r="N100" s="127"/>
      <c r="O100" s="127"/>
      <c r="P100" s="127"/>
      <c r="Q100" s="127"/>
      <c r="R100" s="127"/>
      <c r="S100" s="127"/>
      <c r="T100" s="127"/>
      <c r="U100" s="127"/>
      <c r="V100" s="142"/>
      <c r="W100" s="127"/>
      <c r="X100" s="127"/>
      <c r="Y100" s="127"/>
      <c r="Z100" s="127"/>
      <c r="AA100" s="127"/>
      <c r="AB100" s="127"/>
      <c r="AC100" s="127"/>
      <c r="AD100" s="127"/>
      <c r="AE100" s="127"/>
      <c r="AF100" s="127"/>
      <c r="AG100" s="127"/>
      <c r="AH100" s="127"/>
      <c r="AI100" s="127"/>
      <c r="AJ100" s="127"/>
      <c r="AK100" s="127"/>
      <c r="AL100" s="127"/>
      <c r="AM100" s="127"/>
      <c r="AN100" s="127"/>
      <c r="AO100" s="127"/>
      <c r="AP100" s="127"/>
      <c r="AQ100" s="127"/>
      <c r="AR100" s="142"/>
    </row>
    <row r="101" spans="1:44" ht="14" x14ac:dyDescent="0.2">
      <c r="A101" s="145"/>
      <c r="B101" s="145"/>
      <c r="C101" s="145"/>
      <c r="D101" s="145"/>
      <c r="E101" s="437"/>
      <c r="F101" s="145"/>
      <c r="G101" s="145"/>
      <c r="H101" s="159"/>
      <c r="I101" s="156"/>
      <c r="J101" s="145"/>
      <c r="K101" s="145"/>
      <c r="L101" s="158"/>
      <c r="M101" s="127"/>
      <c r="N101" s="127"/>
      <c r="O101" s="127"/>
      <c r="P101" s="127"/>
      <c r="Q101" s="127"/>
      <c r="R101" s="127"/>
      <c r="S101" s="127"/>
      <c r="T101" s="127"/>
      <c r="U101" s="127"/>
      <c r="V101" s="142"/>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42"/>
    </row>
    <row r="102" spans="1:44" ht="14" x14ac:dyDescent="0.2">
      <c r="A102" s="145"/>
      <c r="B102" s="145"/>
      <c r="C102" s="145"/>
      <c r="D102" s="145"/>
      <c r="E102" s="437"/>
      <c r="F102" s="145"/>
      <c r="G102" s="145"/>
      <c r="H102" s="159"/>
      <c r="I102" s="156"/>
      <c r="J102" s="145"/>
      <c r="K102" s="145"/>
      <c r="L102" s="158"/>
      <c r="M102" s="127"/>
      <c r="N102" s="127"/>
      <c r="O102" s="127"/>
      <c r="P102" s="127"/>
      <c r="Q102" s="127"/>
      <c r="R102" s="127"/>
      <c r="S102" s="127"/>
      <c r="T102" s="127"/>
      <c r="U102" s="127"/>
      <c r="V102" s="142"/>
      <c r="W102" s="127"/>
      <c r="X102" s="127"/>
      <c r="Y102" s="127"/>
      <c r="Z102" s="127"/>
      <c r="AA102" s="127"/>
      <c r="AB102" s="127"/>
      <c r="AC102" s="127"/>
      <c r="AD102" s="127"/>
      <c r="AE102" s="127"/>
      <c r="AF102" s="127"/>
      <c r="AG102" s="127"/>
      <c r="AH102" s="127"/>
      <c r="AI102" s="127"/>
      <c r="AJ102" s="127"/>
      <c r="AK102" s="127"/>
      <c r="AL102" s="127"/>
      <c r="AM102" s="127"/>
      <c r="AN102" s="127"/>
      <c r="AO102" s="127"/>
      <c r="AP102" s="127"/>
      <c r="AQ102" s="127"/>
      <c r="AR102" s="142"/>
    </row>
    <row r="103" spans="1:44" ht="14" x14ac:dyDescent="0.2">
      <c r="A103" s="145"/>
      <c r="B103" s="145"/>
      <c r="C103" s="145"/>
      <c r="D103" s="145"/>
      <c r="E103" s="437"/>
      <c r="F103" s="145"/>
      <c r="G103" s="145"/>
      <c r="H103" s="159"/>
      <c r="I103" s="156"/>
      <c r="J103" s="145"/>
      <c r="K103" s="145"/>
      <c r="L103" s="158"/>
      <c r="M103" s="127"/>
      <c r="N103" s="127"/>
      <c r="O103" s="127"/>
      <c r="P103" s="127"/>
      <c r="Q103" s="127"/>
      <c r="R103" s="127"/>
      <c r="S103" s="127"/>
      <c r="T103" s="127"/>
      <c r="U103" s="127"/>
      <c r="V103" s="142"/>
      <c r="W103" s="127"/>
      <c r="X103" s="127"/>
      <c r="Y103" s="127"/>
      <c r="Z103" s="127"/>
      <c r="AA103" s="127"/>
      <c r="AB103" s="127"/>
      <c r="AC103" s="127"/>
      <c r="AD103" s="127"/>
      <c r="AE103" s="127"/>
      <c r="AF103" s="127"/>
      <c r="AG103" s="127"/>
      <c r="AH103" s="127"/>
      <c r="AI103" s="127"/>
      <c r="AJ103" s="127"/>
      <c r="AK103" s="127"/>
      <c r="AL103" s="127"/>
      <c r="AM103" s="127"/>
      <c r="AN103" s="127"/>
      <c r="AO103" s="127"/>
      <c r="AP103" s="127"/>
      <c r="AQ103" s="127"/>
      <c r="AR103" s="142"/>
    </row>
    <row r="104" spans="1:44" ht="14" x14ac:dyDescent="0.2">
      <c r="A104" s="145"/>
      <c r="B104" s="145"/>
      <c r="C104" s="145"/>
      <c r="D104" s="145"/>
      <c r="E104" s="145"/>
      <c r="F104" s="145"/>
      <c r="G104" s="145"/>
      <c r="H104" s="159"/>
      <c r="I104" s="156"/>
      <c r="J104" s="145"/>
      <c r="K104" s="145"/>
      <c r="L104" s="158"/>
      <c r="M104" s="127"/>
      <c r="N104" s="127"/>
      <c r="O104" s="127"/>
      <c r="P104" s="127"/>
      <c r="Q104" s="127"/>
      <c r="R104" s="127"/>
      <c r="S104" s="127"/>
      <c r="T104" s="127"/>
      <c r="U104" s="127"/>
      <c r="V104" s="142"/>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42"/>
    </row>
    <row r="105" spans="1:44" ht="14" x14ac:dyDescent="0.2">
      <c r="A105" s="145"/>
      <c r="B105" s="145"/>
      <c r="C105" s="145"/>
      <c r="D105" s="437"/>
      <c r="E105" s="145"/>
      <c r="F105" s="145"/>
      <c r="G105" s="145"/>
      <c r="H105" s="159"/>
      <c r="I105" s="156"/>
      <c r="J105" s="145"/>
      <c r="K105" s="145"/>
      <c r="L105" s="158"/>
      <c r="M105" s="127"/>
      <c r="N105" s="127"/>
      <c r="O105" s="127"/>
      <c r="P105" s="127"/>
      <c r="Q105" s="127"/>
      <c r="R105" s="127"/>
      <c r="S105" s="127"/>
      <c r="T105" s="127"/>
      <c r="U105" s="127"/>
      <c r="V105" s="142"/>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42"/>
    </row>
    <row r="106" spans="1:44" ht="14" x14ac:dyDescent="0.2">
      <c r="A106" s="145"/>
      <c r="B106" s="145"/>
      <c r="C106" s="145"/>
      <c r="D106" s="437"/>
      <c r="E106" s="145"/>
      <c r="F106" s="145"/>
      <c r="G106" s="145"/>
      <c r="H106" s="159"/>
      <c r="I106" s="156"/>
      <c r="J106" s="145"/>
      <c r="K106" s="145"/>
      <c r="L106" s="158"/>
      <c r="M106" s="127"/>
      <c r="N106" s="127"/>
      <c r="O106" s="127"/>
      <c r="P106" s="127"/>
      <c r="Q106" s="127"/>
      <c r="R106" s="127"/>
      <c r="S106" s="127"/>
      <c r="T106" s="127"/>
      <c r="U106" s="127"/>
      <c r="V106" s="142"/>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42"/>
    </row>
    <row r="107" spans="1:44" ht="14" x14ac:dyDescent="0.2">
      <c r="A107" s="145"/>
      <c r="B107" s="145"/>
      <c r="C107" s="145"/>
      <c r="D107" s="145"/>
      <c r="E107" s="145"/>
      <c r="F107" s="145"/>
      <c r="G107" s="145"/>
      <c r="H107" s="159"/>
      <c r="I107" s="156"/>
      <c r="J107" s="145"/>
      <c r="K107" s="145"/>
      <c r="L107" s="158"/>
      <c r="M107" s="127"/>
      <c r="N107" s="127"/>
      <c r="O107" s="127"/>
      <c r="P107" s="127"/>
      <c r="Q107" s="127"/>
      <c r="R107" s="127"/>
      <c r="S107" s="127"/>
      <c r="T107" s="127"/>
      <c r="U107" s="127"/>
      <c r="V107" s="142"/>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42"/>
    </row>
    <row r="108" spans="1:44" ht="14" x14ac:dyDescent="0.2">
      <c r="A108" s="145"/>
      <c r="B108" s="145"/>
      <c r="C108" s="145"/>
      <c r="D108" s="145"/>
      <c r="E108" s="145"/>
      <c r="F108" s="145"/>
      <c r="G108" s="145"/>
      <c r="H108" s="159"/>
      <c r="I108" s="156"/>
      <c r="J108" s="145"/>
      <c r="K108" s="145"/>
      <c r="L108" s="158"/>
      <c r="M108" s="127"/>
      <c r="N108" s="127"/>
      <c r="O108" s="127"/>
      <c r="P108" s="127"/>
      <c r="Q108" s="127"/>
      <c r="R108" s="127"/>
      <c r="S108" s="127"/>
      <c r="T108" s="127"/>
      <c r="U108" s="127"/>
      <c r="V108" s="142"/>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42"/>
    </row>
    <row r="109" spans="1:44" ht="14" x14ac:dyDescent="0.2">
      <c r="A109" s="145"/>
      <c r="B109" s="145"/>
      <c r="C109" s="145"/>
      <c r="D109" s="145"/>
      <c r="E109" s="145"/>
      <c r="F109" s="145"/>
      <c r="G109" s="145"/>
      <c r="H109" s="159"/>
      <c r="I109" s="156"/>
      <c r="J109" s="145"/>
      <c r="K109" s="145"/>
      <c r="L109" s="158"/>
      <c r="M109" s="127"/>
      <c r="N109" s="127"/>
      <c r="O109" s="127"/>
      <c r="P109" s="127"/>
      <c r="Q109" s="127"/>
      <c r="R109" s="127"/>
      <c r="S109" s="127"/>
      <c r="T109" s="127"/>
      <c r="U109" s="127"/>
      <c r="V109" s="142"/>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42"/>
    </row>
    <row r="110" spans="1:44" ht="14" x14ac:dyDescent="0.2">
      <c r="A110" s="145"/>
      <c r="B110" s="145"/>
      <c r="C110" s="145"/>
      <c r="D110" s="145"/>
      <c r="E110" s="145"/>
      <c r="F110" s="145"/>
      <c r="G110" s="145"/>
      <c r="H110" s="159"/>
      <c r="I110" s="156"/>
      <c r="J110" s="145"/>
      <c r="K110" s="145"/>
      <c r="L110" s="158"/>
      <c r="M110" s="127"/>
      <c r="N110" s="127"/>
      <c r="O110" s="127"/>
      <c r="P110" s="127"/>
      <c r="Q110" s="127"/>
      <c r="R110" s="127"/>
      <c r="S110" s="127"/>
      <c r="T110" s="127"/>
      <c r="U110" s="127"/>
      <c r="V110" s="142"/>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42"/>
    </row>
    <row r="111" spans="1:44" ht="14" x14ac:dyDescent="0.2">
      <c r="A111" s="145"/>
      <c r="B111" s="145"/>
      <c r="C111" s="145"/>
      <c r="D111" s="145"/>
      <c r="E111" s="145"/>
      <c r="F111" s="145"/>
      <c r="G111" s="145"/>
      <c r="H111" s="159"/>
      <c r="I111" s="156"/>
      <c r="J111" s="145"/>
      <c r="K111" s="145"/>
      <c r="L111" s="158"/>
      <c r="M111" s="127"/>
      <c r="N111" s="127"/>
      <c r="O111" s="127"/>
      <c r="P111" s="127"/>
      <c r="Q111" s="127"/>
      <c r="R111" s="127"/>
      <c r="S111" s="127"/>
      <c r="T111" s="127"/>
      <c r="U111" s="127"/>
      <c r="V111" s="142"/>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42"/>
    </row>
    <row r="112" spans="1:44" ht="14" x14ac:dyDescent="0.2">
      <c r="A112" s="145"/>
      <c r="B112" s="145"/>
      <c r="C112" s="145"/>
      <c r="D112" s="145"/>
      <c r="E112" s="145"/>
      <c r="F112" s="145"/>
      <c r="G112" s="145"/>
      <c r="H112" s="159"/>
      <c r="I112" s="156"/>
      <c r="J112" s="145"/>
      <c r="K112" s="145"/>
      <c r="L112" s="158"/>
      <c r="M112" s="127"/>
      <c r="N112" s="127"/>
      <c r="O112" s="127"/>
      <c r="P112" s="127"/>
      <c r="Q112" s="127"/>
      <c r="R112" s="127"/>
      <c r="S112" s="127"/>
      <c r="T112" s="127"/>
      <c r="U112" s="127"/>
      <c r="V112" s="142"/>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42"/>
    </row>
    <row r="113" spans="1:44" ht="14" x14ac:dyDescent="0.2">
      <c r="A113" s="154"/>
      <c r="B113" s="156"/>
      <c r="C113" s="156"/>
      <c r="D113" s="156"/>
      <c r="E113" s="156"/>
      <c r="F113" s="145"/>
      <c r="G113" s="145"/>
      <c r="H113" s="159"/>
      <c r="I113" s="156"/>
      <c r="J113" s="156"/>
      <c r="K113" s="156"/>
      <c r="L113" s="158"/>
      <c r="M113" s="127"/>
      <c r="N113" s="127"/>
      <c r="O113" s="127"/>
      <c r="P113" s="127"/>
      <c r="Q113" s="127"/>
      <c r="R113" s="127"/>
      <c r="S113" s="127"/>
      <c r="T113" s="127"/>
      <c r="U113" s="127"/>
      <c r="V113" s="142"/>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42"/>
    </row>
    <row r="114" spans="1:44" ht="15" thickBot="1" x14ac:dyDescent="0.25">
      <c r="A114" s="155"/>
      <c r="B114" s="169"/>
      <c r="C114" s="169"/>
      <c r="D114" s="169"/>
      <c r="E114" s="169"/>
      <c r="F114" s="169"/>
      <c r="G114" s="169"/>
      <c r="H114" s="169"/>
      <c r="I114" s="169"/>
      <c r="J114" s="169"/>
      <c r="K114" s="169"/>
      <c r="L114" s="170"/>
      <c r="M114" s="135"/>
      <c r="N114" s="135"/>
      <c r="O114" s="135"/>
      <c r="P114" s="135"/>
      <c r="Q114" s="135"/>
      <c r="R114" s="135"/>
      <c r="S114" s="135"/>
      <c r="T114" s="135"/>
      <c r="U114" s="135"/>
      <c r="V114" s="144"/>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44"/>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4"/>
      <c r="N130" s="1"/>
      <c r="O130"/>
      <c r="P130"/>
      <c r="Q130"/>
      <c r="R130"/>
      <c r="S130"/>
      <c r="T130" s="2"/>
      <c r="U130" s="2"/>
      <c r="V130" s="2"/>
      <c r="W130" s="2"/>
      <c r="X130" s="2"/>
      <c r="Y130" s="2"/>
      <c r="Z130" s="2"/>
      <c r="AA130" s="2"/>
      <c r="AB130" s="2"/>
      <c r="AC130" s="2"/>
    </row>
    <row r="131" spans="4:29" ht="14" x14ac:dyDescent="0.2">
      <c r="D131"/>
      <c r="E131"/>
      <c r="F131"/>
      <c r="G131"/>
      <c r="H131"/>
      <c r="I131"/>
      <c r="M131" s="415"/>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406</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2"/>
      <c r="K140" s="173"/>
      <c r="L140"/>
      <c r="M140"/>
      <c r="N140" s="541" t="s">
        <v>469</v>
      </c>
      <c r="O140" s="541"/>
      <c r="P140" s="2"/>
      <c r="Q140" s="2"/>
      <c r="R140" s="2"/>
      <c r="S140" s="2"/>
      <c r="T140" s="2"/>
      <c r="U140" s="2"/>
      <c r="V140" s="2"/>
      <c r="W140" s="2"/>
      <c r="X140" s="2"/>
      <c r="Y140" s="2"/>
      <c r="Z140" s="2"/>
      <c r="AA140" s="2"/>
      <c r="AB140" s="2"/>
    </row>
    <row r="141" spans="4:29" ht="16" x14ac:dyDescent="0.2">
      <c r="H141"/>
      <c r="I141"/>
      <c r="J141" s="542" t="s">
        <v>199</v>
      </c>
      <c r="K141" s="441" t="s">
        <v>313</v>
      </c>
      <c r="L141"/>
      <c r="M141"/>
      <c r="N141" s="541"/>
      <c r="O141" s="541"/>
      <c r="P141" s="2"/>
      <c r="Q141" s="2"/>
      <c r="R141" s="2"/>
      <c r="S141" s="2"/>
      <c r="T141" s="2"/>
      <c r="U141" s="2"/>
      <c r="V141" s="2"/>
      <c r="W141" s="2"/>
      <c r="X141" s="2"/>
      <c r="Y141" s="2"/>
      <c r="Z141" s="2"/>
      <c r="AA141" s="2"/>
    </row>
    <row r="142" spans="4:29" ht="16" x14ac:dyDescent="0.2">
      <c r="H142"/>
      <c r="I142"/>
      <c r="J142" s="543"/>
      <c r="K142" s="121" t="s">
        <v>245</v>
      </c>
      <c r="M142" s="14"/>
      <c r="N142" s="541"/>
      <c r="O142" s="541"/>
      <c r="P142" s="2"/>
      <c r="Q142" s="2"/>
      <c r="R142" s="2"/>
      <c r="S142" s="2"/>
      <c r="T142" s="2"/>
      <c r="U142" s="2"/>
      <c r="V142" s="2"/>
      <c r="W142" s="2"/>
      <c r="X142" s="2"/>
      <c r="Y142" s="2"/>
      <c r="Z142" s="2"/>
      <c r="AA142" s="2"/>
    </row>
    <row r="143" spans="4:29" ht="15" thickBot="1" x14ac:dyDescent="0.25">
      <c r="H143"/>
      <c r="I143"/>
      <c r="J143" s="544"/>
      <c r="K143" s="171" t="s">
        <v>219</v>
      </c>
      <c r="M143"/>
      <c r="N143" s="541"/>
      <c r="O143" s="541"/>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4" t="s">
        <v>214</v>
      </c>
      <c r="K145" s="529"/>
      <c r="L145" s="530"/>
      <c r="P145" s="2"/>
      <c r="Q145" s="2"/>
      <c r="R145" s="2"/>
      <c r="S145" s="2"/>
      <c r="T145" s="2"/>
      <c r="U145" s="2"/>
      <c r="V145" s="2"/>
      <c r="W145" s="2"/>
      <c r="X145" s="2"/>
      <c r="Y145" s="2"/>
      <c r="Z145" s="2"/>
    </row>
    <row r="146" spans="1:27" ht="17" thickBot="1" x14ac:dyDescent="0.25">
      <c r="H146"/>
      <c r="I146"/>
      <c r="J146" s="175" t="s">
        <v>216</v>
      </c>
      <c r="K146" s="531"/>
      <c r="L146" s="532"/>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EA6F8930-68D5-FA45-A57F-A4D115604565}">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D22 E47 D24:D25"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topLeftCell="A2" zoomScale="106" zoomScaleNormal="100" workbookViewId="0">
      <selection activeCell="D21" sqref="D21"/>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407</v>
      </c>
      <c r="I4" s="3"/>
      <c r="M4" s="13"/>
      <c r="O4" s="562" t="s">
        <v>0</v>
      </c>
      <c r="P4" s="563"/>
      <c r="Q4" s="563"/>
      <c r="R4" s="563"/>
      <c r="S4" s="563"/>
      <c r="T4" s="563"/>
      <c r="U4" s="563"/>
      <c r="V4" s="563"/>
      <c r="W4" s="563"/>
      <c r="X4" s="563"/>
      <c r="Y4" s="563"/>
      <c r="Z4" s="563"/>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64" t="s">
        <v>134</v>
      </c>
      <c r="P5" s="565"/>
      <c r="Q5" s="565"/>
      <c r="R5" s="565"/>
      <c r="S5" s="565"/>
      <c r="T5" s="565"/>
      <c r="U5" s="565"/>
      <c r="V5" s="565"/>
      <c r="W5" s="565"/>
      <c r="X5" s="565"/>
      <c r="Y5" s="565"/>
      <c r="Z5" s="566"/>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7"/>
      <c r="P6" s="568"/>
      <c r="Q6" s="568"/>
      <c r="R6" s="568"/>
      <c r="S6" s="568"/>
      <c r="T6" s="568"/>
      <c r="U6" s="568"/>
      <c r="V6" s="568"/>
      <c r="W6" s="568"/>
      <c r="X6" s="568"/>
      <c r="Y6" s="568"/>
      <c r="Z6" s="569"/>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67"/>
      <c r="P7" s="568"/>
      <c r="Q7" s="568"/>
      <c r="R7" s="568"/>
      <c r="S7" s="568"/>
      <c r="T7" s="568"/>
      <c r="U7" s="568"/>
      <c r="V7" s="568"/>
      <c r="W7" s="568"/>
      <c r="X7" s="568"/>
      <c r="Y7" s="568"/>
      <c r="Z7" s="569"/>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67"/>
      <c r="P8" s="568"/>
      <c r="Q8" s="568"/>
      <c r="R8" s="568"/>
      <c r="S8" s="568"/>
      <c r="T8" s="568"/>
      <c r="U8" s="568"/>
      <c r="V8" s="568"/>
      <c r="W8" s="568"/>
      <c r="X8" s="568"/>
      <c r="Y8" s="568"/>
      <c r="Z8" s="569"/>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7"/>
      <c r="P9" s="568"/>
      <c r="Q9" s="568"/>
      <c r="R9" s="568"/>
      <c r="S9" s="568"/>
      <c r="T9" s="568"/>
      <c r="U9" s="568"/>
      <c r="V9" s="568"/>
      <c r="W9" s="568"/>
      <c r="X9" s="568"/>
      <c r="Y9" s="568"/>
      <c r="Z9" s="569"/>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486" t="s">
        <v>214</v>
      </c>
      <c r="I10" s="487"/>
      <c r="J10" s="580"/>
      <c r="K10" s="581"/>
      <c r="L10" s="3"/>
      <c r="M10" s="3"/>
      <c r="O10" s="567"/>
      <c r="P10" s="568"/>
      <c r="Q10" s="568"/>
      <c r="R10" s="568"/>
      <c r="S10" s="568"/>
      <c r="T10" s="568"/>
      <c r="U10" s="568"/>
      <c r="V10" s="568"/>
      <c r="W10" s="568"/>
      <c r="X10" s="568"/>
      <c r="Y10" s="568"/>
      <c r="Z10" s="569"/>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57" t="s">
        <v>216</v>
      </c>
      <c r="I11" s="558"/>
      <c r="J11" s="582"/>
      <c r="K11" s="583"/>
      <c r="L11" s="3"/>
      <c r="O11" s="570"/>
      <c r="P11" s="571"/>
      <c r="Q11" s="571"/>
      <c r="R11" s="571"/>
      <c r="S11" s="571"/>
      <c r="T11" s="571"/>
      <c r="U11" s="571"/>
      <c r="V11" s="571"/>
      <c r="W11" s="571"/>
      <c r="X11" s="571"/>
      <c r="Y11" s="571"/>
      <c r="Z11" s="572"/>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284</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7" t="s">
        <v>283</v>
      </c>
      <c r="C16" s="578"/>
      <c r="D16" s="578"/>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29" t="s">
        <v>32</v>
      </c>
      <c r="C17" s="330">
        <v>0</v>
      </c>
      <c r="D17" s="176">
        <f t="shared" ref="D17:V17" si="0">C17+1</f>
        <v>1</v>
      </c>
      <c r="E17" s="176">
        <f t="shared" si="0"/>
        <v>2</v>
      </c>
      <c r="F17" s="176">
        <f t="shared" si="0"/>
        <v>3</v>
      </c>
      <c r="G17" s="176">
        <f t="shared" si="0"/>
        <v>4</v>
      </c>
      <c r="H17" s="176">
        <f t="shared" si="0"/>
        <v>5</v>
      </c>
      <c r="I17" s="176">
        <f t="shared" si="0"/>
        <v>6</v>
      </c>
      <c r="J17" s="176">
        <f t="shared" si="0"/>
        <v>7</v>
      </c>
      <c r="K17" s="176">
        <f t="shared" si="0"/>
        <v>8</v>
      </c>
      <c r="L17" s="176">
        <f t="shared" si="0"/>
        <v>9</v>
      </c>
      <c r="M17" s="176">
        <f t="shared" si="0"/>
        <v>10</v>
      </c>
      <c r="N17" s="176">
        <f t="shared" si="0"/>
        <v>11</v>
      </c>
      <c r="O17" s="176">
        <f t="shared" si="0"/>
        <v>12</v>
      </c>
      <c r="P17" s="176">
        <f t="shared" si="0"/>
        <v>13</v>
      </c>
      <c r="Q17" s="176">
        <f t="shared" si="0"/>
        <v>14</v>
      </c>
      <c r="R17" s="176">
        <f t="shared" si="0"/>
        <v>15</v>
      </c>
      <c r="S17" s="176">
        <f t="shared" si="0"/>
        <v>16</v>
      </c>
      <c r="T17" s="176">
        <f t="shared" si="0"/>
        <v>17</v>
      </c>
      <c r="U17" s="176">
        <f t="shared" si="0"/>
        <v>18</v>
      </c>
      <c r="V17" s="176">
        <f t="shared" si="0"/>
        <v>19</v>
      </c>
      <c r="W17" s="176">
        <f t="shared" ref="W17:AB17" si="1">V17+1</f>
        <v>20</v>
      </c>
      <c r="X17" s="176">
        <f t="shared" si="1"/>
        <v>21</v>
      </c>
      <c r="Y17" s="176">
        <f t="shared" si="1"/>
        <v>22</v>
      </c>
      <c r="Z17" s="176">
        <f t="shared" si="1"/>
        <v>23</v>
      </c>
      <c r="AA17" s="176">
        <f t="shared" si="1"/>
        <v>24</v>
      </c>
      <c r="AB17" s="176">
        <f t="shared" si="1"/>
        <v>25</v>
      </c>
      <c r="AC17" s="176"/>
    </row>
    <row r="18" spans="1:29" ht="14" x14ac:dyDescent="0.2">
      <c r="A18" s="3"/>
      <c r="B18" s="331" t="s">
        <v>370</v>
      </c>
      <c r="C18" s="191"/>
      <c r="D18" s="332"/>
      <c r="E18" s="332"/>
      <c r="F18" s="332"/>
      <c r="G18" s="332"/>
      <c r="H18" s="332"/>
      <c r="I18" s="332"/>
      <c r="J18" s="332"/>
      <c r="K18" s="332"/>
      <c r="L18" s="332"/>
      <c r="M18" s="332"/>
      <c r="N18" s="332"/>
      <c r="O18" s="332"/>
      <c r="P18" s="332"/>
      <c r="Q18" s="332"/>
      <c r="R18" s="332"/>
      <c r="S18" s="332"/>
      <c r="T18" s="332"/>
      <c r="U18" s="332"/>
      <c r="V18" s="332"/>
      <c r="W18" s="332"/>
      <c r="X18" s="332"/>
      <c r="Y18" s="332"/>
      <c r="Z18" s="332"/>
      <c r="AA18" s="332"/>
      <c r="AB18" s="332"/>
      <c r="AC18" s="332"/>
    </row>
    <row r="19" spans="1:29" ht="14" x14ac:dyDescent="0.2">
      <c r="A19" s="3"/>
      <c r="B19" s="209" t="s">
        <v>163</v>
      </c>
      <c r="C19" s="228"/>
      <c r="D19" s="248">
        <f>PPA_Price_kWh</f>
        <v>7.3031580167629145E-2</v>
      </c>
      <c r="E19" s="248">
        <f t="shared" ref="E19:V19" si="2">D19*(1+PPA_Price_Annual_Escalator)</f>
        <v>7.4857369671819871E-2</v>
      </c>
      <c r="F19" s="248">
        <f t="shared" si="2"/>
        <v>7.6728803913615362E-2</v>
      </c>
      <c r="G19" s="248">
        <f t="shared" si="2"/>
        <v>7.8647024011455735E-2</v>
      </c>
      <c r="H19" s="248">
        <f t="shared" si="2"/>
        <v>8.0613199611742126E-2</v>
      </c>
      <c r="I19" s="248">
        <f t="shared" si="2"/>
        <v>8.2628529602035677E-2</v>
      </c>
      <c r="J19" s="248">
        <f t="shared" si="2"/>
        <v>8.4694242842086556E-2</v>
      </c>
      <c r="K19" s="248">
        <f t="shared" si="2"/>
        <v>8.6811598913138707E-2</v>
      </c>
      <c r="L19" s="248">
        <f t="shared" si="2"/>
        <v>8.898188888596717E-2</v>
      </c>
      <c r="M19" s="248">
        <f t="shared" si="2"/>
        <v>9.1206436108116337E-2</v>
      </c>
      <c r="N19" s="248">
        <f t="shared" si="2"/>
        <v>9.3486597010819239E-2</v>
      </c>
      <c r="O19" s="248">
        <f t="shared" si="2"/>
        <v>9.5823761936089713E-2</v>
      </c>
      <c r="P19" s="248">
        <f t="shared" si="2"/>
        <v>9.8219355984491941E-2</v>
      </c>
      <c r="Q19" s="248">
        <f t="shared" si="2"/>
        <v>0.10067483988410424</v>
      </c>
      <c r="R19" s="248">
        <f t="shared" si="2"/>
        <v>0.10319171088120684</v>
      </c>
      <c r="S19" s="248">
        <f t="shared" si="2"/>
        <v>0.105771503653237</v>
      </c>
      <c r="T19" s="248">
        <f t="shared" si="2"/>
        <v>0.10841579124456791</v>
      </c>
      <c r="U19" s="248">
        <f t="shared" si="2"/>
        <v>0.1111261860256821</v>
      </c>
      <c r="V19" s="248">
        <f t="shared" si="2"/>
        <v>0.11390434067632414</v>
      </c>
      <c r="W19" s="248">
        <f t="shared" ref="W19:AB19" si="3">V19*(1+PPA_Price_Annual_Escalator)</f>
        <v>0.11675194919323223</v>
      </c>
      <c r="X19" s="248">
        <f t="shared" si="3"/>
        <v>0.11967074792306302</v>
      </c>
      <c r="Y19" s="248">
        <f t="shared" si="3"/>
        <v>0.12266251662113958</v>
      </c>
      <c r="Z19" s="248">
        <f t="shared" si="3"/>
        <v>0.12572907953666806</v>
      </c>
      <c r="AA19" s="248">
        <f t="shared" si="3"/>
        <v>0.12887230652508475</v>
      </c>
      <c r="AB19" s="248">
        <f t="shared" si="3"/>
        <v>0.13209411418821185</v>
      </c>
      <c r="AC19" s="248"/>
    </row>
    <row r="20" spans="1:29" ht="14" x14ac:dyDescent="0.2">
      <c r="A20" s="3"/>
      <c r="B20" s="209" t="s">
        <v>100</v>
      </c>
      <c r="C20" s="228"/>
      <c r="D20" s="324">
        <f>IF(AND(SRECs_Applicable?="Yes",D17&lt;=SREC_Term_Yrs),SREC_Price,0)</f>
        <v>0</v>
      </c>
      <c r="E20" s="324">
        <f t="shared" ref="E20:V20" si="4">IF(AND(SRECs_Applicable?="Yes",E17&lt;=SREC_Term_Yrs),D20,0)*(1+SREC_Increase_Decrease)</f>
        <v>0</v>
      </c>
      <c r="F20" s="324">
        <f t="shared" si="4"/>
        <v>0</v>
      </c>
      <c r="G20" s="324">
        <f t="shared" si="4"/>
        <v>0</v>
      </c>
      <c r="H20" s="324">
        <f t="shared" si="4"/>
        <v>0</v>
      </c>
      <c r="I20" s="324">
        <f t="shared" si="4"/>
        <v>0</v>
      </c>
      <c r="J20" s="324">
        <f t="shared" si="4"/>
        <v>0</v>
      </c>
      <c r="K20" s="324">
        <f t="shared" si="4"/>
        <v>0</v>
      </c>
      <c r="L20" s="324">
        <f t="shared" si="4"/>
        <v>0</v>
      </c>
      <c r="M20" s="324">
        <f t="shared" si="4"/>
        <v>0</v>
      </c>
      <c r="N20" s="324">
        <f t="shared" si="4"/>
        <v>0</v>
      </c>
      <c r="O20" s="324">
        <f t="shared" si="4"/>
        <v>0</v>
      </c>
      <c r="P20" s="324">
        <f t="shared" si="4"/>
        <v>0</v>
      </c>
      <c r="Q20" s="324">
        <f t="shared" si="4"/>
        <v>0</v>
      </c>
      <c r="R20" s="324">
        <f t="shared" si="4"/>
        <v>0</v>
      </c>
      <c r="S20" s="324">
        <f t="shared" si="4"/>
        <v>0</v>
      </c>
      <c r="T20" s="324">
        <f t="shared" si="4"/>
        <v>0</v>
      </c>
      <c r="U20" s="324">
        <f t="shared" si="4"/>
        <v>0</v>
      </c>
      <c r="V20" s="324">
        <f t="shared" si="4"/>
        <v>0</v>
      </c>
      <c r="W20" s="324">
        <f t="shared" ref="W20:AB20" si="5">IF(AND(SRECs_Applicable?="Yes",W17&lt;=SREC_Term_Yrs),V20,0)*(1+SREC_Increase_Decrease)</f>
        <v>0</v>
      </c>
      <c r="X20" s="324">
        <f t="shared" si="5"/>
        <v>0</v>
      </c>
      <c r="Y20" s="324">
        <f t="shared" si="5"/>
        <v>0</v>
      </c>
      <c r="Z20" s="324">
        <f t="shared" si="5"/>
        <v>0</v>
      </c>
      <c r="AA20" s="324">
        <f t="shared" si="5"/>
        <v>0</v>
      </c>
      <c r="AB20" s="324">
        <f t="shared" si="5"/>
        <v>0</v>
      </c>
      <c r="AC20" s="324"/>
    </row>
    <row r="21" spans="1:29" ht="14" x14ac:dyDescent="0.2">
      <c r="A21" s="3"/>
      <c r="B21" s="209" t="s">
        <v>241</v>
      </c>
      <c r="C21" s="228"/>
      <c r="D21" s="249">
        <f>P50_Production_1st_Yr</f>
        <v>3820850.9962999937</v>
      </c>
      <c r="E21" s="249">
        <f t="shared" ref="E21:V21" si="6">D21*(1-Panel_Degradation_Rate)</f>
        <v>3801746.7413184936</v>
      </c>
      <c r="F21" s="249">
        <f t="shared" si="6"/>
        <v>3782738.007611901</v>
      </c>
      <c r="G21" s="249">
        <f t="shared" si="6"/>
        <v>3763824.3175738417</v>
      </c>
      <c r="H21" s="249">
        <f t="shared" si="6"/>
        <v>3745005.1959859724</v>
      </c>
      <c r="I21" s="249">
        <f t="shared" si="6"/>
        <v>3726280.1700060423</v>
      </c>
      <c r="J21" s="249">
        <f t="shared" si="6"/>
        <v>3707648.7691560122</v>
      </c>
      <c r="K21" s="249">
        <f t="shared" si="6"/>
        <v>3689110.5253102323</v>
      </c>
      <c r="L21" s="249">
        <f t="shared" si="6"/>
        <v>3670664.9726836812</v>
      </c>
      <c r="M21" s="249">
        <f t="shared" si="6"/>
        <v>3652311.6478202627</v>
      </c>
      <c r="N21" s="249">
        <f t="shared" si="6"/>
        <v>3634050.0895811613</v>
      </c>
      <c r="O21" s="249">
        <f t="shared" si="6"/>
        <v>3615879.8391332556</v>
      </c>
      <c r="P21" s="249">
        <f t="shared" si="6"/>
        <v>3597800.4399375892</v>
      </c>
      <c r="Q21" s="249">
        <f t="shared" si="6"/>
        <v>3579811.4377379012</v>
      </c>
      <c r="R21" s="249">
        <f t="shared" si="6"/>
        <v>3561912.3805492115</v>
      </c>
      <c r="S21" s="249">
        <f t="shared" si="6"/>
        <v>3544102.8186464654</v>
      </c>
      <c r="T21" s="249">
        <f t="shared" si="6"/>
        <v>3526382.3045532331</v>
      </c>
      <c r="U21" s="249">
        <f t="shared" si="6"/>
        <v>3508750.393030467</v>
      </c>
      <c r="V21" s="249">
        <f t="shared" si="6"/>
        <v>3491206.6410653144</v>
      </c>
      <c r="W21" s="249">
        <f t="shared" ref="W21:AB21" si="7">V21*(1-Panel_Degradation_Rate)</f>
        <v>3473750.6078599878</v>
      </c>
      <c r="X21" s="249">
        <f t="shared" si="7"/>
        <v>3456381.8548206878</v>
      </c>
      <c r="Y21" s="249">
        <f t="shared" si="7"/>
        <v>3439099.9455465842</v>
      </c>
      <c r="Z21" s="249">
        <f t="shared" si="7"/>
        <v>3421904.4458188512</v>
      </c>
      <c r="AA21" s="249">
        <f t="shared" si="7"/>
        <v>3404794.9235897572</v>
      </c>
      <c r="AB21" s="249">
        <f t="shared" si="7"/>
        <v>3387770.9489718084</v>
      </c>
      <c r="AC21" s="249"/>
    </row>
    <row r="22" spans="1:29" ht="14" x14ac:dyDescent="0.2">
      <c r="A22" s="3"/>
      <c r="B22" s="209" t="s">
        <v>454</v>
      </c>
      <c r="C22" s="228"/>
      <c r="D22" s="324">
        <f>PTC_Starting_Rate_Dollars_per_MWh</f>
        <v>26</v>
      </c>
      <c r="E22" s="324">
        <f t="shared" ref="E22:AB22" si="8">IF(E17&lt;=PTC_Term_in_Years,D22*(1+PTC_Annual_Inflator_Rate_Percent),0)</f>
        <v>26.52</v>
      </c>
      <c r="F22" s="324">
        <f t="shared" si="8"/>
        <v>27.0504</v>
      </c>
      <c r="G22" s="324">
        <f t="shared" si="8"/>
        <v>27.591408000000001</v>
      </c>
      <c r="H22" s="324">
        <f t="shared" si="8"/>
        <v>28.143236160000001</v>
      </c>
      <c r="I22" s="324">
        <f t="shared" si="8"/>
        <v>28.706100883200001</v>
      </c>
      <c r="J22" s="324">
        <f t="shared" si="8"/>
        <v>29.280222900864</v>
      </c>
      <c r="K22" s="324">
        <f t="shared" si="8"/>
        <v>29.86582735888128</v>
      </c>
      <c r="L22" s="324">
        <f t="shared" si="8"/>
        <v>30.463143906058907</v>
      </c>
      <c r="M22" s="324">
        <f t="shared" si="8"/>
        <v>31.072406784180085</v>
      </c>
      <c r="N22" s="324">
        <f t="shared" si="8"/>
        <v>0</v>
      </c>
      <c r="O22" s="324">
        <f t="shared" si="8"/>
        <v>0</v>
      </c>
      <c r="P22" s="324">
        <f t="shared" si="8"/>
        <v>0</v>
      </c>
      <c r="Q22" s="324">
        <f t="shared" si="8"/>
        <v>0</v>
      </c>
      <c r="R22" s="324">
        <f t="shared" si="8"/>
        <v>0</v>
      </c>
      <c r="S22" s="324">
        <f t="shared" si="8"/>
        <v>0</v>
      </c>
      <c r="T22" s="324">
        <f t="shared" si="8"/>
        <v>0</v>
      </c>
      <c r="U22" s="324">
        <f t="shared" si="8"/>
        <v>0</v>
      </c>
      <c r="V22" s="324">
        <f t="shared" si="8"/>
        <v>0</v>
      </c>
      <c r="W22" s="324">
        <f t="shared" si="8"/>
        <v>0</v>
      </c>
      <c r="X22" s="324">
        <f t="shared" si="8"/>
        <v>0</v>
      </c>
      <c r="Y22" s="324">
        <f t="shared" si="8"/>
        <v>0</v>
      </c>
      <c r="Z22" s="324">
        <f t="shared" si="8"/>
        <v>0</v>
      </c>
      <c r="AA22" s="324">
        <f t="shared" si="8"/>
        <v>0</v>
      </c>
      <c r="AB22" s="324">
        <f t="shared" si="8"/>
        <v>0</v>
      </c>
      <c r="AC22" s="249"/>
    </row>
    <row r="23" spans="1:29" ht="14" x14ac:dyDescent="0.2">
      <c r="A23" s="3"/>
      <c r="B23" s="209" t="s">
        <v>251</v>
      </c>
      <c r="C23" s="228"/>
      <c r="D23" s="249">
        <f t="shared" ref="D23:AB23" si="9">IF(D17&lt;=SREC_Term_Yrs,D21/SREC_Size_kWh_per_SREC,0)</f>
        <v>3820.8509962999938</v>
      </c>
      <c r="E23" s="249">
        <f t="shared" si="9"/>
        <v>3801.7467413184936</v>
      </c>
      <c r="F23" s="249">
        <f t="shared" si="9"/>
        <v>3782.7380076119011</v>
      </c>
      <c r="G23" s="249">
        <f t="shared" si="9"/>
        <v>3763.8243175738417</v>
      </c>
      <c r="H23" s="249">
        <f t="shared" si="9"/>
        <v>3745.0051959859725</v>
      </c>
      <c r="I23" s="249">
        <f t="shared" si="9"/>
        <v>3726.2801700060422</v>
      </c>
      <c r="J23" s="249">
        <f t="shared" si="9"/>
        <v>3707.6487691560123</v>
      </c>
      <c r="K23" s="249">
        <f t="shared" si="9"/>
        <v>3689.1105253102323</v>
      </c>
      <c r="L23" s="249">
        <f t="shared" si="9"/>
        <v>3670.6649726836813</v>
      </c>
      <c r="M23" s="249">
        <f t="shared" si="9"/>
        <v>3652.3116478202628</v>
      </c>
      <c r="N23" s="249">
        <f t="shared" si="9"/>
        <v>0</v>
      </c>
      <c r="O23" s="249">
        <f t="shared" si="9"/>
        <v>0</v>
      </c>
      <c r="P23" s="249">
        <f t="shared" si="9"/>
        <v>0</v>
      </c>
      <c r="Q23" s="249">
        <f t="shared" si="9"/>
        <v>0</v>
      </c>
      <c r="R23" s="249">
        <f t="shared" si="9"/>
        <v>0</v>
      </c>
      <c r="S23" s="249">
        <f t="shared" si="9"/>
        <v>0</v>
      </c>
      <c r="T23" s="249">
        <f t="shared" si="9"/>
        <v>0</v>
      </c>
      <c r="U23" s="249">
        <f t="shared" si="9"/>
        <v>0</v>
      </c>
      <c r="V23" s="249">
        <f t="shared" si="9"/>
        <v>0</v>
      </c>
      <c r="W23" s="249">
        <f t="shared" si="9"/>
        <v>0</v>
      </c>
      <c r="X23" s="249">
        <f t="shared" si="9"/>
        <v>0</v>
      </c>
      <c r="Y23" s="249">
        <f t="shared" si="9"/>
        <v>0</v>
      </c>
      <c r="Z23" s="249">
        <f t="shared" si="9"/>
        <v>0</v>
      </c>
      <c r="AA23" s="249">
        <f t="shared" si="9"/>
        <v>0</v>
      </c>
      <c r="AB23" s="249">
        <f t="shared" si="9"/>
        <v>0</v>
      </c>
      <c r="AC23" s="249"/>
    </row>
    <row r="24" spans="1:29" ht="14" x14ac:dyDescent="0.2">
      <c r="A24" s="3"/>
      <c r="B24" s="209"/>
      <c r="C24" s="228"/>
      <c r="D24" s="249"/>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row>
    <row r="25" spans="1:29" ht="14" x14ac:dyDescent="0.2">
      <c r="A25" s="3"/>
      <c r="B25" s="232" t="s">
        <v>371</v>
      </c>
      <c r="C25" s="228"/>
      <c r="D25" s="250"/>
      <c r="E25" s="251"/>
      <c r="F25" s="251"/>
      <c r="G25" s="250"/>
      <c r="H25" s="250"/>
      <c r="I25" s="250"/>
      <c r="J25" s="250"/>
      <c r="K25" s="250"/>
      <c r="L25" s="250"/>
      <c r="M25" s="250"/>
      <c r="N25" s="250"/>
      <c r="O25" s="250"/>
      <c r="P25" s="250"/>
      <c r="Q25" s="250"/>
      <c r="R25" s="250"/>
      <c r="S25" s="250"/>
      <c r="T25" s="250"/>
      <c r="U25" s="250"/>
      <c r="V25" s="250"/>
      <c r="W25" s="250"/>
      <c r="X25" s="250"/>
      <c r="Y25" s="250"/>
      <c r="Z25" s="250"/>
      <c r="AA25" s="250"/>
      <c r="AB25" s="250"/>
      <c r="AC25" s="250"/>
    </row>
    <row r="26" spans="1:29" ht="14" x14ac:dyDescent="0.2">
      <c r="A26" s="3"/>
      <c r="B26" s="215" t="s">
        <v>81</v>
      </c>
      <c r="C26" s="252"/>
      <c r="D26" s="227">
        <f t="shared" ref="D26:AB26" si="10">D21*D19</f>
        <v>279042.78584484867</v>
      </c>
      <c r="E26" s="227">
        <f t="shared" si="10"/>
        <v>284588.76121351501</v>
      </c>
      <c r="F26" s="227">
        <f t="shared" si="10"/>
        <v>290244.9628426336</v>
      </c>
      <c r="G26" s="227">
        <f t="shared" si="10"/>
        <v>296013.58147913089</v>
      </c>
      <c r="H26" s="227">
        <f t="shared" si="10"/>
        <v>301896.85141102865</v>
      </c>
      <c r="I26" s="227">
        <f t="shared" si="10"/>
        <v>307897.05133282283</v>
      </c>
      <c r="J26" s="227">
        <f t="shared" si="10"/>
        <v>314016.50522806263</v>
      </c>
      <c r="K26" s="227">
        <f t="shared" si="10"/>
        <v>320257.58326947031</v>
      </c>
      <c r="L26" s="227">
        <f t="shared" si="10"/>
        <v>326622.70273695106</v>
      </c>
      <c r="M26" s="227">
        <f t="shared" si="10"/>
        <v>333114.32895384787</v>
      </c>
      <c r="N26" s="227">
        <f t="shared" si="10"/>
        <v>339734.97624180559</v>
      </c>
      <c r="O26" s="227">
        <f t="shared" si="10"/>
        <v>346487.20889461145</v>
      </c>
      <c r="P26" s="227">
        <f t="shared" si="10"/>
        <v>353373.64217139181</v>
      </c>
      <c r="Q26" s="227">
        <f t="shared" si="10"/>
        <v>360396.94330954819</v>
      </c>
      <c r="R26" s="227">
        <f t="shared" si="10"/>
        <v>367559.83255782543</v>
      </c>
      <c r="S26" s="227">
        <f t="shared" si="10"/>
        <v>374865.08422991214</v>
      </c>
      <c r="T26" s="227">
        <f t="shared" si="10"/>
        <v>382315.5277789816</v>
      </c>
      <c r="U26" s="227">
        <f t="shared" si="10"/>
        <v>389914.04889358883</v>
      </c>
      <c r="V26" s="227">
        <f t="shared" si="10"/>
        <v>397663.59061534889</v>
      </c>
      <c r="W26" s="227">
        <f t="shared" si="10"/>
        <v>405567.15447882889</v>
      </c>
      <c r="X26" s="227">
        <f t="shared" si="10"/>
        <v>413627.80167409556</v>
      </c>
      <c r="Y26" s="227">
        <f t="shared" si="10"/>
        <v>421848.65423236811</v>
      </c>
      <c r="Z26" s="227">
        <f t="shared" si="10"/>
        <v>430232.89623523637</v>
      </c>
      <c r="AA26" s="227">
        <f t="shared" si="10"/>
        <v>438783.77504791168</v>
      </c>
      <c r="AB26" s="227">
        <f t="shared" si="10"/>
        <v>447504.60257698887</v>
      </c>
      <c r="AC26" s="227"/>
    </row>
    <row r="27" spans="1:29" ht="14" x14ac:dyDescent="0.2">
      <c r="A27" s="3"/>
      <c r="B27" s="215" t="s">
        <v>104</v>
      </c>
      <c r="C27" s="252"/>
      <c r="D27" s="195">
        <f t="shared" ref="D27:AB27" si="11">D23*D20</f>
        <v>0</v>
      </c>
      <c r="E27" s="195">
        <f t="shared" si="11"/>
        <v>0</v>
      </c>
      <c r="F27" s="195">
        <f t="shared" si="11"/>
        <v>0</v>
      </c>
      <c r="G27" s="195">
        <f t="shared" si="11"/>
        <v>0</v>
      </c>
      <c r="H27" s="195">
        <f t="shared" si="11"/>
        <v>0</v>
      </c>
      <c r="I27" s="195">
        <f t="shared" si="11"/>
        <v>0</v>
      </c>
      <c r="J27" s="195">
        <f t="shared" si="11"/>
        <v>0</v>
      </c>
      <c r="K27" s="195">
        <f t="shared" si="11"/>
        <v>0</v>
      </c>
      <c r="L27" s="195">
        <f t="shared" si="11"/>
        <v>0</v>
      </c>
      <c r="M27" s="195">
        <f t="shared" si="11"/>
        <v>0</v>
      </c>
      <c r="N27" s="195">
        <f t="shared" si="11"/>
        <v>0</v>
      </c>
      <c r="O27" s="195">
        <f t="shared" si="11"/>
        <v>0</v>
      </c>
      <c r="P27" s="195">
        <f t="shared" si="11"/>
        <v>0</v>
      </c>
      <c r="Q27" s="195">
        <f t="shared" si="11"/>
        <v>0</v>
      </c>
      <c r="R27" s="195">
        <f t="shared" si="11"/>
        <v>0</v>
      </c>
      <c r="S27" s="195">
        <f t="shared" si="11"/>
        <v>0</v>
      </c>
      <c r="T27" s="195">
        <f t="shared" si="11"/>
        <v>0</v>
      </c>
      <c r="U27" s="195">
        <f t="shared" si="11"/>
        <v>0</v>
      </c>
      <c r="V27" s="195">
        <f t="shared" si="11"/>
        <v>0</v>
      </c>
      <c r="W27" s="195">
        <f t="shared" si="11"/>
        <v>0</v>
      </c>
      <c r="X27" s="195">
        <f t="shared" si="11"/>
        <v>0</v>
      </c>
      <c r="Y27" s="195">
        <f t="shared" si="11"/>
        <v>0</v>
      </c>
      <c r="Z27" s="195">
        <f t="shared" si="11"/>
        <v>0</v>
      </c>
      <c r="AA27" s="195">
        <f t="shared" si="11"/>
        <v>0</v>
      </c>
      <c r="AB27" s="195">
        <f t="shared" si="11"/>
        <v>0</v>
      </c>
      <c r="AC27" s="195"/>
    </row>
    <row r="28" spans="1:29" ht="14" x14ac:dyDescent="0.2">
      <c r="A28" s="3"/>
      <c r="B28" s="209" t="s">
        <v>105</v>
      </c>
      <c r="C28" s="252"/>
      <c r="D28" s="182">
        <f>SUM(D26:D27)</f>
        <v>279042.78584484867</v>
      </c>
      <c r="E28" s="182">
        <f t="shared" ref="E28:V28" si="12">SUM(E26:E27)</f>
        <v>284588.76121351501</v>
      </c>
      <c r="F28" s="182">
        <f t="shared" si="12"/>
        <v>290244.9628426336</v>
      </c>
      <c r="G28" s="182">
        <f t="shared" si="12"/>
        <v>296013.58147913089</v>
      </c>
      <c r="H28" s="182">
        <f t="shared" si="12"/>
        <v>301896.85141102865</v>
      </c>
      <c r="I28" s="182">
        <f t="shared" si="12"/>
        <v>307897.05133282283</v>
      </c>
      <c r="J28" s="182">
        <f t="shared" si="12"/>
        <v>314016.50522806263</v>
      </c>
      <c r="K28" s="182">
        <f t="shared" si="12"/>
        <v>320257.58326947031</v>
      </c>
      <c r="L28" s="182">
        <f t="shared" si="12"/>
        <v>326622.70273695106</v>
      </c>
      <c r="M28" s="182">
        <f t="shared" si="12"/>
        <v>333114.32895384787</v>
      </c>
      <c r="N28" s="182">
        <f t="shared" si="12"/>
        <v>339734.97624180559</v>
      </c>
      <c r="O28" s="182">
        <f t="shared" si="12"/>
        <v>346487.20889461145</v>
      </c>
      <c r="P28" s="182">
        <f t="shared" si="12"/>
        <v>353373.64217139181</v>
      </c>
      <c r="Q28" s="182">
        <f t="shared" si="12"/>
        <v>360396.94330954819</v>
      </c>
      <c r="R28" s="182">
        <f t="shared" si="12"/>
        <v>367559.83255782543</v>
      </c>
      <c r="S28" s="182">
        <f t="shared" si="12"/>
        <v>374865.08422991214</v>
      </c>
      <c r="T28" s="182">
        <f t="shared" si="12"/>
        <v>382315.5277789816</v>
      </c>
      <c r="U28" s="182">
        <f t="shared" si="12"/>
        <v>389914.04889358883</v>
      </c>
      <c r="V28" s="182">
        <f t="shared" si="12"/>
        <v>397663.59061534889</v>
      </c>
      <c r="W28" s="182">
        <f t="shared" ref="W28:AB28" si="13">SUM(W26:W27)</f>
        <v>405567.15447882889</v>
      </c>
      <c r="X28" s="182">
        <f t="shared" si="13"/>
        <v>413627.80167409556</v>
      </c>
      <c r="Y28" s="182">
        <f t="shared" si="13"/>
        <v>421848.65423236811</v>
      </c>
      <c r="Z28" s="182">
        <f t="shared" si="13"/>
        <v>430232.89623523637</v>
      </c>
      <c r="AA28" s="182">
        <f t="shared" si="13"/>
        <v>438783.77504791168</v>
      </c>
      <c r="AB28" s="182">
        <f t="shared" si="13"/>
        <v>447504.60257698887</v>
      </c>
      <c r="AC28" s="182"/>
    </row>
    <row r="29" spans="1:29" ht="15" thickBot="1" x14ac:dyDescent="0.25">
      <c r="A29" s="3"/>
      <c r="B29" s="215" t="s">
        <v>197</v>
      </c>
      <c r="C29" s="252"/>
      <c r="D29" s="246">
        <f>State_Sales_Tax*Unstructured!D28</f>
        <v>19532.995009139409</v>
      </c>
      <c r="E29" s="246">
        <f>State_Sales_Tax*Unstructured!E28</f>
        <v>19921.213284946054</v>
      </c>
      <c r="F29" s="246">
        <f>State_Sales_Tax*Unstructured!F28</f>
        <v>20317.147398984354</v>
      </c>
      <c r="G29" s="246">
        <f>State_Sales_Tax*Unstructured!G28</f>
        <v>20720.950703539165</v>
      </c>
      <c r="H29" s="246">
        <f>State_Sales_Tax*Unstructured!H28</f>
        <v>21132.779598772009</v>
      </c>
      <c r="I29" s="246">
        <f>State_Sales_Tax*Unstructured!I28</f>
        <v>21552.7935932976</v>
      </c>
      <c r="J29" s="246">
        <f>State_Sales_Tax*Unstructured!J28</f>
        <v>21981.155365964387</v>
      </c>
      <c r="K29" s="246">
        <f>State_Sales_Tax*Unstructured!K28</f>
        <v>22418.030828862924</v>
      </c>
      <c r="L29" s="246">
        <f>State_Sales_Tax*Unstructured!L28</f>
        <v>22863.589191586576</v>
      </c>
      <c r="M29" s="246">
        <f>State_Sales_Tax*Unstructured!M28</f>
        <v>23318.003026769355</v>
      </c>
      <c r="N29" s="246">
        <f>State_Sales_Tax*Unstructured!N28</f>
        <v>23781.448336926394</v>
      </c>
      <c r="O29" s="246">
        <f>State_Sales_Tax*Unstructured!O28</f>
        <v>24254.104622622803</v>
      </c>
      <c r="P29" s="246">
        <f>State_Sales_Tax*Unstructured!P28</f>
        <v>24736.154951997429</v>
      </c>
      <c r="Q29" s="246">
        <f>State_Sales_Tax*Unstructured!Q28</f>
        <v>25227.786031668376</v>
      </c>
      <c r="R29" s="246">
        <f>State_Sales_Tax*Unstructured!R28</f>
        <v>25729.188279047783</v>
      </c>
      <c r="S29" s="246">
        <f>State_Sales_Tax*Unstructured!S28</f>
        <v>26240.555896093854</v>
      </c>
      <c r="T29" s="246">
        <f>State_Sales_Tax*Unstructured!T28</f>
        <v>26762.086944528714</v>
      </c>
      <c r="U29" s="246">
        <f>State_Sales_Tax*Unstructured!U28</f>
        <v>27293.98342255122</v>
      </c>
      <c r="V29" s="246">
        <f>State_Sales_Tax*Unstructured!V28</f>
        <v>27836.451343074426</v>
      </c>
      <c r="W29" s="246">
        <f>State_Sales_Tax*Unstructured!W28</f>
        <v>28389.700813518026</v>
      </c>
      <c r="X29" s="246">
        <f>State_Sales_Tax*Unstructured!X28</f>
        <v>28953.946117186693</v>
      </c>
      <c r="Y29" s="246">
        <f>State_Sales_Tax*Unstructured!Y28</f>
        <v>29529.405796265772</v>
      </c>
      <c r="Z29" s="246">
        <f>State_Sales_Tax*Unstructured!Z28</f>
        <v>30116.30273646655</v>
      </c>
      <c r="AA29" s="246">
        <f>State_Sales_Tax*Unstructured!AA28</f>
        <v>30714.864253353822</v>
      </c>
      <c r="AB29" s="246">
        <f>State_Sales_Tax*Unstructured!AB28</f>
        <v>31325.322180389223</v>
      </c>
      <c r="AC29" s="246"/>
    </row>
    <row r="30" spans="1:29" ht="15" thickTop="1" x14ac:dyDescent="0.2">
      <c r="A30" s="3"/>
      <c r="B30" s="232" t="s">
        <v>143</v>
      </c>
      <c r="C30" s="252"/>
      <c r="D30" s="253">
        <f>SUM(D28-D29)</f>
        <v>259509.79083570925</v>
      </c>
      <c r="E30" s="253">
        <f t="shared" ref="E30:V30" si="14">SUM(E28-E29)</f>
        <v>264667.54792856897</v>
      </c>
      <c r="F30" s="253">
        <f t="shared" si="14"/>
        <v>269927.81544364925</v>
      </c>
      <c r="G30" s="253">
        <f t="shared" si="14"/>
        <v>275292.63077559171</v>
      </c>
      <c r="H30" s="253">
        <f t="shared" si="14"/>
        <v>280764.07181225665</v>
      </c>
      <c r="I30" s="253">
        <f t="shared" si="14"/>
        <v>286344.25773952523</v>
      </c>
      <c r="J30" s="253">
        <f t="shared" si="14"/>
        <v>292035.34986209823</v>
      </c>
      <c r="K30" s="253">
        <f t="shared" si="14"/>
        <v>297839.5524406074</v>
      </c>
      <c r="L30" s="253">
        <f t="shared" si="14"/>
        <v>303759.11354536447</v>
      </c>
      <c r="M30" s="253">
        <f t="shared" si="14"/>
        <v>309796.32592707849</v>
      </c>
      <c r="N30" s="253">
        <f t="shared" si="14"/>
        <v>315953.52790487919</v>
      </c>
      <c r="O30" s="253">
        <f t="shared" si="14"/>
        <v>322233.10427198868</v>
      </c>
      <c r="P30" s="253">
        <f t="shared" si="14"/>
        <v>328637.48721939436</v>
      </c>
      <c r="Q30" s="253">
        <f t="shared" si="14"/>
        <v>335169.15727787983</v>
      </c>
      <c r="R30" s="253">
        <f t="shared" si="14"/>
        <v>341830.64427877765</v>
      </c>
      <c r="S30" s="253">
        <f t="shared" si="14"/>
        <v>348624.52833381831</v>
      </c>
      <c r="T30" s="253">
        <f t="shared" si="14"/>
        <v>355553.44083445286</v>
      </c>
      <c r="U30" s="253">
        <f t="shared" si="14"/>
        <v>362620.06547103758</v>
      </c>
      <c r="V30" s="253">
        <f t="shared" si="14"/>
        <v>369827.13927227445</v>
      </c>
      <c r="W30" s="253">
        <f t="shared" ref="W30:AB30" si="15">SUM(W28-W29)</f>
        <v>377177.45366531087</v>
      </c>
      <c r="X30" s="253">
        <f t="shared" si="15"/>
        <v>384673.85555690888</v>
      </c>
      <c r="Y30" s="253">
        <f t="shared" si="15"/>
        <v>392319.24843610235</v>
      </c>
      <c r="Z30" s="253">
        <f t="shared" si="15"/>
        <v>400116.5934987698</v>
      </c>
      <c r="AA30" s="253">
        <f t="shared" si="15"/>
        <v>408068.91079455789</v>
      </c>
      <c r="AB30" s="253">
        <f t="shared" si="15"/>
        <v>416179.28039659967</v>
      </c>
      <c r="AC30" s="253"/>
    </row>
    <row r="31" spans="1:29" x14ac:dyDescent="0.15">
      <c r="A31" s="3"/>
      <c r="B31" s="233"/>
      <c r="C31" s="252"/>
      <c r="D31" s="252"/>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row>
    <row r="32" spans="1:29" ht="14" x14ac:dyDescent="0.2">
      <c r="A32" s="3"/>
      <c r="B32" s="232" t="s">
        <v>269</v>
      </c>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c r="AA32" s="252"/>
      <c r="AB32" s="252"/>
      <c r="AC32" s="252"/>
    </row>
    <row r="33" spans="1:29" ht="14" x14ac:dyDescent="0.2">
      <c r="A33" s="3"/>
      <c r="B33" s="209" t="s">
        <v>252</v>
      </c>
      <c r="C33" s="252"/>
      <c r="D33" s="227">
        <f>OandM_Cost_per_W_DC*Size_of_System_in_W_DC</f>
        <v>33309.9</v>
      </c>
      <c r="E33" s="227">
        <f t="shared" ref="E33:AB33" si="16">Size_of_System_in_W_DC*(OandM_Cost_per_W_DC*((1+OandM_Cost_Escalator)^(E17-1)))</f>
        <v>33976.098000000005</v>
      </c>
      <c r="F33" s="227">
        <f t="shared" si="16"/>
        <v>34655.619959999996</v>
      </c>
      <c r="G33" s="227">
        <f t="shared" si="16"/>
        <v>35348.732359200003</v>
      </c>
      <c r="H33" s="227">
        <f t="shared" si="16"/>
        <v>36055.707006384</v>
      </c>
      <c r="I33" s="227">
        <f t="shared" si="16"/>
        <v>36776.821146511684</v>
      </c>
      <c r="J33" s="227">
        <f t="shared" si="16"/>
        <v>37512.35756944192</v>
      </c>
      <c r="K33" s="227">
        <f t="shared" si="16"/>
        <v>38262.60472083075</v>
      </c>
      <c r="L33" s="227">
        <f t="shared" si="16"/>
        <v>39027.856815247367</v>
      </c>
      <c r="M33" s="227">
        <f t="shared" si="16"/>
        <v>39808.413951552313</v>
      </c>
      <c r="N33" s="227">
        <f t="shared" si="16"/>
        <v>40604.582230583364</v>
      </c>
      <c r="O33" s="227">
        <f t="shared" si="16"/>
        <v>41416.673875195025</v>
      </c>
      <c r="P33" s="227">
        <f t="shared" si="16"/>
        <v>42245.007352698929</v>
      </c>
      <c r="Q33" s="227">
        <f t="shared" si="16"/>
        <v>43089.907499752902</v>
      </c>
      <c r="R33" s="227">
        <f t="shared" si="16"/>
        <v>43951.705649747972</v>
      </c>
      <c r="S33" s="227">
        <f t="shared" si="16"/>
        <v>44830.739762742916</v>
      </c>
      <c r="T33" s="227">
        <f t="shared" si="16"/>
        <v>45727.35455799778</v>
      </c>
      <c r="U33" s="227">
        <f t="shared" si="16"/>
        <v>46641.901649157742</v>
      </c>
      <c r="V33" s="227">
        <f t="shared" si="16"/>
        <v>47574.739682140891</v>
      </c>
      <c r="W33" s="227">
        <f t="shared" si="16"/>
        <v>48526.234475783713</v>
      </c>
      <c r="X33" s="227">
        <f t="shared" si="16"/>
        <v>49496.759165299387</v>
      </c>
      <c r="Y33" s="227">
        <f t="shared" si="16"/>
        <v>50486.694348605371</v>
      </c>
      <c r="Z33" s="227">
        <f t="shared" si="16"/>
        <v>51496.428235577485</v>
      </c>
      <c r="AA33" s="227">
        <f t="shared" si="16"/>
        <v>52526.356800289017</v>
      </c>
      <c r="AB33" s="227">
        <f t="shared" si="16"/>
        <v>53576.883936294806</v>
      </c>
      <c r="AC33" s="227"/>
    </row>
    <row r="34" spans="1:29" ht="14" x14ac:dyDescent="0.2">
      <c r="A34" s="3"/>
      <c r="B34" s="209" t="s">
        <v>378</v>
      </c>
      <c r="C34" s="252"/>
      <c r="D34" s="227">
        <f>IF(AND(Site_Purchase_or_Lease?="Lease",Site_Lease_Fixed_or_PercentofRev="% of Revenue"),D30*Site_Lease_Percent_of_Revenue,IF(AND(Site_Purchase_or_Lease?="Lease",Site_Lease_Fixed_or_PercentofRev="Fixed"),Site_Lease_Fixed_Cost,0))</f>
        <v>0</v>
      </c>
      <c r="E34" s="227">
        <f t="shared" ref="E34:AB34" si="17">IF(AND(Site_Purchase_or_Lease?="Lease",Site_Lease_Fixed_or_PercentofRev="% of Revenue"),E30*Site_Lease_Percent_of_Revenue,IF(AND(Site_Purchase_or_Lease?="Lease",Site_Lease_Fixed_or_PercentofRev="Fixed"),Site_Lease_Fixed_Cost*((1+Site_Lease_Fixed_Escalator)^(E17-1)),0))</f>
        <v>0</v>
      </c>
      <c r="F34" s="227">
        <f t="shared" si="17"/>
        <v>0</v>
      </c>
      <c r="G34" s="227">
        <f t="shared" si="17"/>
        <v>0</v>
      </c>
      <c r="H34" s="227">
        <f t="shared" si="17"/>
        <v>0</v>
      </c>
      <c r="I34" s="227">
        <f t="shared" si="17"/>
        <v>0</v>
      </c>
      <c r="J34" s="227">
        <f t="shared" si="17"/>
        <v>0</v>
      </c>
      <c r="K34" s="227">
        <f t="shared" si="17"/>
        <v>0</v>
      </c>
      <c r="L34" s="227">
        <f t="shared" si="17"/>
        <v>0</v>
      </c>
      <c r="M34" s="227">
        <f t="shared" si="17"/>
        <v>0</v>
      </c>
      <c r="N34" s="227">
        <f t="shared" si="17"/>
        <v>0</v>
      </c>
      <c r="O34" s="227">
        <f t="shared" si="17"/>
        <v>0</v>
      </c>
      <c r="P34" s="227">
        <f t="shared" si="17"/>
        <v>0</v>
      </c>
      <c r="Q34" s="227">
        <f t="shared" si="17"/>
        <v>0</v>
      </c>
      <c r="R34" s="227">
        <f t="shared" si="17"/>
        <v>0</v>
      </c>
      <c r="S34" s="227">
        <f t="shared" si="17"/>
        <v>0</v>
      </c>
      <c r="T34" s="227">
        <f t="shared" si="17"/>
        <v>0</v>
      </c>
      <c r="U34" s="227">
        <f t="shared" si="17"/>
        <v>0</v>
      </c>
      <c r="V34" s="227">
        <f t="shared" si="17"/>
        <v>0</v>
      </c>
      <c r="W34" s="227">
        <f t="shared" si="17"/>
        <v>0</v>
      </c>
      <c r="X34" s="227">
        <f t="shared" si="17"/>
        <v>0</v>
      </c>
      <c r="Y34" s="227">
        <f t="shared" si="17"/>
        <v>0</v>
      </c>
      <c r="Z34" s="227">
        <f t="shared" si="17"/>
        <v>0</v>
      </c>
      <c r="AA34" s="227">
        <f t="shared" si="17"/>
        <v>0</v>
      </c>
      <c r="AB34" s="227">
        <f t="shared" si="17"/>
        <v>0</v>
      </c>
      <c r="AC34" s="227"/>
    </row>
    <row r="35" spans="1:29" ht="14" x14ac:dyDescent="0.2">
      <c r="A35" s="3"/>
      <c r="B35" s="209" t="s">
        <v>77</v>
      </c>
      <c r="C35" s="252"/>
      <c r="D35" s="227">
        <f>IF(OR(Site_Purchase_or_Lease?="Purchase",AND(Site_Purchase_or_Lease?="Lease",Site_Lease_Includes_Taxes="No")),Property_Site_Base_Value*Property_Site_Tax_Rate,0)</f>
        <v>0</v>
      </c>
      <c r="E35" s="227">
        <f t="shared" ref="E35:V35" si="18">D35*(1+Property_Site_Value_Adj_Rate)</f>
        <v>0</v>
      </c>
      <c r="F35" s="227">
        <f t="shared" si="18"/>
        <v>0</v>
      </c>
      <c r="G35" s="227">
        <f t="shared" si="18"/>
        <v>0</v>
      </c>
      <c r="H35" s="227">
        <f t="shared" si="18"/>
        <v>0</v>
      </c>
      <c r="I35" s="227">
        <f t="shared" si="18"/>
        <v>0</v>
      </c>
      <c r="J35" s="227">
        <f t="shared" si="18"/>
        <v>0</v>
      </c>
      <c r="K35" s="227">
        <f t="shared" si="18"/>
        <v>0</v>
      </c>
      <c r="L35" s="227">
        <f t="shared" si="18"/>
        <v>0</v>
      </c>
      <c r="M35" s="227">
        <f t="shared" si="18"/>
        <v>0</v>
      </c>
      <c r="N35" s="227">
        <f t="shared" si="18"/>
        <v>0</v>
      </c>
      <c r="O35" s="227">
        <f t="shared" si="18"/>
        <v>0</v>
      </c>
      <c r="P35" s="227">
        <f t="shared" si="18"/>
        <v>0</v>
      </c>
      <c r="Q35" s="227">
        <f t="shared" si="18"/>
        <v>0</v>
      </c>
      <c r="R35" s="227">
        <f t="shared" si="18"/>
        <v>0</v>
      </c>
      <c r="S35" s="227">
        <f t="shared" si="18"/>
        <v>0</v>
      </c>
      <c r="T35" s="227">
        <f t="shared" si="18"/>
        <v>0</v>
      </c>
      <c r="U35" s="227">
        <f t="shared" si="18"/>
        <v>0</v>
      </c>
      <c r="V35" s="227">
        <f t="shared" si="18"/>
        <v>0</v>
      </c>
      <c r="W35" s="227">
        <f t="shared" ref="W35:AB35" si="19">V35*(1+Property_Site_Value_Adj_Rate)</f>
        <v>0</v>
      </c>
      <c r="X35" s="227">
        <f t="shared" si="19"/>
        <v>0</v>
      </c>
      <c r="Y35" s="227">
        <f t="shared" si="19"/>
        <v>0</v>
      </c>
      <c r="Z35" s="227">
        <f t="shared" si="19"/>
        <v>0</v>
      </c>
      <c r="AA35" s="227">
        <f t="shared" si="19"/>
        <v>0</v>
      </c>
      <c r="AB35" s="227">
        <f t="shared" si="19"/>
        <v>0</v>
      </c>
      <c r="AC35" s="227"/>
    </row>
    <row r="36" spans="1:29" ht="14" x14ac:dyDescent="0.2">
      <c r="A36" s="3"/>
      <c r="B36" s="209" t="s">
        <v>78</v>
      </c>
      <c r="C36" s="252"/>
      <c r="D36" s="227">
        <f>Property_Equip_Tax_Rate*Property_Equip_Base_Value</f>
        <v>0</v>
      </c>
      <c r="E36" s="227">
        <f t="shared" ref="E36:AB36" si="20">Property_Equip_Base_Value*((1-Property_Equip_Book_Adj_Rate)^(E17-1)*Property_Equip_Tax_Rate)</f>
        <v>0</v>
      </c>
      <c r="F36" s="227">
        <f t="shared" si="20"/>
        <v>0</v>
      </c>
      <c r="G36" s="227">
        <f t="shared" si="20"/>
        <v>0</v>
      </c>
      <c r="H36" s="227">
        <f t="shared" si="20"/>
        <v>0</v>
      </c>
      <c r="I36" s="227">
        <f t="shared" si="20"/>
        <v>0</v>
      </c>
      <c r="J36" s="227">
        <f t="shared" si="20"/>
        <v>0</v>
      </c>
      <c r="K36" s="227">
        <f t="shared" si="20"/>
        <v>0</v>
      </c>
      <c r="L36" s="227">
        <f t="shared" si="20"/>
        <v>0</v>
      </c>
      <c r="M36" s="227">
        <f t="shared" si="20"/>
        <v>0</v>
      </c>
      <c r="N36" s="227">
        <f t="shared" si="20"/>
        <v>0</v>
      </c>
      <c r="O36" s="227">
        <f t="shared" si="20"/>
        <v>0</v>
      </c>
      <c r="P36" s="227">
        <f t="shared" si="20"/>
        <v>0</v>
      </c>
      <c r="Q36" s="227">
        <f t="shared" si="20"/>
        <v>0</v>
      </c>
      <c r="R36" s="227">
        <f t="shared" si="20"/>
        <v>0</v>
      </c>
      <c r="S36" s="227">
        <f t="shared" si="20"/>
        <v>0</v>
      </c>
      <c r="T36" s="227">
        <f t="shared" si="20"/>
        <v>0</v>
      </c>
      <c r="U36" s="227">
        <f t="shared" si="20"/>
        <v>0</v>
      </c>
      <c r="V36" s="227">
        <f t="shared" si="20"/>
        <v>0</v>
      </c>
      <c r="W36" s="227">
        <f t="shared" si="20"/>
        <v>0</v>
      </c>
      <c r="X36" s="227">
        <f t="shared" si="20"/>
        <v>0</v>
      </c>
      <c r="Y36" s="227">
        <f t="shared" si="20"/>
        <v>0</v>
      </c>
      <c r="Z36" s="227">
        <f t="shared" si="20"/>
        <v>0</v>
      </c>
      <c r="AA36" s="227">
        <f t="shared" si="20"/>
        <v>0</v>
      </c>
      <c r="AB36" s="227">
        <f t="shared" si="20"/>
        <v>0</v>
      </c>
      <c r="AC36" s="227"/>
    </row>
    <row r="37" spans="1:29" ht="15" thickBot="1" x14ac:dyDescent="0.25">
      <c r="A37" s="3"/>
      <c r="B37" s="209" t="s">
        <v>52</v>
      </c>
      <c r="C37" s="252"/>
      <c r="D37" s="246">
        <f>Insurance_Cost_per_Watt_DC*Size_of_System_in_W_DC</f>
        <v>8431.5</v>
      </c>
      <c r="E37" s="246">
        <f t="shared" ref="E37:AB37" si="21">Size_of_System_in_W_DC*((1+Insurance_Cost_Escalator)^(E17-1)*Insurance_Cost_per_Watt_DC)</f>
        <v>8600.1299999999992</v>
      </c>
      <c r="F37" s="246">
        <f t="shared" si="21"/>
        <v>8772.1326000000008</v>
      </c>
      <c r="G37" s="246">
        <f t="shared" si="21"/>
        <v>8947.5752520000005</v>
      </c>
      <c r="H37" s="246">
        <f t="shared" si="21"/>
        <v>9126.5267570399992</v>
      </c>
      <c r="I37" s="246">
        <f t="shared" si="21"/>
        <v>9309.0572921808016</v>
      </c>
      <c r="J37" s="246">
        <f t="shared" si="21"/>
        <v>9495.2384380244184</v>
      </c>
      <c r="K37" s="246">
        <f t="shared" si="21"/>
        <v>9685.1432067849037</v>
      </c>
      <c r="L37" s="246">
        <f t="shared" si="21"/>
        <v>9878.8460709206011</v>
      </c>
      <c r="M37" s="246">
        <f t="shared" si="21"/>
        <v>10076.422992339014</v>
      </c>
      <c r="N37" s="246">
        <f t="shared" si="21"/>
        <v>10277.951452185795</v>
      </c>
      <c r="O37" s="246">
        <f t="shared" si="21"/>
        <v>10483.510481229509</v>
      </c>
      <c r="P37" s="246">
        <f t="shared" si="21"/>
        <v>10693.1806908541</v>
      </c>
      <c r="Q37" s="246">
        <f t="shared" si="21"/>
        <v>10907.044304671183</v>
      </c>
      <c r="R37" s="246">
        <f t="shared" si="21"/>
        <v>11125.185190764607</v>
      </c>
      <c r="S37" s="246">
        <f t="shared" si="21"/>
        <v>11347.688894579896</v>
      </c>
      <c r="T37" s="246">
        <f t="shared" si="21"/>
        <v>11574.642672471495</v>
      </c>
      <c r="U37" s="246">
        <f t="shared" si="21"/>
        <v>11806.135525920927</v>
      </c>
      <c r="V37" s="246">
        <f t="shared" si="21"/>
        <v>12042.258236439344</v>
      </c>
      <c r="W37" s="246">
        <f t="shared" si="21"/>
        <v>12283.103401168131</v>
      </c>
      <c r="X37" s="246">
        <f t="shared" si="21"/>
        <v>12528.765469191494</v>
      </c>
      <c r="Y37" s="246">
        <f t="shared" si="21"/>
        <v>12779.340778575322</v>
      </c>
      <c r="Z37" s="246">
        <f t="shared" si="21"/>
        <v>13034.92759414683</v>
      </c>
      <c r="AA37" s="246">
        <f t="shared" si="21"/>
        <v>13295.626146029765</v>
      </c>
      <c r="AB37" s="246">
        <f t="shared" si="21"/>
        <v>13561.538668950361</v>
      </c>
      <c r="AC37" s="246"/>
    </row>
    <row r="38" spans="1:29" ht="15" thickTop="1" x14ac:dyDescent="0.2">
      <c r="A38" s="3"/>
      <c r="B38" s="210" t="s">
        <v>270</v>
      </c>
      <c r="C38" s="252"/>
      <c r="D38" s="227">
        <f>SUM(D33:D37)</f>
        <v>41741.4</v>
      </c>
      <c r="E38" s="227">
        <f>SUM(E33:E37)</f>
        <v>42576.228000000003</v>
      </c>
      <c r="F38" s="227">
        <f t="shared" ref="F38:V38" si="22">SUM(F33:F37)</f>
        <v>43427.752559999994</v>
      </c>
      <c r="G38" s="227">
        <f t="shared" si="22"/>
        <v>44296.307611200005</v>
      </c>
      <c r="H38" s="227">
        <f t="shared" si="22"/>
        <v>45182.233763423996</v>
      </c>
      <c r="I38" s="227">
        <f t="shared" si="22"/>
        <v>46085.878438692482</v>
      </c>
      <c r="J38" s="227">
        <f t="shared" si="22"/>
        <v>47007.596007466338</v>
      </c>
      <c r="K38" s="227">
        <f t="shared" si="22"/>
        <v>47947.747927615652</v>
      </c>
      <c r="L38" s="227">
        <f t="shared" si="22"/>
        <v>48906.702886167972</v>
      </c>
      <c r="M38" s="227">
        <f t="shared" si="22"/>
        <v>49884.836943891329</v>
      </c>
      <c r="N38" s="227">
        <f t="shared" si="22"/>
        <v>50882.533682769157</v>
      </c>
      <c r="O38" s="227">
        <f t="shared" si="22"/>
        <v>51900.184356424536</v>
      </c>
      <c r="P38" s="227">
        <f t="shared" si="22"/>
        <v>52938.188043553033</v>
      </c>
      <c r="Q38" s="227">
        <f t="shared" si="22"/>
        <v>53996.951804424083</v>
      </c>
      <c r="R38" s="227">
        <f t="shared" si="22"/>
        <v>55076.890840512577</v>
      </c>
      <c r="S38" s="227">
        <f t="shared" si="22"/>
        <v>56178.428657322816</v>
      </c>
      <c r="T38" s="227">
        <f t="shared" si="22"/>
        <v>57301.997230469278</v>
      </c>
      <c r="U38" s="227">
        <f t="shared" si="22"/>
        <v>58448.037175078673</v>
      </c>
      <c r="V38" s="227">
        <f t="shared" si="22"/>
        <v>59616.997918580237</v>
      </c>
      <c r="W38" s="227">
        <f t="shared" ref="W38:AB38" si="23">SUM(W33:W37)</f>
        <v>60809.337876951846</v>
      </c>
      <c r="X38" s="227">
        <f t="shared" si="23"/>
        <v>62025.524634490881</v>
      </c>
      <c r="Y38" s="227">
        <f t="shared" si="23"/>
        <v>63266.035127180694</v>
      </c>
      <c r="Z38" s="227">
        <f t="shared" si="23"/>
        <v>64531.355829724314</v>
      </c>
      <c r="AA38" s="227">
        <f t="shared" si="23"/>
        <v>65821.982946318778</v>
      </c>
      <c r="AB38" s="227">
        <f t="shared" si="23"/>
        <v>67138.42260524517</v>
      </c>
      <c r="AC38" s="227"/>
    </row>
    <row r="39" spans="1:29" ht="14" x14ac:dyDescent="0.2">
      <c r="A39" s="3"/>
      <c r="B39" s="210"/>
      <c r="C39" s="252"/>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c r="AC39" s="227"/>
    </row>
    <row r="40" spans="1:29" ht="14" x14ac:dyDescent="0.2">
      <c r="A40" s="3"/>
      <c r="B40" s="210" t="s">
        <v>379</v>
      </c>
      <c r="C40" s="252"/>
      <c r="D40" s="227">
        <f>D30-D38</f>
        <v>217768.39083570926</v>
      </c>
      <c r="E40" s="227">
        <f t="shared" ref="E40:V40" si="24">E30-E38</f>
        <v>222091.31992856896</v>
      </c>
      <c r="F40" s="227">
        <f t="shared" si="24"/>
        <v>226500.06288364925</v>
      </c>
      <c r="G40" s="227">
        <f t="shared" si="24"/>
        <v>230996.32316439171</v>
      </c>
      <c r="H40" s="227">
        <f t="shared" si="24"/>
        <v>235581.83804883267</v>
      </c>
      <c r="I40" s="227">
        <f t="shared" si="24"/>
        <v>240258.37930083275</v>
      </c>
      <c r="J40" s="227">
        <f t="shared" si="24"/>
        <v>245027.75385463188</v>
      </c>
      <c r="K40" s="227">
        <f t="shared" si="24"/>
        <v>249891.80451299174</v>
      </c>
      <c r="L40" s="227">
        <f t="shared" si="24"/>
        <v>254852.4106591965</v>
      </c>
      <c r="M40" s="227">
        <f t="shared" si="24"/>
        <v>259911.48898318716</v>
      </c>
      <c r="N40" s="227">
        <f t="shared" si="24"/>
        <v>265070.99422211002</v>
      </c>
      <c r="O40" s="227">
        <f t="shared" si="24"/>
        <v>270332.91991556413</v>
      </c>
      <c r="P40" s="227">
        <f t="shared" si="24"/>
        <v>275699.29917584133</v>
      </c>
      <c r="Q40" s="227">
        <f t="shared" si="24"/>
        <v>281172.20547345572</v>
      </c>
      <c r="R40" s="227">
        <f t="shared" si="24"/>
        <v>286753.75343826506</v>
      </c>
      <c r="S40" s="227">
        <f t="shared" si="24"/>
        <v>292446.09967649548</v>
      </c>
      <c r="T40" s="227">
        <f t="shared" si="24"/>
        <v>298251.44360398361</v>
      </c>
      <c r="U40" s="227">
        <f t="shared" si="24"/>
        <v>304172.02829595888</v>
      </c>
      <c r="V40" s="227">
        <f t="shared" si="24"/>
        <v>310210.1413536942</v>
      </c>
      <c r="W40" s="227">
        <f t="shared" ref="W40:AB40" si="25">W30-W38</f>
        <v>316368.11578835902</v>
      </c>
      <c r="X40" s="227">
        <f t="shared" si="25"/>
        <v>322648.33092241798</v>
      </c>
      <c r="Y40" s="227">
        <f t="shared" si="25"/>
        <v>329053.21330892167</v>
      </c>
      <c r="Z40" s="227">
        <f t="shared" si="25"/>
        <v>335585.23766904545</v>
      </c>
      <c r="AA40" s="227">
        <f t="shared" si="25"/>
        <v>342246.92784823908</v>
      </c>
      <c r="AB40" s="227">
        <f t="shared" si="25"/>
        <v>349040.85779135453</v>
      </c>
      <c r="AC40" s="227"/>
    </row>
    <row r="41" spans="1:29" ht="14" x14ac:dyDescent="0.2">
      <c r="A41" s="3"/>
      <c r="B41" s="233"/>
      <c r="C41" s="252"/>
      <c r="D41" s="252"/>
      <c r="E41" s="252"/>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row>
    <row r="42" spans="1:29" ht="14" x14ac:dyDescent="0.2">
      <c r="A42" s="3"/>
      <c r="B42" s="232" t="s">
        <v>93</v>
      </c>
      <c r="C42" s="252"/>
      <c r="D42" s="227">
        <f>IF(Project_Debt?="Yes",D99,0)</f>
        <v>0</v>
      </c>
      <c r="E42" s="227">
        <f t="shared" ref="E42:V42" si="26">IF(Project_Debt?="Yes",E99,0)</f>
        <v>0</v>
      </c>
      <c r="F42" s="227">
        <f t="shared" si="26"/>
        <v>0</v>
      </c>
      <c r="G42" s="227">
        <f t="shared" si="26"/>
        <v>0</v>
      </c>
      <c r="H42" s="227">
        <f t="shared" si="26"/>
        <v>0</v>
      </c>
      <c r="I42" s="227">
        <f t="shared" si="26"/>
        <v>0</v>
      </c>
      <c r="J42" s="227">
        <f t="shared" si="26"/>
        <v>0</v>
      </c>
      <c r="K42" s="227">
        <f t="shared" si="26"/>
        <v>0</v>
      </c>
      <c r="L42" s="227">
        <f t="shared" si="26"/>
        <v>0</v>
      </c>
      <c r="M42" s="227">
        <f t="shared" si="26"/>
        <v>0</v>
      </c>
      <c r="N42" s="227">
        <f t="shared" si="26"/>
        <v>0</v>
      </c>
      <c r="O42" s="227">
        <f t="shared" si="26"/>
        <v>0</v>
      </c>
      <c r="P42" s="227">
        <f t="shared" si="26"/>
        <v>0</v>
      </c>
      <c r="Q42" s="227">
        <f t="shared" si="26"/>
        <v>0</v>
      </c>
      <c r="R42" s="227">
        <f t="shared" si="26"/>
        <v>0</v>
      </c>
      <c r="S42" s="227">
        <f t="shared" si="26"/>
        <v>0</v>
      </c>
      <c r="T42" s="227">
        <f t="shared" si="26"/>
        <v>0</v>
      </c>
      <c r="U42" s="227">
        <f t="shared" si="26"/>
        <v>0</v>
      </c>
      <c r="V42" s="227">
        <f t="shared" si="26"/>
        <v>0</v>
      </c>
      <c r="W42" s="227">
        <f t="shared" ref="W42:AB42" si="27">IF(Project_Debt?="Yes",W99,0)</f>
        <v>0</v>
      </c>
      <c r="X42" s="227">
        <f t="shared" si="27"/>
        <v>0</v>
      </c>
      <c r="Y42" s="227">
        <f t="shared" si="27"/>
        <v>0</v>
      </c>
      <c r="Z42" s="227">
        <f t="shared" si="27"/>
        <v>0</v>
      </c>
      <c r="AA42" s="227">
        <f t="shared" si="27"/>
        <v>0</v>
      </c>
      <c r="AB42" s="227">
        <f t="shared" si="27"/>
        <v>0</v>
      </c>
      <c r="AC42" s="227"/>
    </row>
    <row r="43" spans="1:29" ht="14" x14ac:dyDescent="0.2">
      <c r="A43" s="3"/>
      <c r="B43" s="232"/>
      <c r="C43" s="252"/>
      <c r="D43" s="227"/>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C43" s="227"/>
    </row>
    <row r="44" spans="1:29" ht="14" x14ac:dyDescent="0.2">
      <c r="A44" s="3"/>
      <c r="B44" s="232" t="s">
        <v>84</v>
      </c>
      <c r="C44" s="252"/>
      <c r="D44" s="227"/>
      <c r="E44" s="227"/>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row>
    <row r="45" spans="1:29" ht="14" x14ac:dyDescent="0.2">
      <c r="A45" s="3"/>
      <c r="B45" s="209" t="s">
        <v>161</v>
      </c>
      <c r="C45" s="252"/>
      <c r="D45" s="227">
        <f>IF(OR(Tax_Efficient_Status?="Not Efficient",Tax_Efficient_Status?="Federal Only"),(Unstructured!D114+Unstructured!D115),D114)</f>
        <v>573724.11010499985</v>
      </c>
      <c r="E45" s="227">
        <f>IF(OR(Tax_Efficient_Status?="Not Efficient",Tax_Efficient_Status?="Federal Only"),(Unstructured!E114+Unstructured!E115),E114)</f>
        <v>917958.57616799977</v>
      </c>
      <c r="F45" s="227">
        <f>IF(OR(Tax_Efficient_Status?="Not Efficient",Tax_Efficient_Status?="Federal Only"),(Unstructured!F114+Unstructured!F115),F114)</f>
        <v>550775.14570079988</v>
      </c>
      <c r="G45" s="227">
        <f>IF(OR(Tax_Efficient_Status?="Not Efficient",Tax_Efficient_Status?="Federal Only"),(Unstructured!G114+Unstructured!G115),G114)</f>
        <v>330465.08742047992</v>
      </c>
      <c r="H45" s="227">
        <f>IF(OR(Tax_Efficient_Status?="Not Efficient",Tax_Efficient_Status?="Federal Only"),(Unstructured!H114+Unstructured!H115),H114)</f>
        <v>330465.08742047992</v>
      </c>
      <c r="I45" s="227">
        <f>IF(OR(Tax_Efficient_Status?="Not Efficient",Tax_Efficient_Status?="Federal Only"),(Unstructured!I114+Unstructured!I115),I114)</f>
        <v>165232.54371023996</v>
      </c>
      <c r="J45" s="227">
        <f>IF(OR(Tax_Efficient_Status?="Not Efficient",Tax_Efficient_Status?="Federal Only"),(Unstructured!J114+Unstructured!J115),J114)</f>
        <v>0</v>
      </c>
      <c r="K45" s="227">
        <f>IF(OR(Tax_Efficient_Status?="Not Efficient",Tax_Efficient_Status?="Federal Only"),(Unstructured!K114+Unstructured!K115),K114)</f>
        <v>0</v>
      </c>
      <c r="L45" s="227">
        <f>IF(OR(Tax_Efficient_Status?="Not Efficient",Tax_Efficient_Status?="Federal Only"),(Unstructured!L114+Unstructured!L115),L114)</f>
        <v>0</v>
      </c>
      <c r="M45" s="227">
        <f>IF(OR(Tax_Efficient_Status?="Not Efficient",Tax_Efficient_Status?="Federal Only"),(Unstructured!M114+Unstructured!M115),M114)</f>
        <v>0</v>
      </c>
      <c r="N45" s="227">
        <f>IF(OR(Tax_Efficient_Status?="Not Efficient",Tax_Efficient_Status?="Federal Only"),(Unstructured!N114+Unstructured!N115),N114)</f>
        <v>0</v>
      </c>
      <c r="O45" s="227">
        <f>IF(OR(Tax_Efficient_Status?="Not Efficient",Tax_Efficient_Status?="Federal Only"),(Unstructured!O114+Unstructured!O115),O114)</f>
        <v>0</v>
      </c>
      <c r="P45" s="227">
        <f>IF(OR(Tax_Efficient_Status?="Not Efficient",Tax_Efficient_Status?="Federal Only"),(Unstructured!P114+Unstructured!P115),P114)</f>
        <v>0</v>
      </c>
      <c r="Q45" s="227">
        <f>IF(OR(Tax_Efficient_Status?="Not Efficient",Tax_Efficient_Status?="Federal Only"),(Unstructured!Q114+Unstructured!Q115),Q114)</f>
        <v>0</v>
      </c>
      <c r="R45" s="227">
        <f>IF(OR(Tax_Efficient_Status?="Not Efficient",Tax_Efficient_Status?="Federal Only"),(Unstructured!R114+Unstructured!R115),R114)</f>
        <v>0</v>
      </c>
      <c r="S45" s="227">
        <f>IF(OR(Tax_Efficient_Status?="Not Efficient",Tax_Efficient_Status?="Federal Only"),(Unstructured!S114+Unstructured!S115),S114)</f>
        <v>0</v>
      </c>
      <c r="T45" s="227">
        <f>IF(OR(Tax_Efficient_Status?="Not Efficient",Tax_Efficient_Status?="Federal Only"),(Unstructured!T114+Unstructured!T115),T114)</f>
        <v>0</v>
      </c>
      <c r="U45" s="227">
        <f>IF(OR(Tax_Efficient_Status?="Not Efficient",Tax_Efficient_Status?="Federal Only"),(Unstructured!U114+Unstructured!U115),U114)</f>
        <v>0</v>
      </c>
      <c r="V45" s="227">
        <f>IF(OR(Tax_Efficient_Status?="Not Efficient",Tax_Efficient_Status?="Federal Only"),(Unstructured!V114+Unstructured!V115),V114)</f>
        <v>0</v>
      </c>
      <c r="W45" s="227">
        <f>IF(OR(Tax_Efficient_Status?="Not Efficient",Tax_Efficient_Status?="Federal Only"),(Unstructured!W114+Unstructured!W115),W114)</f>
        <v>0</v>
      </c>
      <c r="X45" s="227">
        <f>IF(OR(Tax_Efficient_Status?="Not Efficient",Tax_Efficient_Status?="Federal Only"),(Unstructured!X114+Unstructured!X115),X114)</f>
        <v>0</v>
      </c>
      <c r="Y45" s="227">
        <f>IF(OR(Tax_Efficient_Status?="Not Efficient",Tax_Efficient_Status?="Federal Only"),(Unstructured!Y114+Unstructured!Y115),Y114)</f>
        <v>0</v>
      </c>
      <c r="Z45" s="227">
        <f>IF(OR(Tax_Efficient_Status?="Not Efficient",Tax_Efficient_Status?="Federal Only"),(Unstructured!Z114+Unstructured!Z115),Z114)</f>
        <v>0</v>
      </c>
      <c r="AA45" s="227">
        <f>IF(OR(Tax_Efficient_Status?="Not Efficient",Tax_Efficient_Status?="Federal Only"),(Unstructured!AA114+Unstructured!AA115),AA114)</f>
        <v>0</v>
      </c>
      <c r="AB45" s="227">
        <f>IF(OR(Tax_Efficient_Status?="Not Efficient",Tax_Efficient_Status?="Federal Only"),(Unstructured!AB114+Unstructured!AB115),AB114)</f>
        <v>0</v>
      </c>
      <c r="AC45" s="227"/>
    </row>
    <row r="46" spans="1:29" ht="14" x14ac:dyDescent="0.2">
      <c r="A46" s="3"/>
      <c r="B46" s="209" t="s">
        <v>127</v>
      </c>
      <c r="C46" s="252"/>
      <c r="D46" s="227">
        <f>IF(Tax_Efficient_Status?="Not Efficient",(Unstructured!D121+Unstructured!D122),D121)</f>
        <v>573724.11010499985</v>
      </c>
      <c r="E46" s="227">
        <f>IF(Tax_Efficient_Status?="Not Efficient",(Unstructured!E121+Unstructured!E122),E121)</f>
        <v>917958.57616799977</v>
      </c>
      <c r="F46" s="227">
        <f>IF(Tax_Efficient_Status?="Not Efficient",(Unstructured!F121+Unstructured!F122),F121)</f>
        <v>550775.14570079988</v>
      </c>
      <c r="G46" s="227">
        <f>IF(Tax_Efficient_Status?="Not Efficient",(Unstructured!G121+Unstructured!G122),G121)</f>
        <v>330465.08742047992</v>
      </c>
      <c r="H46" s="227">
        <f>IF(Tax_Efficient_Status?="Not Efficient",(Unstructured!H121+Unstructured!H122),H121)</f>
        <v>330465.08742047992</v>
      </c>
      <c r="I46" s="227">
        <f>IF(Tax_Efficient_Status?="Not Efficient",(Unstructured!I121+Unstructured!I122),I121)</f>
        <v>165232.54371023996</v>
      </c>
      <c r="J46" s="227">
        <f>IF(Tax_Efficient_Status?="Not Efficient",(Unstructured!J121+Unstructured!J122),J121)</f>
        <v>0</v>
      </c>
      <c r="K46" s="227">
        <f>IF(Tax_Efficient_Status?="Not Efficient",(Unstructured!K121+Unstructured!K122),K121)</f>
        <v>0</v>
      </c>
      <c r="L46" s="227">
        <f>IF(Tax_Efficient_Status?="Not Efficient",(Unstructured!L121+Unstructured!L122),L121)</f>
        <v>0</v>
      </c>
      <c r="M46" s="227">
        <f>IF(Tax_Efficient_Status?="Not Efficient",(Unstructured!M121+Unstructured!M122),M121)</f>
        <v>0</v>
      </c>
      <c r="N46" s="227">
        <f>IF(Tax_Efficient_Status?="Not Efficient",(Unstructured!N121+Unstructured!N122),N121)</f>
        <v>0</v>
      </c>
      <c r="O46" s="227">
        <f>IF(Tax_Efficient_Status?="Not Efficient",(Unstructured!O121+Unstructured!O122),O121)</f>
        <v>0</v>
      </c>
      <c r="P46" s="227">
        <f>IF(Tax_Efficient_Status?="Not Efficient",(Unstructured!P121+Unstructured!P122),P121)</f>
        <v>0</v>
      </c>
      <c r="Q46" s="227">
        <f>IF(Tax_Efficient_Status?="Not Efficient",(Unstructured!Q121+Unstructured!Q122),Q121)</f>
        <v>0</v>
      </c>
      <c r="R46" s="227">
        <f>IF(Tax_Efficient_Status?="Not Efficient",(Unstructured!R121+Unstructured!R122),R121)</f>
        <v>0</v>
      </c>
      <c r="S46" s="227">
        <f>IF(Tax_Efficient_Status?="Not Efficient",(Unstructured!S121+Unstructured!S122),S121)</f>
        <v>0</v>
      </c>
      <c r="T46" s="227">
        <f>IF(Tax_Efficient_Status?="Not Efficient",(Unstructured!T121+Unstructured!T122),T121)</f>
        <v>0</v>
      </c>
      <c r="U46" s="227">
        <f>IF(Tax_Efficient_Status?="Not Efficient",(Unstructured!U121+Unstructured!U122),U121)</f>
        <v>0</v>
      </c>
      <c r="V46" s="227">
        <f>IF(Tax_Efficient_Status?="Not Efficient",(Unstructured!V121+Unstructured!V122),V121)</f>
        <v>0</v>
      </c>
      <c r="W46" s="227">
        <f>IF(Tax_Efficient_Status?="Not Efficient",(Unstructured!W121+Unstructured!W122),W121)</f>
        <v>0</v>
      </c>
      <c r="X46" s="227">
        <f>IF(Tax_Efficient_Status?="Not Efficient",(Unstructured!X121+Unstructured!X122),X121)</f>
        <v>0</v>
      </c>
      <c r="Y46" s="227">
        <f>IF(Tax_Efficient_Status?="Not Efficient",(Unstructured!Y121+Unstructured!Y122),Y121)</f>
        <v>0</v>
      </c>
      <c r="Z46" s="227">
        <f>IF(Tax_Efficient_Status?="Not Efficient",(Unstructured!Z121+Unstructured!Z122),Z121)</f>
        <v>0</v>
      </c>
      <c r="AA46" s="227">
        <f>IF(Tax_Efficient_Status?="Not Efficient",(Unstructured!AA121+Unstructured!AA122),AA121)</f>
        <v>0</v>
      </c>
      <c r="AB46" s="227">
        <f>IF(Tax_Efficient_Status?="Not Efficient",(Unstructured!AB121+Unstructured!AB122),AB121)</f>
        <v>0</v>
      </c>
      <c r="AC46" s="227"/>
    </row>
    <row r="47" spans="1:29" ht="14" x14ac:dyDescent="0.2">
      <c r="A47" s="3"/>
      <c r="B47" s="232"/>
      <c r="C47" s="252"/>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c r="AC47" s="227"/>
    </row>
    <row r="48" spans="1:29" ht="14" x14ac:dyDescent="0.2">
      <c r="A48" s="3"/>
      <c r="B48" s="232" t="s">
        <v>293</v>
      </c>
      <c r="C48" s="252"/>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row>
    <row r="49" spans="1:29" ht="14" x14ac:dyDescent="0.2">
      <c r="A49" s="3"/>
      <c r="B49" s="209" t="s">
        <v>226</v>
      </c>
      <c r="C49" s="252"/>
      <c r="D49" s="227">
        <f t="shared" ref="D49:V49" si="28">D30-(D38+D42+D45)</f>
        <v>-355955.71926929062</v>
      </c>
      <c r="E49" s="227">
        <f t="shared" si="28"/>
        <v>-695867.25623943075</v>
      </c>
      <c r="F49" s="227">
        <f t="shared" si="28"/>
        <v>-324275.08281715069</v>
      </c>
      <c r="G49" s="227">
        <f t="shared" si="28"/>
        <v>-99468.764256088238</v>
      </c>
      <c r="H49" s="227">
        <f t="shared" si="28"/>
        <v>-94883.249371647253</v>
      </c>
      <c r="I49" s="227">
        <f t="shared" si="28"/>
        <v>75025.835590592789</v>
      </c>
      <c r="J49" s="227">
        <f t="shared" si="28"/>
        <v>245027.75385463188</v>
      </c>
      <c r="K49" s="227">
        <f t="shared" si="28"/>
        <v>249891.80451299174</v>
      </c>
      <c r="L49" s="227">
        <f t="shared" si="28"/>
        <v>254852.4106591965</v>
      </c>
      <c r="M49" s="227">
        <f t="shared" si="28"/>
        <v>259911.48898318716</v>
      </c>
      <c r="N49" s="227">
        <f t="shared" si="28"/>
        <v>265070.99422211002</v>
      </c>
      <c r="O49" s="227">
        <f t="shared" si="28"/>
        <v>270332.91991556413</v>
      </c>
      <c r="P49" s="227">
        <f t="shared" si="28"/>
        <v>275699.29917584133</v>
      </c>
      <c r="Q49" s="227">
        <f t="shared" si="28"/>
        <v>281172.20547345572</v>
      </c>
      <c r="R49" s="227">
        <f t="shared" si="28"/>
        <v>286753.75343826506</v>
      </c>
      <c r="S49" s="227">
        <f t="shared" si="28"/>
        <v>292446.09967649548</v>
      </c>
      <c r="T49" s="227">
        <f t="shared" si="28"/>
        <v>298251.44360398361</v>
      </c>
      <c r="U49" s="227">
        <f t="shared" si="28"/>
        <v>304172.02829595888</v>
      </c>
      <c r="V49" s="227">
        <f t="shared" si="28"/>
        <v>310210.1413536942</v>
      </c>
      <c r="W49" s="227">
        <f t="shared" ref="W49:AB49" si="29">W30-(W38+W42+W45)</f>
        <v>316368.11578835902</v>
      </c>
      <c r="X49" s="227">
        <f t="shared" si="29"/>
        <v>322648.33092241798</v>
      </c>
      <c r="Y49" s="227">
        <f t="shared" si="29"/>
        <v>329053.21330892167</v>
      </c>
      <c r="Z49" s="227">
        <f t="shared" si="29"/>
        <v>335585.23766904545</v>
      </c>
      <c r="AA49" s="227">
        <f t="shared" si="29"/>
        <v>342246.92784823908</v>
      </c>
      <c r="AB49" s="227">
        <f t="shared" si="29"/>
        <v>349040.85779135453</v>
      </c>
      <c r="AC49" s="227"/>
    </row>
    <row r="50" spans="1:29" ht="16" customHeight="1" x14ac:dyDescent="0.2">
      <c r="A50" s="3"/>
      <c r="B50" s="209" t="s">
        <v>224</v>
      </c>
      <c r="C50" s="252"/>
      <c r="D50" s="227">
        <f t="shared" ref="D50:AB50" si="30">IF(AND(Owner_is_Taxpayer_Non_Taxpayer?="Taxpayer",D49&gt;0),D49*State_Income_Tax_Rate,0)</f>
        <v>0</v>
      </c>
      <c r="E50" s="227">
        <f t="shared" si="30"/>
        <v>0</v>
      </c>
      <c r="F50" s="227">
        <f t="shared" si="30"/>
        <v>0</v>
      </c>
      <c r="G50" s="227">
        <f t="shared" si="30"/>
        <v>0</v>
      </c>
      <c r="H50" s="227">
        <f t="shared" si="30"/>
        <v>0</v>
      </c>
      <c r="I50" s="227">
        <f t="shared" si="30"/>
        <v>1875.6458897648199</v>
      </c>
      <c r="J50" s="227">
        <f t="shared" si="30"/>
        <v>6125.6938463657971</v>
      </c>
      <c r="K50" s="227">
        <f t="shared" si="30"/>
        <v>6247.2951128247942</v>
      </c>
      <c r="L50" s="227">
        <f t="shared" si="30"/>
        <v>6371.3102664799126</v>
      </c>
      <c r="M50" s="227">
        <f t="shared" si="30"/>
        <v>6497.7872245796789</v>
      </c>
      <c r="N50" s="227">
        <f t="shared" si="30"/>
        <v>6626.7748555527505</v>
      </c>
      <c r="O50" s="227">
        <f t="shared" si="30"/>
        <v>6758.3229978891031</v>
      </c>
      <c r="P50" s="227">
        <f t="shared" si="30"/>
        <v>6892.4824793960333</v>
      </c>
      <c r="Q50" s="227">
        <f t="shared" si="30"/>
        <v>7029.3051368363931</v>
      </c>
      <c r="R50" s="227">
        <f t="shared" si="30"/>
        <v>7168.8438359566271</v>
      </c>
      <c r="S50" s="227">
        <f t="shared" si="30"/>
        <v>7311.1524919123876</v>
      </c>
      <c r="T50" s="227">
        <f t="shared" si="30"/>
        <v>7456.2860900995911</v>
      </c>
      <c r="U50" s="227">
        <f t="shared" si="30"/>
        <v>7604.300707398972</v>
      </c>
      <c r="V50" s="227">
        <f t="shared" si="30"/>
        <v>7755.253533842355</v>
      </c>
      <c r="W50" s="227">
        <f t="shared" si="30"/>
        <v>7909.2028947089757</v>
      </c>
      <c r="X50" s="227">
        <f t="shared" si="30"/>
        <v>8066.2082730604498</v>
      </c>
      <c r="Y50" s="227">
        <f t="shared" si="30"/>
        <v>8226.3303327230424</v>
      </c>
      <c r="Z50" s="227">
        <f t="shared" si="30"/>
        <v>8389.6309417261364</v>
      </c>
      <c r="AA50" s="227">
        <f t="shared" si="30"/>
        <v>8556.1731962059766</v>
      </c>
      <c r="AB50" s="227">
        <f t="shared" si="30"/>
        <v>8726.0214447838644</v>
      </c>
      <c r="AC50" s="227"/>
    </row>
    <row r="51" spans="1:29" ht="16" customHeight="1" x14ac:dyDescent="0.2">
      <c r="A51" s="3"/>
      <c r="B51" s="209" t="s">
        <v>314</v>
      </c>
      <c r="C51" s="252"/>
      <c r="D51" s="227">
        <f>IF(AND(State_ITC_On_Off?="On",D17=1),(State_Tax_Credit_Rate*State_Tax_Credit_Basis),0)</f>
        <v>0</v>
      </c>
      <c r="E51" s="227">
        <f t="shared" ref="E51:V51" si="31">IF(Tax_Efficient_Status?="Not Efficient",D52,0)</f>
        <v>0</v>
      </c>
      <c r="F51" s="227">
        <f t="shared" si="31"/>
        <v>0</v>
      </c>
      <c r="G51" s="227">
        <f t="shared" si="31"/>
        <v>0</v>
      </c>
      <c r="H51" s="227">
        <f t="shared" si="31"/>
        <v>0</v>
      </c>
      <c r="I51" s="227">
        <f t="shared" si="31"/>
        <v>0</v>
      </c>
      <c r="J51" s="227">
        <f t="shared" si="31"/>
        <v>0</v>
      </c>
      <c r="K51" s="227">
        <f t="shared" si="31"/>
        <v>0</v>
      </c>
      <c r="L51" s="227">
        <f t="shared" si="31"/>
        <v>0</v>
      </c>
      <c r="M51" s="227">
        <f t="shared" si="31"/>
        <v>0</v>
      </c>
      <c r="N51" s="227">
        <f t="shared" si="31"/>
        <v>0</v>
      </c>
      <c r="O51" s="227">
        <f t="shared" si="31"/>
        <v>0</v>
      </c>
      <c r="P51" s="227">
        <f t="shared" si="31"/>
        <v>0</v>
      </c>
      <c r="Q51" s="227">
        <f t="shared" si="31"/>
        <v>0</v>
      </c>
      <c r="R51" s="227">
        <f t="shared" si="31"/>
        <v>0</v>
      </c>
      <c r="S51" s="227">
        <f t="shared" si="31"/>
        <v>0</v>
      </c>
      <c r="T51" s="227">
        <f t="shared" si="31"/>
        <v>0</v>
      </c>
      <c r="U51" s="227">
        <f t="shared" si="31"/>
        <v>0</v>
      </c>
      <c r="V51" s="227">
        <f t="shared" si="31"/>
        <v>0</v>
      </c>
      <c r="W51" s="227">
        <f t="shared" ref="W51:AB51" si="32">IF(Tax_Efficient_Status?="Not Efficient",V52,0)</f>
        <v>0</v>
      </c>
      <c r="X51" s="227">
        <f t="shared" si="32"/>
        <v>0</v>
      </c>
      <c r="Y51" s="227">
        <f t="shared" si="32"/>
        <v>0</v>
      </c>
      <c r="Z51" s="227">
        <f t="shared" si="32"/>
        <v>0</v>
      </c>
      <c r="AA51" s="227">
        <f t="shared" si="32"/>
        <v>0</v>
      </c>
      <c r="AB51" s="227">
        <f t="shared" si="32"/>
        <v>0</v>
      </c>
      <c r="AC51" s="227"/>
    </row>
    <row r="52" spans="1:29" ht="16" customHeight="1" thickBot="1" x14ac:dyDescent="0.25">
      <c r="A52" s="3"/>
      <c r="B52" s="209" t="s">
        <v>315</v>
      </c>
      <c r="C52" s="252"/>
      <c r="D52" s="246">
        <f>IF(D51&gt;D50,D51-D50,0)</f>
        <v>0</v>
      </c>
      <c r="E52" s="246">
        <f t="shared" ref="E52:V52" si="33">IF(Tax_Efficient_Status?="Not Efficient",IF(E51&gt;E50,E51-E50,0),0)</f>
        <v>0</v>
      </c>
      <c r="F52" s="246">
        <f t="shared" si="33"/>
        <v>0</v>
      </c>
      <c r="G52" s="246">
        <f t="shared" si="33"/>
        <v>0</v>
      </c>
      <c r="H52" s="246">
        <f t="shared" si="33"/>
        <v>0</v>
      </c>
      <c r="I52" s="246">
        <f t="shared" si="33"/>
        <v>0</v>
      </c>
      <c r="J52" s="246">
        <f t="shared" si="33"/>
        <v>0</v>
      </c>
      <c r="K52" s="246">
        <f t="shared" si="33"/>
        <v>0</v>
      </c>
      <c r="L52" s="246">
        <f t="shared" si="33"/>
        <v>0</v>
      </c>
      <c r="M52" s="246">
        <f t="shared" si="33"/>
        <v>0</v>
      </c>
      <c r="N52" s="246">
        <f t="shared" si="33"/>
        <v>0</v>
      </c>
      <c r="O52" s="246">
        <f t="shared" si="33"/>
        <v>0</v>
      </c>
      <c r="P52" s="246">
        <f t="shared" si="33"/>
        <v>0</v>
      </c>
      <c r="Q52" s="246">
        <f t="shared" si="33"/>
        <v>0</v>
      </c>
      <c r="R52" s="246">
        <f t="shared" si="33"/>
        <v>0</v>
      </c>
      <c r="S52" s="246">
        <f t="shared" si="33"/>
        <v>0</v>
      </c>
      <c r="T52" s="246">
        <f t="shared" si="33"/>
        <v>0</v>
      </c>
      <c r="U52" s="246">
        <f t="shared" si="33"/>
        <v>0</v>
      </c>
      <c r="V52" s="246">
        <f t="shared" si="33"/>
        <v>0</v>
      </c>
      <c r="W52" s="246">
        <f t="shared" ref="W52:AB52" si="34">IF(Tax_Efficient_Status?="Not Efficient",IF(W51&gt;W50,W51-W50,0),0)</f>
        <v>0</v>
      </c>
      <c r="X52" s="246">
        <f t="shared" si="34"/>
        <v>0</v>
      </c>
      <c r="Y52" s="246">
        <f t="shared" si="34"/>
        <v>0</v>
      </c>
      <c r="Z52" s="246">
        <f t="shared" si="34"/>
        <v>0</v>
      </c>
      <c r="AA52" s="246">
        <f t="shared" si="34"/>
        <v>0</v>
      </c>
      <c r="AB52" s="246">
        <f t="shared" si="34"/>
        <v>0</v>
      </c>
      <c r="AC52" s="246"/>
    </row>
    <row r="53" spans="1:29" ht="15" thickTop="1" x14ac:dyDescent="0.2">
      <c r="A53" s="3"/>
      <c r="B53" s="210" t="s">
        <v>238</v>
      </c>
      <c r="C53" s="252"/>
      <c r="D53" s="227">
        <f>D50</f>
        <v>0</v>
      </c>
      <c r="E53" s="227">
        <f t="shared" ref="E53:V53" si="35">E50</f>
        <v>0</v>
      </c>
      <c r="F53" s="227">
        <f t="shared" si="35"/>
        <v>0</v>
      </c>
      <c r="G53" s="227">
        <f t="shared" si="35"/>
        <v>0</v>
      </c>
      <c r="H53" s="227">
        <f t="shared" si="35"/>
        <v>0</v>
      </c>
      <c r="I53" s="227">
        <f t="shared" si="35"/>
        <v>1875.6458897648199</v>
      </c>
      <c r="J53" s="227">
        <f t="shared" si="35"/>
        <v>6125.6938463657971</v>
      </c>
      <c r="K53" s="227">
        <f t="shared" si="35"/>
        <v>6247.2951128247942</v>
      </c>
      <c r="L53" s="227">
        <f t="shared" si="35"/>
        <v>6371.3102664799126</v>
      </c>
      <c r="M53" s="227">
        <f t="shared" si="35"/>
        <v>6497.7872245796789</v>
      </c>
      <c r="N53" s="227">
        <f t="shared" si="35"/>
        <v>6626.7748555527505</v>
      </c>
      <c r="O53" s="227">
        <f t="shared" si="35"/>
        <v>6758.3229978891031</v>
      </c>
      <c r="P53" s="227">
        <f t="shared" si="35"/>
        <v>6892.4824793960333</v>
      </c>
      <c r="Q53" s="227">
        <f t="shared" si="35"/>
        <v>7029.3051368363931</v>
      </c>
      <c r="R53" s="227">
        <f t="shared" si="35"/>
        <v>7168.8438359566271</v>
      </c>
      <c r="S53" s="227">
        <f t="shared" si="35"/>
        <v>7311.1524919123876</v>
      </c>
      <c r="T53" s="227">
        <f t="shared" si="35"/>
        <v>7456.2860900995911</v>
      </c>
      <c r="U53" s="227">
        <f t="shared" si="35"/>
        <v>7604.300707398972</v>
      </c>
      <c r="V53" s="227">
        <f t="shared" si="35"/>
        <v>7755.253533842355</v>
      </c>
      <c r="W53" s="227">
        <f t="shared" ref="W53:AB53" si="36">W50</f>
        <v>7909.2028947089757</v>
      </c>
      <c r="X53" s="227">
        <f t="shared" si="36"/>
        <v>8066.2082730604498</v>
      </c>
      <c r="Y53" s="227">
        <f t="shared" si="36"/>
        <v>8226.3303327230424</v>
      </c>
      <c r="Z53" s="227">
        <f t="shared" si="36"/>
        <v>8389.6309417261364</v>
      </c>
      <c r="AA53" s="227">
        <f t="shared" si="36"/>
        <v>8556.1731962059766</v>
      </c>
      <c r="AB53" s="227">
        <f t="shared" si="36"/>
        <v>8726.0214447838644</v>
      </c>
      <c r="AC53" s="227"/>
    </row>
    <row r="54" spans="1:29" ht="14" x14ac:dyDescent="0.2">
      <c r="A54" s="3"/>
      <c r="B54" s="209"/>
      <c r="C54" s="252"/>
      <c r="D54" s="227"/>
      <c r="E54" s="227"/>
      <c r="F54" s="227"/>
      <c r="G54" s="227"/>
      <c r="H54" s="227"/>
      <c r="I54" s="227"/>
      <c r="J54" s="227"/>
      <c r="K54" s="227"/>
      <c r="L54" s="227"/>
      <c r="M54" s="227"/>
      <c r="N54" s="227"/>
      <c r="O54" s="227"/>
      <c r="P54" s="227"/>
      <c r="Q54" s="227"/>
      <c r="R54" s="227"/>
      <c r="S54" s="227"/>
      <c r="T54" s="227"/>
      <c r="U54" s="227"/>
      <c r="V54" s="227"/>
      <c r="W54" s="227"/>
      <c r="X54" s="227"/>
      <c r="Y54" s="227"/>
      <c r="Z54" s="227"/>
      <c r="AA54" s="227"/>
      <c r="AB54" s="227"/>
      <c r="AC54" s="227"/>
    </row>
    <row r="55" spans="1:29" ht="14" x14ac:dyDescent="0.2">
      <c r="A55" s="3"/>
      <c r="B55" s="210" t="s">
        <v>57</v>
      </c>
      <c r="C55" s="252"/>
      <c r="D55" s="227"/>
      <c r="E55" s="227"/>
      <c r="F55" s="227"/>
      <c r="G55" s="227"/>
      <c r="H55" s="227"/>
      <c r="I55" s="227"/>
      <c r="J55" s="227"/>
      <c r="K55" s="227"/>
      <c r="L55" s="227"/>
      <c r="M55" s="227"/>
      <c r="N55" s="227"/>
      <c r="O55" s="227"/>
      <c r="P55" s="227"/>
      <c r="Q55" s="227"/>
      <c r="R55" s="227"/>
      <c r="S55" s="227"/>
      <c r="T55" s="227"/>
      <c r="U55" s="227"/>
      <c r="V55" s="227"/>
      <c r="W55" s="227"/>
      <c r="X55" s="227"/>
      <c r="Y55" s="227"/>
      <c r="Z55" s="227"/>
      <c r="AA55" s="227"/>
      <c r="AB55" s="227"/>
      <c r="AC55" s="227"/>
    </row>
    <row r="56" spans="1:29" ht="14" x14ac:dyDescent="0.2">
      <c r="A56" s="3"/>
      <c r="B56" s="209" t="s">
        <v>171</v>
      </c>
      <c r="C56" s="252"/>
      <c r="D56" s="227">
        <f t="shared" ref="D56:V56" si="37">D30-(D38+D42+D46+D53)</f>
        <v>-355955.71926929062</v>
      </c>
      <c r="E56" s="227">
        <f t="shared" si="37"/>
        <v>-695867.25623943075</v>
      </c>
      <c r="F56" s="227">
        <f t="shared" si="37"/>
        <v>-324275.08281715069</v>
      </c>
      <c r="G56" s="227">
        <f t="shared" si="37"/>
        <v>-99468.764256088238</v>
      </c>
      <c r="H56" s="227">
        <f t="shared" si="37"/>
        <v>-94883.249371647253</v>
      </c>
      <c r="I56" s="227">
        <f t="shared" si="37"/>
        <v>73150.189700827963</v>
      </c>
      <c r="J56" s="227">
        <f t="shared" si="37"/>
        <v>238902.0600082661</v>
      </c>
      <c r="K56" s="227">
        <f t="shared" si="37"/>
        <v>243644.50940016695</v>
      </c>
      <c r="L56" s="227">
        <f t="shared" si="37"/>
        <v>248481.10039271659</v>
      </c>
      <c r="M56" s="227">
        <f t="shared" si="37"/>
        <v>253413.70175860747</v>
      </c>
      <c r="N56" s="227">
        <f t="shared" si="37"/>
        <v>258444.21936655728</v>
      </c>
      <c r="O56" s="227">
        <f t="shared" si="37"/>
        <v>263574.59691767505</v>
      </c>
      <c r="P56" s="227">
        <f t="shared" si="37"/>
        <v>268806.81669644528</v>
      </c>
      <c r="Q56" s="227">
        <f t="shared" si="37"/>
        <v>274142.90033661935</v>
      </c>
      <c r="R56" s="227">
        <f t="shared" si="37"/>
        <v>279584.90960230841</v>
      </c>
      <c r="S56" s="227">
        <f t="shared" si="37"/>
        <v>285134.94718458311</v>
      </c>
      <c r="T56" s="227">
        <f t="shared" si="37"/>
        <v>290795.15751388401</v>
      </c>
      <c r="U56" s="227">
        <f t="shared" si="37"/>
        <v>296567.72758855997</v>
      </c>
      <c r="V56" s="227">
        <f t="shared" si="37"/>
        <v>302454.88781985187</v>
      </c>
      <c r="W56" s="227">
        <f t="shared" ref="W56:AB56" si="38">W30-(W38+W42+W46+W53)</f>
        <v>308458.91289365006</v>
      </c>
      <c r="X56" s="227">
        <f t="shared" si="38"/>
        <v>314582.12264935754</v>
      </c>
      <c r="Y56" s="227">
        <f t="shared" si="38"/>
        <v>320826.88297619863</v>
      </c>
      <c r="Z56" s="227">
        <f t="shared" si="38"/>
        <v>327195.60672731936</v>
      </c>
      <c r="AA56" s="227">
        <f t="shared" si="38"/>
        <v>333690.75465203315</v>
      </c>
      <c r="AB56" s="227">
        <f t="shared" si="38"/>
        <v>340314.83634657064</v>
      </c>
      <c r="AC56" s="227"/>
    </row>
    <row r="57" spans="1:29" ht="14" x14ac:dyDescent="0.2">
      <c r="A57" s="3"/>
      <c r="B57" s="209" t="s">
        <v>172</v>
      </c>
      <c r="C57" s="252"/>
      <c r="D57" s="227">
        <f t="shared" ref="D57:AB57" si="39">IF(AND(Owner_is_Taxpayer_Non_Taxpayer?="Taxpayer",D56&gt;0),D56*Taxpayer_Marginal_Rate,0)</f>
        <v>0</v>
      </c>
      <c r="E57" s="227">
        <f t="shared" si="39"/>
        <v>0</v>
      </c>
      <c r="F57" s="227">
        <f t="shared" si="39"/>
        <v>0</v>
      </c>
      <c r="G57" s="227">
        <f t="shared" si="39"/>
        <v>0</v>
      </c>
      <c r="H57" s="227">
        <f t="shared" si="39"/>
        <v>0</v>
      </c>
      <c r="I57" s="227">
        <f t="shared" si="39"/>
        <v>15361.539837173872</v>
      </c>
      <c r="J57" s="227">
        <f t="shared" si="39"/>
        <v>50169.432601735876</v>
      </c>
      <c r="K57" s="227">
        <f t="shared" si="39"/>
        <v>51165.346974035056</v>
      </c>
      <c r="L57" s="227">
        <f t="shared" si="39"/>
        <v>52181.031082470479</v>
      </c>
      <c r="M57" s="227">
        <f t="shared" si="39"/>
        <v>53216.877369307564</v>
      </c>
      <c r="N57" s="227">
        <f t="shared" si="39"/>
        <v>54273.286066977031</v>
      </c>
      <c r="O57" s="227">
        <f t="shared" si="39"/>
        <v>55350.66535271176</v>
      </c>
      <c r="P57" s="227">
        <f t="shared" si="39"/>
        <v>56449.43150625351</v>
      </c>
      <c r="Q57" s="227">
        <f t="shared" si="39"/>
        <v>57570.009070690059</v>
      </c>
      <c r="R57" s="227">
        <f t="shared" si="39"/>
        <v>58712.831016484764</v>
      </c>
      <c r="S57" s="227">
        <f t="shared" si="39"/>
        <v>59878.338908762453</v>
      </c>
      <c r="T57" s="227">
        <f t="shared" si="39"/>
        <v>61066.98307791564</v>
      </c>
      <c r="U57" s="227">
        <f t="shared" si="39"/>
        <v>62279.22279359759</v>
      </c>
      <c r="V57" s="227">
        <f t="shared" si="39"/>
        <v>63515.526442168892</v>
      </c>
      <c r="W57" s="227">
        <f t="shared" si="39"/>
        <v>64776.371707666513</v>
      </c>
      <c r="X57" s="227">
        <f t="shared" si="39"/>
        <v>66062.245756365082</v>
      </c>
      <c r="Y57" s="227">
        <f t="shared" si="39"/>
        <v>67373.645425001712</v>
      </c>
      <c r="Z57" s="227">
        <f t="shared" si="39"/>
        <v>68711.077412737068</v>
      </c>
      <c r="AA57" s="227">
        <f t="shared" si="39"/>
        <v>70075.058476926963</v>
      </c>
      <c r="AB57" s="227">
        <f t="shared" si="39"/>
        <v>71466.115632779823</v>
      </c>
      <c r="AC57" s="227"/>
    </row>
    <row r="58" spans="1:29" ht="14" x14ac:dyDescent="0.2">
      <c r="A58" s="3"/>
      <c r="B58" s="209" t="s">
        <v>141</v>
      </c>
      <c r="C58" s="252"/>
      <c r="D58" s="227">
        <f>IF(AND(Tax_Credit_Selector_ITC_or_PTC="ITC",Federal_ITC_Cash_Sale_OnOff="Off",D17=1),Federal_ITC_Dollar_Value,0)</f>
        <v>1012454.3119499998</v>
      </c>
      <c r="E58" s="227">
        <f>IF(Tax_Efficient_Status?="Not Efficient",D59,0)</f>
        <v>0</v>
      </c>
      <c r="F58" s="227">
        <f t="shared" ref="F58:V58" si="40">IF(Tax_Efficient_Status?="Not Efficient",E59,0)</f>
        <v>0</v>
      </c>
      <c r="G58" s="227">
        <f t="shared" si="40"/>
        <v>0</v>
      </c>
      <c r="H58" s="227">
        <f t="shared" si="40"/>
        <v>0</v>
      </c>
      <c r="I58" s="227">
        <f t="shared" si="40"/>
        <v>0</v>
      </c>
      <c r="J58" s="227">
        <f t="shared" si="40"/>
        <v>0</v>
      </c>
      <c r="K58" s="227">
        <f t="shared" si="40"/>
        <v>0</v>
      </c>
      <c r="L58" s="227">
        <f t="shared" si="40"/>
        <v>0</v>
      </c>
      <c r="M58" s="227">
        <f t="shared" si="40"/>
        <v>0</v>
      </c>
      <c r="N58" s="227">
        <f t="shared" si="40"/>
        <v>0</v>
      </c>
      <c r="O58" s="227">
        <f t="shared" si="40"/>
        <v>0</v>
      </c>
      <c r="P58" s="227">
        <f t="shared" si="40"/>
        <v>0</v>
      </c>
      <c r="Q58" s="227">
        <f t="shared" si="40"/>
        <v>0</v>
      </c>
      <c r="R58" s="227">
        <f t="shared" si="40"/>
        <v>0</v>
      </c>
      <c r="S58" s="227">
        <f t="shared" si="40"/>
        <v>0</v>
      </c>
      <c r="T58" s="227">
        <f t="shared" si="40"/>
        <v>0</v>
      </c>
      <c r="U58" s="227">
        <f t="shared" si="40"/>
        <v>0</v>
      </c>
      <c r="V58" s="227">
        <f t="shared" si="40"/>
        <v>0</v>
      </c>
      <c r="W58" s="227">
        <f t="shared" ref="W58:AB58" si="41">IF(Tax_Efficient_Status?="Not Efficient",V59,0)</f>
        <v>0</v>
      </c>
      <c r="X58" s="227">
        <f t="shared" si="41"/>
        <v>0</v>
      </c>
      <c r="Y58" s="227">
        <f t="shared" si="41"/>
        <v>0</v>
      </c>
      <c r="Z58" s="227">
        <f t="shared" si="41"/>
        <v>0</v>
      </c>
      <c r="AA58" s="227">
        <f t="shared" si="41"/>
        <v>0</v>
      </c>
      <c r="AB58" s="227">
        <f t="shared" si="41"/>
        <v>0</v>
      </c>
      <c r="AC58" s="227"/>
    </row>
    <row r="59" spans="1:29" ht="15" thickBot="1" x14ac:dyDescent="0.25">
      <c r="A59" s="3"/>
      <c r="B59" s="209" t="s">
        <v>289</v>
      </c>
      <c r="C59" s="252"/>
      <c r="D59" s="246">
        <f>IF(D58&gt;D57,D58-D57,0)</f>
        <v>1012454.3119499998</v>
      </c>
      <c r="E59" s="246">
        <f>IF(Tax_Efficient_Status?="Not Efficient",IF(E58&gt;E57,E58-E57,0),0)</f>
        <v>0</v>
      </c>
      <c r="F59" s="246">
        <f t="shared" ref="F59:V59" si="42">IF(Tax_Efficient_Status?="Not Efficient",IF(F58&gt;F57,F58-F57,0),0)</f>
        <v>0</v>
      </c>
      <c r="G59" s="246">
        <f t="shared" si="42"/>
        <v>0</v>
      </c>
      <c r="H59" s="246">
        <f t="shared" si="42"/>
        <v>0</v>
      </c>
      <c r="I59" s="246">
        <f t="shared" si="42"/>
        <v>0</v>
      </c>
      <c r="J59" s="246">
        <f t="shared" si="42"/>
        <v>0</v>
      </c>
      <c r="K59" s="246">
        <f t="shared" si="42"/>
        <v>0</v>
      </c>
      <c r="L59" s="246">
        <f t="shared" si="42"/>
        <v>0</v>
      </c>
      <c r="M59" s="246">
        <f t="shared" si="42"/>
        <v>0</v>
      </c>
      <c r="N59" s="246">
        <f t="shared" si="42"/>
        <v>0</v>
      </c>
      <c r="O59" s="246">
        <f t="shared" si="42"/>
        <v>0</v>
      </c>
      <c r="P59" s="246">
        <f t="shared" si="42"/>
        <v>0</v>
      </c>
      <c r="Q59" s="246">
        <f t="shared" si="42"/>
        <v>0</v>
      </c>
      <c r="R59" s="246">
        <f t="shared" si="42"/>
        <v>0</v>
      </c>
      <c r="S59" s="246">
        <f t="shared" si="42"/>
        <v>0</v>
      </c>
      <c r="T59" s="246">
        <f t="shared" si="42"/>
        <v>0</v>
      </c>
      <c r="U59" s="246">
        <f t="shared" si="42"/>
        <v>0</v>
      </c>
      <c r="V59" s="246">
        <f t="shared" si="42"/>
        <v>0</v>
      </c>
      <c r="W59" s="246">
        <f t="shared" ref="W59:AB59" si="43">IF(Tax_Efficient_Status?="Not Efficient",IF(W58&gt;W57,W58-W57,0),0)</f>
        <v>0</v>
      </c>
      <c r="X59" s="246">
        <f t="shared" si="43"/>
        <v>0</v>
      </c>
      <c r="Y59" s="246">
        <f t="shared" si="43"/>
        <v>0</v>
      </c>
      <c r="Z59" s="246">
        <f t="shared" si="43"/>
        <v>0</v>
      </c>
      <c r="AA59" s="246">
        <f t="shared" si="43"/>
        <v>0</v>
      </c>
      <c r="AB59" s="246">
        <f t="shared" si="43"/>
        <v>0</v>
      </c>
      <c r="AC59" s="246"/>
    </row>
    <row r="60" spans="1:29" ht="15" thickTop="1" x14ac:dyDescent="0.2">
      <c r="A60" s="3"/>
      <c r="B60" s="210" t="s">
        <v>237</v>
      </c>
      <c r="C60" s="252"/>
      <c r="D60" s="227">
        <f>IF(D58&gt;D57,0,D57-D58)</f>
        <v>0</v>
      </c>
      <c r="E60" s="227">
        <f t="shared" ref="E60:V60" si="44">IF(E58&gt;E57,0,E57-E58)</f>
        <v>0</v>
      </c>
      <c r="F60" s="227">
        <f t="shared" si="44"/>
        <v>0</v>
      </c>
      <c r="G60" s="227">
        <f t="shared" si="44"/>
        <v>0</v>
      </c>
      <c r="H60" s="227">
        <f t="shared" si="44"/>
        <v>0</v>
      </c>
      <c r="I60" s="227">
        <f t="shared" si="44"/>
        <v>15361.539837173872</v>
      </c>
      <c r="J60" s="227">
        <f t="shared" si="44"/>
        <v>50169.432601735876</v>
      </c>
      <c r="K60" s="227">
        <f t="shared" si="44"/>
        <v>51165.346974035056</v>
      </c>
      <c r="L60" s="227">
        <f t="shared" si="44"/>
        <v>52181.031082470479</v>
      </c>
      <c r="M60" s="227">
        <f t="shared" si="44"/>
        <v>53216.877369307564</v>
      </c>
      <c r="N60" s="227">
        <f t="shared" si="44"/>
        <v>54273.286066977031</v>
      </c>
      <c r="O60" s="227">
        <f t="shared" si="44"/>
        <v>55350.66535271176</v>
      </c>
      <c r="P60" s="227">
        <f t="shared" si="44"/>
        <v>56449.43150625351</v>
      </c>
      <c r="Q60" s="227">
        <f t="shared" si="44"/>
        <v>57570.009070690059</v>
      </c>
      <c r="R60" s="227">
        <f t="shared" si="44"/>
        <v>58712.831016484764</v>
      </c>
      <c r="S60" s="227">
        <f t="shared" si="44"/>
        <v>59878.338908762453</v>
      </c>
      <c r="T60" s="227">
        <f t="shared" si="44"/>
        <v>61066.98307791564</v>
      </c>
      <c r="U60" s="227">
        <f t="shared" si="44"/>
        <v>62279.22279359759</v>
      </c>
      <c r="V60" s="227">
        <f t="shared" si="44"/>
        <v>63515.526442168892</v>
      </c>
      <c r="W60" s="227">
        <f t="shared" ref="W60:AB60" si="45">IF(W58&gt;W57,0,W57-W58)</f>
        <v>64776.371707666513</v>
      </c>
      <c r="X60" s="227">
        <f t="shared" si="45"/>
        <v>66062.245756365082</v>
      </c>
      <c r="Y60" s="227">
        <f t="shared" si="45"/>
        <v>67373.645425001712</v>
      </c>
      <c r="Z60" s="227">
        <f t="shared" si="45"/>
        <v>68711.077412737068</v>
      </c>
      <c r="AA60" s="227">
        <f t="shared" si="45"/>
        <v>70075.058476926963</v>
      </c>
      <c r="AB60" s="227">
        <f t="shared" si="45"/>
        <v>71466.115632779823</v>
      </c>
      <c r="AC60" s="227"/>
    </row>
    <row r="61" spans="1:29" ht="14" x14ac:dyDescent="0.2">
      <c r="A61" s="3"/>
      <c r="B61" s="209"/>
      <c r="C61" s="252"/>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c r="AC61" s="227"/>
    </row>
    <row r="62" spans="1:29" ht="14" x14ac:dyDescent="0.2">
      <c r="A62" s="3"/>
      <c r="B62" s="333" t="s">
        <v>271</v>
      </c>
      <c r="C62" s="334"/>
      <c r="D62" s="195">
        <f t="shared" ref="D62:V62" si="46">(D56-D60)</f>
        <v>-355955.71926929062</v>
      </c>
      <c r="E62" s="195">
        <f t="shared" si="46"/>
        <v>-695867.25623943075</v>
      </c>
      <c r="F62" s="195">
        <f>(F56-F60)</f>
        <v>-324275.08281715069</v>
      </c>
      <c r="G62" s="195">
        <f t="shared" si="46"/>
        <v>-99468.764256088238</v>
      </c>
      <c r="H62" s="195">
        <f t="shared" si="46"/>
        <v>-94883.249371647253</v>
      </c>
      <c r="I62" s="195">
        <f t="shared" si="46"/>
        <v>57788.649863654093</v>
      </c>
      <c r="J62" s="195">
        <f t="shared" si="46"/>
        <v>188732.62740653023</v>
      </c>
      <c r="K62" s="195">
        <f t="shared" si="46"/>
        <v>192479.16242613189</v>
      </c>
      <c r="L62" s="195">
        <f t="shared" si="46"/>
        <v>196300.06931024609</v>
      </c>
      <c r="M62" s="195">
        <f t="shared" si="46"/>
        <v>200196.8243892999</v>
      </c>
      <c r="N62" s="195">
        <f t="shared" si="46"/>
        <v>204170.93329958024</v>
      </c>
      <c r="O62" s="195">
        <f t="shared" si="46"/>
        <v>208223.93156496331</v>
      </c>
      <c r="P62" s="195">
        <f t="shared" si="46"/>
        <v>212357.38519019177</v>
      </c>
      <c r="Q62" s="195">
        <f t="shared" si="46"/>
        <v>216572.8912659293</v>
      </c>
      <c r="R62" s="195">
        <f t="shared" si="46"/>
        <v>220872.07858582365</v>
      </c>
      <c r="S62" s="195">
        <f t="shared" si="46"/>
        <v>225256.60827582068</v>
      </c>
      <c r="T62" s="195">
        <f t="shared" si="46"/>
        <v>229728.17443596837</v>
      </c>
      <c r="U62" s="195">
        <f t="shared" si="46"/>
        <v>234288.50479496238</v>
      </c>
      <c r="V62" s="195">
        <f t="shared" si="46"/>
        <v>238939.36137768297</v>
      </c>
      <c r="W62" s="195">
        <f t="shared" ref="W62:AB62" si="47">(W56-W60)</f>
        <v>243682.54118598354</v>
      </c>
      <c r="X62" s="195">
        <f t="shared" si="47"/>
        <v>248519.87689299247</v>
      </c>
      <c r="Y62" s="195">
        <f t="shared" si="47"/>
        <v>253453.23755119691</v>
      </c>
      <c r="Z62" s="195">
        <f t="shared" si="47"/>
        <v>258484.52931458229</v>
      </c>
      <c r="AA62" s="195">
        <f t="shared" si="47"/>
        <v>263615.69617510622</v>
      </c>
      <c r="AB62" s="195">
        <f t="shared" si="47"/>
        <v>268848.7207137908</v>
      </c>
      <c r="AC62" s="195"/>
    </row>
    <row r="66" spans="1:32" ht="16" x14ac:dyDescent="0.2">
      <c r="A66" s="3"/>
      <c r="B66" s="577" t="s">
        <v>377</v>
      </c>
      <c r="C66" s="578"/>
      <c r="D66" s="578"/>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2" t="s">
        <v>138</v>
      </c>
      <c r="C68" s="252"/>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row>
    <row r="69" spans="1:32" ht="14" x14ac:dyDescent="0.2">
      <c r="A69" s="3"/>
      <c r="B69" s="209" t="s">
        <v>168</v>
      </c>
      <c r="C69" s="252"/>
      <c r="D69" s="227">
        <f>IF(OR(Owner_is_Taxpayer_Non_Taxpayer?="Non-Taxpayer",Tax_Efficient_Status?="Not Efficient", Tax_Credit_Selector_ITC_or_PTC="PTC",Federal_ITC_Cash_Sale_OnOff="On"),0,Unstructured!D59)</f>
        <v>1012454.3119499998</v>
      </c>
      <c r="E69" s="227"/>
      <c r="F69" s="227"/>
      <c r="G69" s="227"/>
      <c r="H69" s="227"/>
      <c r="I69" s="227"/>
      <c r="J69" s="227"/>
      <c r="K69" s="227"/>
      <c r="L69" s="227"/>
      <c r="M69" s="227"/>
      <c r="N69" s="227"/>
      <c r="O69" s="227"/>
      <c r="P69" s="227"/>
      <c r="Q69" s="227"/>
      <c r="R69" s="227"/>
      <c r="S69" s="227"/>
      <c r="T69" s="227"/>
      <c r="U69" s="227"/>
      <c r="V69" s="227"/>
      <c r="W69" s="227"/>
      <c r="X69" s="227"/>
      <c r="Y69" s="227"/>
      <c r="Z69" s="227"/>
      <c r="AA69" s="227"/>
      <c r="AB69" s="227"/>
    </row>
    <row r="70" spans="1:32" ht="14" x14ac:dyDescent="0.2">
      <c r="A70" s="3"/>
      <c r="B70" s="209" t="s">
        <v>236</v>
      </c>
      <c r="C70" s="252"/>
      <c r="D70" s="227">
        <f t="shared" ref="D70:AB70" si="50">IF(OR(Owner_is_Taxpayer_Non_Taxpayer?="Taxpayer",Tax_Efficient_Status?="State &amp; Federal", Tax_Efficient_Status?="Federal Only"),D124*(Taxpayer_Marginal_Rate),0)</f>
        <v>74750.70104655101</v>
      </c>
      <c r="E70" s="227">
        <f t="shared" si="50"/>
        <v>146132.12381028046</v>
      </c>
      <c r="F70" s="227">
        <f t="shared" si="50"/>
        <v>68097.767391601636</v>
      </c>
      <c r="G70" s="227">
        <f t="shared" si="50"/>
        <v>20888.440493778522</v>
      </c>
      <c r="H70" s="227">
        <f t="shared" si="50"/>
        <v>19925.482368045923</v>
      </c>
      <c r="I70" s="227">
        <f t="shared" si="50"/>
        <v>0</v>
      </c>
      <c r="J70" s="227">
        <f t="shared" si="50"/>
        <v>0</v>
      </c>
      <c r="K70" s="227">
        <f t="shared" si="50"/>
        <v>0</v>
      </c>
      <c r="L70" s="227">
        <f t="shared" si="50"/>
        <v>0</v>
      </c>
      <c r="M70" s="227">
        <f t="shared" si="50"/>
        <v>0</v>
      </c>
      <c r="N70" s="227">
        <f t="shared" si="50"/>
        <v>0</v>
      </c>
      <c r="O70" s="227">
        <f t="shared" si="50"/>
        <v>0</v>
      </c>
      <c r="P70" s="227">
        <f t="shared" si="50"/>
        <v>0</v>
      </c>
      <c r="Q70" s="227">
        <f t="shared" si="50"/>
        <v>0</v>
      </c>
      <c r="R70" s="227">
        <f t="shared" si="50"/>
        <v>0</v>
      </c>
      <c r="S70" s="227">
        <f t="shared" si="50"/>
        <v>0</v>
      </c>
      <c r="T70" s="227">
        <f t="shared" si="50"/>
        <v>0</v>
      </c>
      <c r="U70" s="227">
        <f t="shared" si="50"/>
        <v>0</v>
      </c>
      <c r="V70" s="227">
        <f t="shared" si="50"/>
        <v>0</v>
      </c>
      <c r="W70" s="227">
        <f t="shared" si="50"/>
        <v>0</v>
      </c>
      <c r="X70" s="227">
        <f t="shared" si="50"/>
        <v>0</v>
      </c>
      <c r="Y70" s="227">
        <f t="shared" si="50"/>
        <v>0</v>
      </c>
      <c r="Z70" s="227">
        <f t="shared" si="50"/>
        <v>0</v>
      </c>
      <c r="AA70" s="227">
        <f t="shared" si="50"/>
        <v>0</v>
      </c>
      <c r="AB70" s="227">
        <f t="shared" si="50"/>
        <v>0</v>
      </c>
    </row>
    <row r="71" spans="1:32" ht="14" x14ac:dyDescent="0.2">
      <c r="A71" s="3"/>
      <c r="B71" s="209" t="s">
        <v>358</v>
      </c>
      <c r="C71" s="252"/>
      <c r="D71" s="227">
        <f>IF(OR(Owner_is_Taxpayer_Non_Taxpayer?="Non-Taxpayer",Tax_Efficient_Status?="Not Efficient"),0,D52)</f>
        <v>0</v>
      </c>
      <c r="E71" s="227"/>
      <c r="F71" s="227"/>
      <c r="G71" s="227"/>
      <c r="H71" s="227"/>
      <c r="I71" s="227"/>
      <c r="J71" s="227"/>
      <c r="K71" s="227"/>
      <c r="L71" s="227"/>
      <c r="M71" s="227"/>
      <c r="N71" s="227"/>
      <c r="O71" s="227"/>
      <c r="P71" s="227"/>
      <c r="Q71" s="227"/>
      <c r="R71" s="227"/>
      <c r="S71" s="227"/>
      <c r="T71" s="227"/>
      <c r="U71" s="227"/>
      <c r="V71" s="227"/>
      <c r="W71" s="227"/>
      <c r="X71" s="227"/>
      <c r="Y71" s="227"/>
      <c r="Z71" s="227"/>
      <c r="AA71" s="227"/>
      <c r="AB71" s="227"/>
    </row>
    <row r="72" spans="1:32" ht="15" thickBot="1" x14ac:dyDescent="0.25">
      <c r="A72" s="3"/>
      <c r="B72" s="209" t="s">
        <v>206</v>
      </c>
      <c r="C72" s="252"/>
      <c r="D72" s="246">
        <f t="shared" ref="D72:AB72" si="51">IF(OR(Owner_is_Taxpayer_Non_Taxpayer?="Taxpayer",Tax_Efficient_Status?="State &amp; Federal"),D117*State_Income_Tax_Rate*(1-Taxpayer_Marginal_Rate),0)</f>
        <v>7030.1254555684891</v>
      </c>
      <c r="E72" s="246">
        <f t="shared" si="51"/>
        <v>13743.378310728758</v>
      </c>
      <c r="F72" s="246">
        <f t="shared" si="51"/>
        <v>6404.4328856387256</v>
      </c>
      <c r="G72" s="246">
        <f t="shared" si="51"/>
        <v>1964.5080940577423</v>
      </c>
      <c r="H72" s="246">
        <f t="shared" si="51"/>
        <v>1873.9441750900332</v>
      </c>
      <c r="I72" s="246">
        <f t="shared" si="51"/>
        <v>0</v>
      </c>
      <c r="J72" s="246">
        <f t="shared" si="51"/>
        <v>0</v>
      </c>
      <c r="K72" s="246">
        <f t="shared" si="51"/>
        <v>0</v>
      </c>
      <c r="L72" s="246">
        <f t="shared" si="51"/>
        <v>0</v>
      </c>
      <c r="M72" s="246">
        <f t="shared" si="51"/>
        <v>0</v>
      </c>
      <c r="N72" s="246">
        <f t="shared" si="51"/>
        <v>0</v>
      </c>
      <c r="O72" s="246">
        <f t="shared" si="51"/>
        <v>0</v>
      </c>
      <c r="P72" s="246">
        <f t="shared" si="51"/>
        <v>0</v>
      </c>
      <c r="Q72" s="246">
        <f t="shared" si="51"/>
        <v>0</v>
      </c>
      <c r="R72" s="246">
        <f t="shared" si="51"/>
        <v>0</v>
      </c>
      <c r="S72" s="246">
        <f t="shared" si="51"/>
        <v>0</v>
      </c>
      <c r="T72" s="246">
        <f t="shared" si="51"/>
        <v>0</v>
      </c>
      <c r="U72" s="246">
        <f t="shared" si="51"/>
        <v>0</v>
      </c>
      <c r="V72" s="246">
        <f t="shared" si="51"/>
        <v>0</v>
      </c>
      <c r="W72" s="246">
        <f t="shared" si="51"/>
        <v>0</v>
      </c>
      <c r="X72" s="246">
        <f t="shared" si="51"/>
        <v>0</v>
      </c>
      <c r="Y72" s="246">
        <f t="shared" si="51"/>
        <v>0</v>
      </c>
      <c r="Z72" s="246">
        <f t="shared" si="51"/>
        <v>0</v>
      </c>
      <c r="AA72" s="246">
        <f t="shared" si="51"/>
        <v>0</v>
      </c>
      <c r="AB72" s="246">
        <f t="shared" si="51"/>
        <v>0</v>
      </c>
    </row>
    <row r="73" spans="1:32" ht="15" thickTop="1" x14ac:dyDescent="0.2">
      <c r="A73" s="3"/>
      <c r="B73" s="232" t="s">
        <v>106</v>
      </c>
      <c r="C73" s="252"/>
      <c r="D73" s="227">
        <f>SUM(D69:D72)</f>
        <v>1094235.1384521194</v>
      </c>
      <c r="E73" s="227">
        <f t="shared" ref="E73:V73" si="52">SUM(E69:E72)</f>
        <v>159875.50212100922</v>
      </c>
      <c r="F73" s="227">
        <f t="shared" si="52"/>
        <v>74502.200277240365</v>
      </c>
      <c r="G73" s="227">
        <f t="shared" si="52"/>
        <v>22852.948587836265</v>
      </c>
      <c r="H73" s="227">
        <f t="shared" si="52"/>
        <v>21799.426543135956</v>
      </c>
      <c r="I73" s="227">
        <f t="shared" si="52"/>
        <v>0</v>
      </c>
      <c r="J73" s="227">
        <f t="shared" si="52"/>
        <v>0</v>
      </c>
      <c r="K73" s="227">
        <f t="shared" si="52"/>
        <v>0</v>
      </c>
      <c r="L73" s="227">
        <f t="shared" si="52"/>
        <v>0</v>
      </c>
      <c r="M73" s="227">
        <f t="shared" si="52"/>
        <v>0</v>
      </c>
      <c r="N73" s="227">
        <f t="shared" si="52"/>
        <v>0</v>
      </c>
      <c r="O73" s="227">
        <f t="shared" si="52"/>
        <v>0</v>
      </c>
      <c r="P73" s="227">
        <f t="shared" si="52"/>
        <v>0</v>
      </c>
      <c r="Q73" s="227">
        <f t="shared" si="52"/>
        <v>0</v>
      </c>
      <c r="R73" s="227">
        <f t="shared" si="52"/>
        <v>0</v>
      </c>
      <c r="S73" s="227">
        <f t="shared" si="52"/>
        <v>0</v>
      </c>
      <c r="T73" s="227">
        <f t="shared" si="52"/>
        <v>0</v>
      </c>
      <c r="U73" s="227">
        <f t="shared" si="52"/>
        <v>0</v>
      </c>
      <c r="V73" s="227">
        <f t="shared" si="52"/>
        <v>0</v>
      </c>
      <c r="W73" s="227">
        <f t="shared" ref="W73:AB73" si="53">SUM(W69:W72)</f>
        <v>0</v>
      </c>
      <c r="X73" s="227">
        <f t="shared" si="53"/>
        <v>0</v>
      </c>
      <c r="Y73" s="227">
        <f t="shared" si="53"/>
        <v>0</v>
      </c>
      <c r="Z73" s="227">
        <f t="shared" si="53"/>
        <v>0</v>
      </c>
      <c r="AA73" s="227">
        <f t="shared" si="53"/>
        <v>0</v>
      </c>
      <c r="AB73" s="227">
        <f t="shared" si="53"/>
        <v>0</v>
      </c>
    </row>
    <row r="74" spans="1:32" ht="14" x14ac:dyDescent="0.2">
      <c r="A74" s="3"/>
      <c r="B74" s="232"/>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1:32" ht="14" x14ac:dyDescent="0.2">
      <c r="A75" s="3"/>
      <c r="B75" s="232" t="s">
        <v>451</v>
      </c>
      <c r="C75" s="252"/>
      <c r="D75" s="227">
        <f>IF(Project_Debt?="Yes",-Unstructured!D100,0)</f>
        <v>0</v>
      </c>
      <c r="E75" s="227">
        <f>IF(Project_Debt?="Yes",-Unstructured!E100,0)</f>
        <v>0</v>
      </c>
      <c r="F75" s="227">
        <f>IF(Project_Debt?="Yes",-Unstructured!F100,0)</f>
        <v>0</v>
      </c>
      <c r="G75" s="227">
        <f>IF(Project_Debt?="Yes",-Unstructured!G100,0)</f>
        <v>0</v>
      </c>
      <c r="H75" s="227">
        <f>IF(Project_Debt?="Yes",-Unstructured!H100,0)</f>
        <v>0</v>
      </c>
      <c r="I75" s="227">
        <f>IF(Project_Debt?="Yes",-Unstructured!I100,0)</f>
        <v>0</v>
      </c>
      <c r="J75" s="227">
        <f>IF(Project_Debt?="Yes",-Unstructured!J100,0)</f>
        <v>0</v>
      </c>
      <c r="K75" s="227">
        <f>IF(Project_Debt?="Yes",-Unstructured!K100,0)</f>
        <v>0</v>
      </c>
      <c r="L75" s="227">
        <f>IF(Project_Debt?="Yes",-Unstructured!L100,0)</f>
        <v>0</v>
      </c>
      <c r="M75" s="227">
        <f>IF(Project_Debt?="Yes",-Unstructured!M100,0)</f>
        <v>0</v>
      </c>
      <c r="N75" s="227">
        <f>IF(Project_Debt?="Yes",-Unstructured!N100,0)</f>
        <v>0</v>
      </c>
      <c r="O75" s="227">
        <f>IF(Project_Debt?="Yes",-Unstructured!O100,0)</f>
        <v>0</v>
      </c>
      <c r="P75" s="227">
        <f>IF(Project_Debt?="Yes",-Unstructured!P100,0)</f>
        <v>0</v>
      </c>
      <c r="Q75" s="227">
        <f>IF(Project_Debt?="Yes",-Unstructured!Q100,0)</f>
        <v>0</v>
      </c>
      <c r="R75" s="227">
        <f>IF(Project_Debt?="Yes",-Unstructured!R100,0)</f>
        <v>0</v>
      </c>
      <c r="S75" s="227">
        <f>IF(Project_Debt?="Yes",-Unstructured!S100,0)</f>
        <v>0</v>
      </c>
      <c r="T75" s="227">
        <f>IF(Project_Debt?="Yes",-Unstructured!T100,0)</f>
        <v>0</v>
      </c>
      <c r="U75" s="227">
        <f>IF(Project_Debt?="Yes",-Unstructured!U100,0)</f>
        <v>0</v>
      </c>
      <c r="V75" s="227">
        <f>IF(Project_Debt?="Yes",-Unstructured!V100,0)</f>
        <v>0</v>
      </c>
      <c r="W75" s="227">
        <f>IF(Project_Debt?="Yes",-Unstructured!W100,0)</f>
        <v>0</v>
      </c>
      <c r="X75" s="227">
        <f>IF(Project_Debt?="Yes",-Unstructured!X100,0)</f>
        <v>0</v>
      </c>
      <c r="Y75" s="227">
        <f>IF(Project_Debt?="Yes",-Unstructured!Y100,0)</f>
        <v>0</v>
      </c>
      <c r="Z75" s="227">
        <f>IF(Project_Debt?="Yes",-Unstructured!Z100,0)</f>
        <v>0</v>
      </c>
      <c r="AA75" s="227">
        <f>IF(Project_Debt?="Yes",-Unstructured!AA100,0)</f>
        <v>0</v>
      </c>
      <c r="AB75" s="227">
        <f>IF(Project_Debt?="Yes",-Unstructured!AB100,0)</f>
        <v>0</v>
      </c>
    </row>
    <row r="76" spans="1:32" ht="14" x14ac:dyDescent="0.2">
      <c r="A76" s="3"/>
      <c r="B76" s="232" t="s">
        <v>452</v>
      </c>
      <c r="C76" s="252"/>
      <c r="D76" s="227">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7">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7">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7">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7">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7">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7">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7">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7">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7">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7">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7">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7">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7">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7">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7">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7">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7">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7">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7">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7">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7">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7">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7">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7">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2" t="s">
        <v>453</v>
      </c>
      <c r="C77" s="227"/>
      <c r="D77" s="227">
        <f>IF(AND(Tax_Credit_Selector_ITC_or_PTC="PTC",COUNTIF($C$77:$C77,"&gt;0")&lt;PTC_Term_in_Years),D22*D23,0)</f>
        <v>0</v>
      </c>
      <c r="E77" s="227">
        <f>IF(AND(Tax_Credit_Selector_ITC_or_PTC="PTC",COUNTIF($C$77:$C77,"&gt;0")&lt;PTC_Term_in_Years),E22*E23,0)</f>
        <v>0</v>
      </c>
      <c r="F77" s="227">
        <f>IF(AND(Tax_Credit_Selector_ITC_or_PTC="PTC",COUNTIF($C$77:$C77,"&gt;0")&lt;PTC_Term_in_Years),F22*F23,0)</f>
        <v>0</v>
      </c>
      <c r="G77" s="227">
        <f>IF(AND(Tax_Credit_Selector_ITC_or_PTC="PTC",COUNTIF($C$77:$C77,"&gt;0")&lt;PTC_Term_in_Years),G22*G23,0)</f>
        <v>0</v>
      </c>
      <c r="H77" s="227">
        <f>IF(AND(Tax_Credit_Selector_ITC_or_PTC="PTC",COUNTIF($C$77:$C77,"&gt;0")&lt;PTC_Term_in_Years),H22*H23,0)</f>
        <v>0</v>
      </c>
      <c r="I77" s="227">
        <f>IF(AND(Tax_Credit_Selector_ITC_or_PTC="PTC",COUNTIF($C$77:$C77,"&gt;0")&lt;PTC_Term_in_Years),I22*I23,0)</f>
        <v>0</v>
      </c>
      <c r="J77" s="227">
        <f>IF(AND(Tax_Credit_Selector_ITC_or_PTC="PTC",COUNTIF($C$77:$C77,"&gt;0")&lt;PTC_Term_in_Years),J22*J23,0)</f>
        <v>0</v>
      </c>
      <c r="K77" s="227">
        <f>IF(AND(Tax_Credit_Selector_ITC_or_PTC="PTC",COUNTIF($C$77:$C77,"&gt;0")&lt;PTC_Term_in_Years),K22*K23,0)</f>
        <v>0</v>
      </c>
      <c r="L77" s="227">
        <f>IF(AND(Tax_Credit_Selector_ITC_or_PTC="PTC",COUNTIF($C$77:$C77,"&gt;0")&lt;PTC_Term_in_Years),L22*L23,0)</f>
        <v>0</v>
      </c>
      <c r="M77" s="227">
        <f>IF(AND(Tax_Credit_Selector_ITC_or_PTC="PTC",COUNTIF($C$77:$C77,"&gt;0")&lt;PTC_Term_in_Years),M22*M23,0)</f>
        <v>0</v>
      </c>
      <c r="N77" s="227">
        <f>IF(AND(Tax_Credit_Selector_ITC_or_PTC="PTC",COUNTIF($C$77:$C77,"&gt;0")&lt;PTC_Term_in_Years),N22*N23,0)</f>
        <v>0</v>
      </c>
      <c r="O77" s="227">
        <f>IF(AND(Tax_Credit_Selector_ITC_or_PTC="PTC",COUNTIF($C$77:$C77,"&gt;0")&lt;PTC_Term_in_Years),O22*O23,0)</f>
        <v>0</v>
      </c>
      <c r="P77" s="227">
        <f>IF(AND(Tax_Credit_Selector_ITC_or_PTC="PTC",COUNTIF($C$77:$C77,"&gt;0")&lt;PTC_Term_in_Years),P22*P23,0)</f>
        <v>0</v>
      </c>
      <c r="Q77" s="227">
        <f>IF(AND(Tax_Credit_Selector_ITC_or_PTC="PTC",COUNTIF($C$77:$C77,"&gt;0")&lt;PTC_Term_in_Years),Q22*Q23,0)</f>
        <v>0</v>
      </c>
      <c r="R77" s="227">
        <f>IF(AND(Tax_Credit_Selector_ITC_or_PTC="PTC",COUNTIF($C$77:$C77,"&gt;0")&lt;PTC_Term_in_Years),R22*R23,0)</f>
        <v>0</v>
      </c>
      <c r="S77" s="227">
        <f>IF(AND(Tax_Credit_Selector_ITC_or_PTC="PTC",COUNTIF($C$77:$C77,"&gt;0")&lt;PTC_Term_in_Years),S22*S23,0)</f>
        <v>0</v>
      </c>
      <c r="T77" s="227">
        <f>IF(AND(Tax_Credit_Selector_ITC_or_PTC="PTC",COUNTIF($C$77:$C77,"&gt;0")&lt;PTC_Term_in_Years),T22*T23,0)</f>
        <v>0</v>
      </c>
      <c r="U77" s="227">
        <f>IF(AND(Tax_Credit_Selector_ITC_or_PTC="PTC",COUNTIF($C$77:$C77,"&gt;0")&lt;PTC_Term_in_Years),U22*U23,0)</f>
        <v>0</v>
      </c>
      <c r="V77" s="227">
        <f>IF(AND(Tax_Credit_Selector_ITC_or_PTC="PTC",COUNTIF($C$77:$C77,"&gt;0")&lt;PTC_Term_in_Years),V22*V23,0)</f>
        <v>0</v>
      </c>
      <c r="W77" s="227">
        <f>IF(AND(Tax_Credit_Selector_ITC_or_PTC="PTC",COUNTIF($C$77:$C77,"&gt;0")&lt;PTC_Term_in_Years),W22*W23,0)</f>
        <v>0</v>
      </c>
      <c r="X77" s="227">
        <f>IF(AND(Tax_Credit_Selector_ITC_or_PTC="PTC",COUNTIF($C$77:$C77,"&gt;0")&lt;PTC_Term_in_Years),X22*X23,0)</f>
        <v>0</v>
      </c>
      <c r="Y77" s="227">
        <f>IF(AND(Tax_Credit_Selector_ITC_or_PTC="PTC",COUNTIF($C$77:$C77,"&gt;0")&lt;PTC_Term_in_Years),Y22*Y23,0)</f>
        <v>0</v>
      </c>
      <c r="Z77" s="227">
        <f>IF(AND(Tax_Credit_Selector_ITC_or_PTC="PTC",COUNTIF($C$77:$C77,"&gt;0")&lt;PTC_Term_in_Years),Z22*Z23,0)</f>
        <v>0</v>
      </c>
      <c r="AA77" s="227">
        <f>IF(AND(Tax_Credit_Selector_ITC_or_PTC="PTC",COUNTIF($C$77:$C77,"&gt;0")&lt;PTC_Term_in_Years),AA22*AA23,0)</f>
        <v>0</v>
      </c>
      <c r="AB77" s="227">
        <f>IF(AND(Tax_Credit_Selector_ITC_or_PTC="PTC",COUNTIF($C$77:$C77,"&gt;0")&lt;PTC_Term_in_Years),AB22*AB23,0)</f>
        <v>0</v>
      </c>
    </row>
    <row r="78" spans="1:32" ht="15" thickBot="1" x14ac:dyDescent="0.25">
      <c r="A78" s="3"/>
      <c r="B78" s="232"/>
      <c r="C78" s="252"/>
      <c r="D78" s="227"/>
      <c r="E78" s="227"/>
      <c r="F78" s="227"/>
      <c r="G78" s="227"/>
      <c r="H78" s="227"/>
      <c r="I78" s="227"/>
      <c r="J78" s="227"/>
      <c r="K78" s="227"/>
      <c r="L78" s="227"/>
      <c r="M78" s="227"/>
      <c r="N78" s="227"/>
      <c r="O78" s="227"/>
      <c r="P78" s="227"/>
      <c r="Q78" s="227"/>
      <c r="R78" s="227"/>
      <c r="S78" s="227"/>
      <c r="T78" s="227"/>
      <c r="U78" s="227"/>
      <c r="V78" s="227"/>
      <c r="W78" s="227"/>
      <c r="X78" s="227"/>
      <c r="Y78" s="227"/>
      <c r="Z78" s="227"/>
      <c r="AA78" s="227"/>
      <c r="AB78" s="227"/>
    </row>
    <row r="79" spans="1:32" ht="15" thickBot="1" x14ac:dyDescent="0.25">
      <c r="A79" s="3"/>
      <c r="B79" s="232" t="s">
        <v>169</v>
      </c>
      <c r="C79" s="252"/>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c r="AB79" s="227"/>
      <c r="AD79" s="548" t="s">
        <v>459</v>
      </c>
      <c r="AE79" s="549"/>
      <c r="AF79" s="550"/>
    </row>
    <row r="80" spans="1:32" ht="14" customHeight="1" thickBot="1" x14ac:dyDescent="0.25">
      <c r="A80" s="3"/>
      <c r="B80" s="209" t="s">
        <v>233</v>
      </c>
      <c r="C80" s="246">
        <f>-Project_Net_Investment</f>
        <v>-3675120.790361709</v>
      </c>
      <c r="D80" s="246">
        <f>(D62+D46+SUM(D75:D77))</f>
        <v>217768.39083570923</v>
      </c>
      <c r="E80" s="246">
        <f t="shared" ref="E80:AA80" si="54">(E62+E46+SUM(E75:E77))</f>
        <v>222091.31992856902</v>
      </c>
      <c r="F80" s="246">
        <f>(F62+F46+SUM(F75:F77))</f>
        <v>226500.0628836492</v>
      </c>
      <c r="G80" s="246">
        <f t="shared" si="54"/>
        <v>230996.32316439168</v>
      </c>
      <c r="H80" s="246">
        <f t="shared" si="54"/>
        <v>235581.83804883267</v>
      </c>
      <c r="I80" s="246">
        <f t="shared" si="54"/>
        <v>223021.19357389404</v>
      </c>
      <c r="J80" s="246">
        <f t="shared" si="54"/>
        <v>188732.62740653023</v>
      </c>
      <c r="K80" s="246">
        <f t="shared" si="54"/>
        <v>192479.16242613189</v>
      </c>
      <c r="L80" s="246">
        <f t="shared" si="54"/>
        <v>196300.06931024609</v>
      </c>
      <c r="M80" s="246">
        <f t="shared" si="54"/>
        <v>200196.8243892999</v>
      </c>
      <c r="N80" s="246">
        <f t="shared" si="54"/>
        <v>204170.93329958024</v>
      </c>
      <c r="O80" s="246">
        <f t="shared" si="54"/>
        <v>208223.93156496331</v>
      </c>
      <c r="P80" s="246">
        <f t="shared" si="54"/>
        <v>212357.38519019177</v>
      </c>
      <c r="Q80" s="246">
        <f t="shared" si="54"/>
        <v>216572.8912659293</v>
      </c>
      <c r="R80" s="246">
        <f t="shared" si="54"/>
        <v>220872.07858582365</v>
      </c>
      <c r="S80" s="246">
        <f t="shared" si="54"/>
        <v>225256.60827582068</v>
      </c>
      <c r="T80" s="246">
        <f t="shared" si="54"/>
        <v>229728.17443596837</v>
      </c>
      <c r="U80" s="246">
        <f t="shared" si="54"/>
        <v>234288.50479496238</v>
      </c>
      <c r="V80" s="246">
        <f t="shared" si="54"/>
        <v>238939.36137768297</v>
      </c>
      <c r="W80" s="246">
        <f t="shared" si="54"/>
        <v>243682.54118598354</v>
      </c>
      <c r="X80" s="246">
        <f t="shared" si="54"/>
        <v>248519.87689299247</v>
      </c>
      <c r="Y80" s="246">
        <f t="shared" si="54"/>
        <v>253453.23755119691</v>
      </c>
      <c r="Z80" s="246">
        <f t="shared" si="54"/>
        <v>258484.52931458229</v>
      </c>
      <c r="AA80" s="246">
        <f t="shared" si="54"/>
        <v>263615.69617510622</v>
      </c>
      <c r="AB80" s="440">
        <f>((AB62+AB46+SUM(AB75:AB77))+IF(Termination_Value_OnOff="On",INDEX(Termination_Value_Table_End_of_Term,2,MATCH(Termination_Value_Percentage,Dashboard!C72:E72,0)),0))</f>
        <v>820116.83926804713</v>
      </c>
      <c r="AD80" s="551"/>
      <c r="AE80" s="552"/>
      <c r="AF80" s="553"/>
    </row>
    <row r="81" spans="1:32" ht="16" thickTop="1" thickBot="1" x14ac:dyDescent="0.25">
      <c r="A81" s="3"/>
      <c r="B81" s="209" t="s">
        <v>165</v>
      </c>
      <c r="C81" s="227">
        <f>C80</f>
        <v>-3675120.790361709</v>
      </c>
      <c r="D81" s="227">
        <f t="shared" ref="D81:V81" si="55">C81+D80</f>
        <v>-3457352.3995259996</v>
      </c>
      <c r="E81" s="227">
        <f t="shared" si="55"/>
        <v>-3235261.0795974303</v>
      </c>
      <c r="F81" s="227">
        <f t="shared" si="55"/>
        <v>-3008761.0167137813</v>
      </c>
      <c r="G81" s="227">
        <f t="shared" si="55"/>
        <v>-2777764.6935493895</v>
      </c>
      <c r="H81" s="227">
        <f t="shared" si="55"/>
        <v>-2542182.855500557</v>
      </c>
      <c r="I81" s="227">
        <f t="shared" si="55"/>
        <v>-2319161.661926663</v>
      </c>
      <c r="J81" s="227">
        <f t="shared" si="55"/>
        <v>-2130429.0345201329</v>
      </c>
      <c r="K81" s="227">
        <f t="shared" si="55"/>
        <v>-1937949.8720940012</v>
      </c>
      <c r="L81" s="227">
        <f t="shared" si="55"/>
        <v>-1741649.8027837551</v>
      </c>
      <c r="M81" s="227">
        <f t="shared" si="55"/>
        <v>-1541452.9783944553</v>
      </c>
      <c r="N81" s="227">
        <f t="shared" si="55"/>
        <v>-1337282.0450948752</v>
      </c>
      <c r="O81" s="227">
        <f t="shared" si="55"/>
        <v>-1129058.1135299117</v>
      </c>
      <c r="P81" s="227">
        <f t="shared" si="55"/>
        <v>-916700.72833971994</v>
      </c>
      <c r="Q81" s="227">
        <f t="shared" si="55"/>
        <v>-700127.83707379061</v>
      </c>
      <c r="R81" s="227">
        <f t="shared" si="55"/>
        <v>-479255.75848796696</v>
      </c>
      <c r="S81" s="227">
        <f t="shared" si="55"/>
        <v>-253999.15021214628</v>
      </c>
      <c r="T81" s="227">
        <f t="shared" si="55"/>
        <v>-24270.975776177918</v>
      </c>
      <c r="U81" s="227">
        <f t="shared" si="55"/>
        <v>210017.52901878447</v>
      </c>
      <c r="V81" s="227">
        <f t="shared" si="55"/>
        <v>448956.89039646741</v>
      </c>
      <c r="W81" s="227">
        <f t="shared" ref="W81:AB81" si="56">V81+W80</f>
        <v>692639.43158245098</v>
      </c>
      <c r="X81" s="227">
        <f t="shared" si="56"/>
        <v>941159.30847544339</v>
      </c>
      <c r="Y81" s="227">
        <f t="shared" si="56"/>
        <v>1194612.5460266403</v>
      </c>
      <c r="Z81" s="227">
        <f t="shared" si="56"/>
        <v>1453097.0753412226</v>
      </c>
      <c r="AA81" s="227">
        <f t="shared" si="56"/>
        <v>1716712.7715163287</v>
      </c>
      <c r="AB81" s="227">
        <f t="shared" si="56"/>
        <v>2536829.610784376</v>
      </c>
      <c r="AD81" s="554"/>
      <c r="AE81" s="555"/>
      <c r="AF81" s="556"/>
    </row>
    <row r="82" spans="1:32" ht="14" x14ac:dyDescent="0.2">
      <c r="A82" s="3"/>
      <c r="B82" s="209" t="s">
        <v>166</v>
      </c>
      <c r="C82" s="227">
        <f>NPV(Investor_Discount_Rate,D80:AB80)+C80</f>
        <v>-861873.05671545584</v>
      </c>
      <c r="D82" s="227"/>
      <c r="E82" s="227"/>
      <c r="F82" s="227"/>
      <c r="G82" s="227"/>
      <c r="H82" s="227"/>
      <c r="I82" s="227"/>
      <c r="J82" s="227"/>
      <c r="K82" s="227"/>
      <c r="L82" s="227"/>
      <c r="M82" s="227"/>
      <c r="N82" s="227"/>
      <c r="O82" s="227"/>
      <c r="P82" s="227"/>
      <c r="Q82" s="227"/>
      <c r="R82" s="227"/>
      <c r="S82" s="227"/>
      <c r="T82" s="227"/>
      <c r="U82" s="227"/>
      <c r="V82" s="227"/>
      <c r="W82" s="227"/>
      <c r="X82" s="227"/>
      <c r="Y82" s="227"/>
      <c r="Z82" s="227"/>
      <c r="AA82" s="227"/>
      <c r="AB82" s="227"/>
    </row>
    <row r="83" spans="1:32" ht="14" x14ac:dyDescent="0.2">
      <c r="A83" s="3"/>
      <c r="B83" s="209" t="s">
        <v>167</v>
      </c>
      <c r="C83" s="254">
        <f>IRR(C80:AB80)</f>
        <v>4.0310784414732792E-2</v>
      </c>
      <c r="D83" s="245"/>
      <c r="E83" s="245"/>
      <c r="F83" s="245"/>
      <c r="G83" s="245"/>
      <c r="H83" s="245"/>
      <c r="I83" s="245"/>
      <c r="J83" s="245"/>
      <c r="K83" s="245"/>
      <c r="L83" s="245"/>
      <c r="M83" s="245"/>
      <c r="N83" s="245"/>
      <c r="O83" s="245"/>
      <c r="P83" s="245"/>
      <c r="Q83" s="245"/>
      <c r="R83" s="245"/>
      <c r="S83" s="245"/>
      <c r="T83" s="245"/>
      <c r="U83" s="245"/>
      <c r="V83" s="245"/>
      <c r="W83" s="245"/>
      <c r="X83" s="245"/>
      <c r="Y83" s="245"/>
      <c r="Z83" s="245"/>
      <c r="AA83" s="245"/>
      <c r="AB83" s="245"/>
    </row>
    <row r="84" spans="1:32" ht="14" x14ac:dyDescent="0.2">
      <c r="A84" s="3"/>
      <c r="B84" s="209" t="s">
        <v>198</v>
      </c>
      <c r="C84" s="255" t="str">
        <f>IF(SUM(D84:AB84)&gt;0,"Fail","Pass")</f>
        <v>Pass</v>
      </c>
      <c r="D84" s="240">
        <f t="shared" ref="D84:V84" si="57">IF(D80&gt;0,0,1)</f>
        <v>0</v>
      </c>
      <c r="E84" s="240">
        <f t="shared" si="57"/>
        <v>0</v>
      </c>
      <c r="F84" s="240">
        <f>IF(F80&gt;0,0,1)</f>
        <v>0</v>
      </c>
      <c r="G84" s="240">
        <f t="shared" si="57"/>
        <v>0</v>
      </c>
      <c r="H84" s="240">
        <f t="shared" si="57"/>
        <v>0</v>
      </c>
      <c r="I84" s="240">
        <f t="shared" si="57"/>
        <v>0</v>
      </c>
      <c r="J84" s="240">
        <f t="shared" si="57"/>
        <v>0</v>
      </c>
      <c r="K84" s="240">
        <f t="shared" si="57"/>
        <v>0</v>
      </c>
      <c r="L84" s="240">
        <f t="shared" si="57"/>
        <v>0</v>
      </c>
      <c r="M84" s="240">
        <f t="shared" si="57"/>
        <v>0</v>
      </c>
      <c r="N84" s="240">
        <f t="shared" si="57"/>
        <v>0</v>
      </c>
      <c r="O84" s="240">
        <f t="shared" si="57"/>
        <v>0</v>
      </c>
      <c r="P84" s="240">
        <f t="shared" si="57"/>
        <v>0</v>
      </c>
      <c r="Q84" s="240">
        <f t="shared" si="57"/>
        <v>0</v>
      </c>
      <c r="R84" s="240">
        <f t="shared" si="57"/>
        <v>0</v>
      </c>
      <c r="S84" s="240">
        <f t="shared" si="57"/>
        <v>0</v>
      </c>
      <c r="T84" s="240">
        <f t="shared" si="57"/>
        <v>0</v>
      </c>
      <c r="U84" s="240">
        <f t="shared" si="57"/>
        <v>0</v>
      </c>
      <c r="V84" s="240">
        <f t="shared" si="57"/>
        <v>0</v>
      </c>
      <c r="W84" s="240">
        <f t="shared" ref="W84:AB84" si="58">IF(W80&gt;0,0,1)</f>
        <v>0</v>
      </c>
      <c r="X84" s="240">
        <f t="shared" si="58"/>
        <v>0</v>
      </c>
      <c r="Y84" s="240">
        <f t="shared" si="58"/>
        <v>0</v>
      </c>
      <c r="Z84" s="240">
        <f t="shared" si="58"/>
        <v>0</v>
      </c>
      <c r="AA84" s="240">
        <f t="shared" si="58"/>
        <v>0</v>
      </c>
      <c r="AB84" s="240">
        <f t="shared" si="58"/>
        <v>0</v>
      </c>
    </row>
    <row r="85" spans="1:32" ht="15" thickBot="1" x14ac:dyDescent="0.25">
      <c r="A85" s="3"/>
      <c r="B85" s="209"/>
      <c r="C85" s="254"/>
      <c r="D85" s="227"/>
      <c r="E85" s="227"/>
      <c r="F85" s="227"/>
      <c r="G85" s="227"/>
      <c r="H85" s="227"/>
      <c r="I85" s="227"/>
      <c r="J85" s="227"/>
      <c r="K85" s="227"/>
      <c r="L85" s="227"/>
      <c r="M85" s="227"/>
      <c r="N85" s="227"/>
      <c r="O85" s="227"/>
      <c r="P85" s="227"/>
      <c r="Q85" s="227"/>
      <c r="R85" s="227"/>
      <c r="S85" s="227"/>
      <c r="T85" s="227"/>
      <c r="U85" s="227"/>
      <c r="V85" s="227"/>
      <c r="W85" s="227"/>
      <c r="X85" s="227"/>
      <c r="Y85" s="227"/>
      <c r="Z85" s="227"/>
      <c r="AA85" s="227"/>
      <c r="AB85" s="227"/>
    </row>
    <row r="86" spans="1:32" ht="15" thickBot="1" x14ac:dyDescent="0.25">
      <c r="A86" s="3"/>
      <c r="B86" s="232" t="s">
        <v>203</v>
      </c>
      <c r="C86" s="252"/>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c r="AB86" s="227"/>
      <c r="AD86" s="548" t="s">
        <v>459</v>
      </c>
      <c r="AE86" s="549"/>
      <c r="AF86" s="550"/>
    </row>
    <row r="87" spans="1:32" ht="14" customHeight="1" thickBot="1" x14ac:dyDescent="0.25">
      <c r="A87" s="3"/>
      <c r="B87" s="209" t="s">
        <v>288</v>
      </c>
      <c r="C87" s="246">
        <f>-Project_Net_Investment</f>
        <v>-3675120.790361709</v>
      </c>
      <c r="D87" s="246">
        <f t="shared" ref="D87:AA87" si="59">(D62+D46+D73+SUM(D75:D77))</f>
        <v>1312003.5292878286</v>
      </c>
      <c r="E87" s="246">
        <f t="shared" si="59"/>
        <v>381966.82204957824</v>
      </c>
      <c r="F87" s="246">
        <f t="shared" si="59"/>
        <v>301002.26316088956</v>
      </c>
      <c r="G87" s="246">
        <f t="shared" si="59"/>
        <v>253849.27175222794</v>
      </c>
      <c r="H87" s="246">
        <f t="shared" si="59"/>
        <v>257381.26459196862</v>
      </c>
      <c r="I87" s="246">
        <f t="shared" si="59"/>
        <v>223021.19357389404</v>
      </c>
      <c r="J87" s="246">
        <f t="shared" si="59"/>
        <v>188732.62740653023</v>
      </c>
      <c r="K87" s="246">
        <f t="shared" si="59"/>
        <v>192479.16242613189</v>
      </c>
      <c r="L87" s="246">
        <f t="shared" si="59"/>
        <v>196300.06931024609</v>
      </c>
      <c r="M87" s="246">
        <f t="shared" si="59"/>
        <v>200196.8243892999</v>
      </c>
      <c r="N87" s="246">
        <f t="shared" si="59"/>
        <v>204170.93329958024</v>
      </c>
      <c r="O87" s="246">
        <f t="shared" si="59"/>
        <v>208223.93156496331</v>
      </c>
      <c r="P87" s="246">
        <f t="shared" si="59"/>
        <v>212357.38519019177</v>
      </c>
      <c r="Q87" s="246">
        <f t="shared" si="59"/>
        <v>216572.8912659293</v>
      </c>
      <c r="R87" s="246">
        <f t="shared" si="59"/>
        <v>220872.07858582365</v>
      </c>
      <c r="S87" s="246">
        <f t="shared" si="59"/>
        <v>225256.60827582068</v>
      </c>
      <c r="T87" s="246">
        <f t="shared" si="59"/>
        <v>229728.17443596837</v>
      </c>
      <c r="U87" s="246">
        <f t="shared" si="59"/>
        <v>234288.50479496238</v>
      </c>
      <c r="V87" s="246">
        <f t="shared" si="59"/>
        <v>238939.36137768297</v>
      </c>
      <c r="W87" s="246">
        <f t="shared" si="59"/>
        <v>243682.54118598354</v>
      </c>
      <c r="X87" s="246">
        <f t="shared" si="59"/>
        <v>248519.87689299247</v>
      </c>
      <c r="Y87" s="246">
        <f t="shared" si="59"/>
        <v>253453.23755119691</v>
      </c>
      <c r="Z87" s="246">
        <f t="shared" si="59"/>
        <v>258484.52931458229</v>
      </c>
      <c r="AA87" s="246">
        <f t="shared" si="59"/>
        <v>263615.69617510622</v>
      </c>
      <c r="AB87" s="440">
        <f>((AB62+AB46+AB73++SUM(AB75:AB77))-AB75)++IF(Termination_Value_OnOff="On",INDEX(Termination_Value_Table_End_of_Term,2,MATCH(Termination_Value_Percentage,Dashboard!C72:E72,0)),0)</f>
        <v>820116.83926804713</v>
      </c>
      <c r="AD87" s="551"/>
      <c r="AE87" s="552"/>
      <c r="AF87" s="553"/>
    </row>
    <row r="88" spans="1:32" ht="16" thickTop="1" thickBot="1" x14ac:dyDescent="0.25">
      <c r="A88" s="3"/>
      <c r="B88" s="209" t="s">
        <v>51</v>
      </c>
      <c r="C88" s="227">
        <f>C87</f>
        <v>-3675120.790361709</v>
      </c>
      <c r="D88" s="227">
        <f t="shared" ref="D88:V88" si="60">C88+D87</f>
        <v>-2363117.2610738804</v>
      </c>
      <c r="E88" s="227">
        <f t="shared" si="60"/>
        <v>-1981150.4390243022</v>
      </c>
      <c r="F88" s="227">
        <f t="shared" si="60"/>
        <v>-1680148.1758634127</v>
      </c>
      <c r="G88" s="227">
        <f t="shared" si="60"/>
        <v>-1426298.9041111846</v>
      </c>
      <c r="H88" s="227">
        <f t="shared" si="60"/>
        <v>-1168917.639519216</v>
      </c>
      <c r="I88" s="227">
        <f t="shared" si="60"/>
        <v>-945896.44594532205</v>
      </c>
      <c r="J88" s="227">
        <f t="shared" si="60"/>
        <v>-757163.81853879185</v>
      </c>
      <c r="K88" s="227">
        <f t="shared" si="60"/>
        <v>-564684.65611265996</v>
      </c>
      <c r="L88" s="227">
        <f t="shared" si="60"/>
        <v>-368384.58680241386</v>
      </c>
      <c r="M88" s="227">
        <f t="shared" si="60"/>
        <v>-168187.76241311396</v>
      </c>
      <c r="N88" s="227">
        <f t="shared" si="60"/>
        <v>35983.17088646628</v>
      </c>
      <c r="O88" s="227">
        <f t="shared" si="60"/>
        <v>244207.10245142959</v>
      </c>
      <c r="P88" s="227">
        <f t="shared" si="60"/>
        <v>456564.48764162138</v>
      </c>
      <c r="Q88" s="227">
        <f t="shared" si="60"/>
        <v>673137.37890755071</v>
      </c>
      <c r="R88" s="227">
        <f t="shared" si="60"/>
        <v>894009.45749337436</v>
      </c>
      <c r="S88" s="227">
        <f t="shared" si="60"/>
        <v>1119266.0657691951</v>
      </c>
      <c r="T88" s="227">
        <f t="shared" si="60"/>
        <v>1348994.2402051634</v>
      </c>
      <c r="U88" s="227">
        <f t="shared" si="60"/>
        <v>1583282.7450001258</v>
      </c>
      <c r="V88" s="227">
        <f t="shared" si="60"/>
        <v>1822222.1063778088</v>
      </c>
      <c r="W88" s="227">
        <f t="shared" ref="W88:AB88" si="61">V88+W87</f>
        <v>2065904.6475637923</v>
      </c>
      <c r="X88" s="227">
        <f t="shared" si="61"/>
        <v>2314424.5244567846</v>
      </c>
      <c r="Y88" s="227">
        <f t="shared" si="61"/>
        <v>2567877.7620079815</v>
      </c>
      <c r="Z88" s="227">
        <f t="shared" si="61"/>
        <v>2826362.2913225638</v>
      </c>
      <c r="AA88" s="227">
        <f t="shared" si="61"/>
        <v>3089977.9874976701</v>
      </c>
      <c r="AB88" s="227">
        <f t="shared" si="61"/>
        <v>3910094.826765717</v>
      </c>
      <c r="AD88" s="554"/>
      <c r="AE88" s="555"/>
      <c r="AF88" s="556"/>
    </row>
    <row r="89" spans="1:32" ht="14" x14ac:dyDescent="0.2">
      <c r="A89" s="3"/>
      <c r="B89" s="209" t="s">
        <v>223</v>
      </c>
      <c r="C89" s="227">
        <f>NPV(Investor_Discount_Rate,D87:AB87)+C87</f>
        <v>401885.18519459246</v>
      </c>
      <c r="D89" s="227"/>
      <c r="E89" s="227"/>
      <c r="F89" s="227"/>
      <c r="G89" s="227"/>
      <c r="H89" s="227"/>
      <c r="I89" s="227"/>
      <c r="J89" s="227"/>
      <c r="K89" s="227"/>
      <c r="L89" s="227"/>
      <c r="M89" s="227"/>
      <c r="N89" s="227"/>
      <c r="O89" s="227"/>
      <c r="P89" s="227"/>
      <c r="Q89" s="227"/>
      <c r="R89" s="227"/>
      <c r="S89" s="227"/>
      <c r="T89" s="227"/>
      <c r="U89" s="227"/>
      <c r="V89" s="227"/>
      <c r="W89" s="227"/>
      <c r="X89" s="227"/>
      <c r="Y89" s="227"/>
      <c r="Z89" s="227"/>
      <c r="AA89" s="227"/>
      <c r="AB89" s="227"/>
    </row>
    <row r="90" spans="1:32" ht="14" x14ac:dyDescent="0.2">
      <c r="A90" s="3"/>
      <c r="B90" s="219" t="s">
        <v>222</v>
      </c>
      <c r="C90" s="256">
        <f>IRR(C87:AB87)</f>
        <v>8.0025571611758828E-2</v>
      </c>
      <c r="D90" s="195"/>
      <c r="E90" s="195"/>
      <c r="F90" s="195"/>
      <c r="G90" s="195"/>
      <c r="H90" s="195"/>
      <c r="I90" s="195"/>
      <c r="J90" s="195"/>
      <c r="K90" s="195"/>
      <c r="L90" s="195"/>
      <c r="M90" s="195"/>
      <c r="N90" s="195"/>
      <c r="O90" s="195"/>
      <c r="P90" s="195"/>
      <c r="Q90" s="195"/>
      <c r="R90" s="195"/>
      <c r="S90" s="195"/>
      <c r="T90" s="195"/>
      <c r="U90" s="195"/>
      <c r="V90" s="195"/>
      <c r="W90" s="195"/>
      <c r="X90" s="195"/>
      <c r="Y90" s="195"/>
      <c r="Z90" s="195"/>
      <c r="AA90" s="195"/>
      <c r="AB90" s="195"/>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9" t="s">
        <v>184</v>
      </c>
      <c r="C94" s="579"/>
      <c r="D94" s="579"/>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285</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4" t="s">
        <v>164</v>
      </c>
      <c r="C96" s="238"/>
      <c r="D96" s="238"/>
      <c r="E96" s="238"/>
      <c r="F96" s="238"/>
      <c r="G96" s="238"/>
      <c r="H96" s="238"/>
      <c r="I96" s="238"/>
      <c r="J96" s="238"/>
      <c r="K96" s="238"/>
      <c r="L96" s="238"/>
      <c r="M96" s="238"/>
      <c r="N96" s="238"/>
      <c r="O96" s="238"/>
      <c r="P96" s="238"/>
      <c r="Q96" s="238"/>
      <c r="R96" s="238"/>
      <c r="S96" s="238"/>
      <c r="T96" s="238"/>
      <c r="U96" s="238"/>
      <c r="V96" s="238"/>
      <c r="W96" s="238"/>
      <c r="X96" s="238"/>
      <c r="Y96" s="238"/>
      <c r="Z96" s="238"/>
      <c r="AA96" s="238"/>
      <c r="AB96" s="238"/>
      <c r="AC96" s="12"/>
    </row>
    <row r="97" spans="1:29" ht="14" x14ac:dyDescent="0.2">
      <c r="A97" s="3"/>
      <c r="B97" s="235" t="s">
        <v>83</v>
      </c>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c r="AA97" s="227"/>
      <c r="AB97" s="227"/>
      <c r="AC97" s="12"/>
    </row>
    <row r="98" spans="1:29" ht="14" x14ac:dyDescent="0.2">
      <c r="A98" s="3"/>
      <c r="B98" s="209" t="s">
        <v>187</v>
      </c>
      <c r="C98" s="227"/>
      <c r="D98" s="227">
        <f>IF(Project_Debt?="Yes",IF(Unstructured!D$17&lt;=Project_Loan_Term?,PMT(Project_Loan_Rate,Project_Loan_Term?,-Project_Loan_Amount,0),0),0)</f>
        <v>0</v>
      </c>
      <c r="E98" s="227">
        <f>IF(Project_Debt?="Yes",IF(Unstructured!E$17&lt;=Project_Loan_Term?,PMT(Project_Loan_Rate,Project_Loan_Term?,-Project_Loan_Amount,0),0),0)</f>
        <v>0</v>
      </c>
      <c r="F98" s="227">
        <f>IF(Project_Debt?="Yes",IF(Unstructured!F$17&lt;=Project_Loan_Term?,PMT(Project_Loan_Rate,Project_Loan_Term?,-Project_Loan_Amount,0),0),0)</f>
        <v>0</v>
      </c>
      <c r="G98" s="227">
        <f>IF(Project_Debt?="Yes",IF(Unstructured!G$17&lt;=Project_Loan_Term?,PMT(Project_Loan_Rate,Project_Loan_Term?,-Project_Loan_Amount,0),0),0)</f>
        <v>0</v>
      </c>
      <c r="H98" s="227">
        <f>IF(Project_Debt?="Yes",IF(Unstructured!H$17&lt;=Project_Loan_Term?,PMT(Project_Loan_Rate,Project_Loan_Term?,-Project_Loan_Amount,0),0),0)</f>
        <v>0</v>
      </c>
      <c r="I98" s="227">
        <f>IF(Project_Debt?="Yes",IF(Unstructured!I$17&lt;=Project_Loan_Term?,PMT(Project_Loan_Rate,Project_Loan_Term?,-Project_Loan_Amount,0),0),0)</f>
        <v>0</v>
      </c>
      <c r="J98" s="227">
        <f>IF(Project_Debt?="Yes",IF(Unstructured!J$17&lt;=Project_Loan_Term?,PMT(Project_Loan_Rate,Project_Loan_Term?,-Project_Loan_Amount,0),0),0)</f>
        <v>0</v>
      </c>
      <c r="K98" s="227">
        <f>IF(Project_Debt?="Yes",IF(Unstructured!K$17&lt;=Project_Loan_Term?,PMT(Project_Loan_Rate,Project_Loan_Term?,-Project_Loan_Amount,0),0),0)</f>
        <v>0</v>
      </c>
      <c r="L98" s="227">
        <f>IF(Project_Debt?="Yes",IF(Unstructured!L$17&lt;=Project_Loan_Term?,PMT(Project_Loan_Rate,Project_Loan_Term?,-Project_Loan_Amount,0),0),0)</f>
        <v>0</v>
      </c>
      <c r="M98" s="227">
        <f>IF(Project_Debt?="Yes",IF(Unstructured!M$17&lt;=Project_Loan_Term?,PMT(Project_Loan_Rate,Project_Loan_Term?,-Project_Loan_Amount,0),0),0)</f>
        <v>0</v>
      </c>
      <c r="N98" s="227">
        <f>IF(Project_Debt?="Yes",IF(Unstructured!N$17&lt;=Project_Loan_Term?,PMT(Project_Loan_Rate,Project_Loan_Term?,-Project_Loan_Amount,0),0),0)</f>
        <v>0</v>
      </c>
      <c r="O98" s="227">
        <f>IF(Project_Debt?="Yes",IF(Unstructured!O$17&lt;=Project_Loan_Term?,PMT(Project_Loan_Rate,Project_Loan_Term?,-Project_Loan_Amount,0),0),0)</f>
        <v>0</v>
      </c>
      <c r="P98" s="227">
        <f>IF(Project_Debt?="Yes",IF(Unstructured!P$17&lt;=Project_Loan_Term?,PMT(Project_Loan_Rate,Project_Loan_Term?,-Project_Loan_Amount,0),0),0)</f>
        <v>0</v>
      </c>
      <c r="Q98" s="227">
        <f>IF(Project_Debt?="Yes",IF(Unstructured!Q$17&lt;=Project_Loan_Term?,PMT(Project_Loan_Rate,Project_Loan_Term?,-Project_Loan_Amount,0),0),0)</f>
        <v>0</v>
      </c>
      <c r="R98" s="227">
        <f>IF(Project_Debt?="Yes",IF(Unstructured!R$17&lt;=Project_Loan_Term?,PMT(Project_Loan_Rate,Project_Loan_Term?,-Project_Loan_Amount,0),0),0)</f>
        <v>0</v>
      </c>
      <c r="S98" s="227">
        <f>IF(Project_Debt?="Yes",IF(Unstructured!S$17&lt;=Project_Loan_Term?,PMT(Project_Loan_Rate,Project_Loan_Term?,-Project_Loan_Amount,0),0),0)</f>
        <v>0</v>
      </c>
      <c r="T98" s="227">
        <f>IF(Project_Debt?="Yes",IF(Unstructured!T$17&lt;=Project_Loan_Term?,PMT(Project_Loan_Rate,Project_Loan_Term?,-Project_Loan_Amount,0),0),0)</f>
        <v>0</v>
      </c>
      <c r="U98" s="227">
        <f>IF(Project_Debt?="Yes",IF(Unstructured!U$17&lt;=Project_Loan_Term?,PMT(Project_Loan_Rate,Project_Loan_Term?,-Project_Loan_Amount,0),0),0)</f>
        <v>0</v>
      </c>
      <c r="V98" s="227">
        <f>IF(Project_Debt?="Yes",IF(Unstructured!V$17&lt;=Project_Loan_Term?,PMT(Project_Loan_Rate,Project_Loan_Term?,-Project_Loan_Amount,0),0),0)</f>
        <v>0</v>
      </c>
      <c r="W98" s="227">
        <f>IF(Project_Debt?="Yes",IF(Unstructured!W$17&lt;=Project_Loan_Term?,PMT(Project_Loan_Rate,Project_Loan_Term?,-Project_Loan_Amount,0),0),0)</f>
        <v>0</v>
      </c>
      <c r="X98" s="227">
        <f>IF(Project_Debt?="Yes",IF(Unstructured!X$17&lt;=Project_Loan_Term?,PMT(Project_Loan_Rate,Project_Loan_Term?,-Project_Loan_Amount,0),0),0)</f>
        <v>0</v>
      </c>
      <c r="Y98" s="227">
        <f>IF(Project_Debt?="Yes",IF(Unstructured!Y$17&lt;=Project_Loan_Term?,PMT(Project_Loan_Rate,Project_Loan_Term?,-Project_Loan_Amount,0),0),0)</f>
        <v>0</v>
      </c>
      <c r="Z98" s="227">
        <f>IF(Project_Debt?="Yes",IF(Unstructured!Z$17&lt;=Project_Loan_Term?,PMT(Project_Loan_Rate,Project_Loan_Term?,-Project_Loan_Amount,0),0),0)</f>
        <v>0</v>
      </c>
      <c r="AA98" s="227">
        <f>IF(Project_Debt?="Yes",IF(Unstructured!AA$17&lt;=Project_Loan_Term?,PMT(Project_Loan_Rate,Project_Loan_Term?,-Project_Loan_Amount,0),0),0)</f>
        <v>0</v>
      </c>
      <c r="AB98" s="227">
        <f>IF(Project_Debt?="Yes",IF(Unstructured!AB$17&lt;=Project_Loan_Term?,PMT(Project_Loan_Rate,Project_Loan_Term?,-Project_Loan_Amount,0),0),0)</f>
        <v>0</v>
      </c>
      <c r="AC98" s="12"/>
    </row>
    <row r="99" spans="1:29" ht="14" x14ac:dyDescent="0.2">
      <c r="A99" s="3"/>
      <c r="B99" s="209" t="s">
        <v>30</v>
      </c>
      <c r="C99" s="227"/>
      <c r="D99" s="227">
        <f>C101*Project_Loan_Rate</f>
        <v>0</v>
      </c>
      <c r="E99" s="227">
        <f t="shared" ref="E99:V99" si="62">D101*Project_Loan_Rate</f>
        <v>0</v>
      </c>
      <c r="F99" s="227">
        <f t="shared" si="62"/>
        <v>0</v>
      </c>
      <c r="G99" s="227">
        <f t="shared" si="62"/>
        <v>0</v>
      </c>
      <c r="H99" s="227">
        <f t="shared" si="62"/>
        <v>0</v>
      </c>
      <c r="I99" s="227">
        <f t="shared" si="62"/>
        <v>0</v>
      </c>
      <c r="J99" s="227">
        <f t="shared" si="62"/>
        <v>0</v>
      </c>
      <c r="K99" s="227">
        <f t="shared" si="62"/>
        <v>0</v>
      </c>
      <c r="L99" s="227">
        <f t="shared" si="62"/>
        <v>0</v>
      </c>
      <c r="M99" s="227">
        <f t="shared" si="62"/>
        <v>0</v>
      </c>
      <c r="N99" s="227">
        <f t="shared" si="62"/>
        <v>0</v>
      </c>
      <c r="O99" s="227">
        <f t="shared" si="62"/>
        <v>0</v>
      </c>
      <c r="P99" s="227">
        <f t="shared" si="62"/>
        <v>0</v>
      </c>
      <c r="Q99" s="227">
        <f t="shared" si="62"/>
        <v>0</v>
      </c>
      <c r="R99" s="227">
        <f t="shared" si="62"/>
        <v>0</v>
      </c>
      <c r="S99" s="227">
        <f t="shared" si="62"/>
        <v>0</v>
      </c>
      <c r="T99" s="227">
        <f t="shared" si="62"/>
        <v>0</v>
      </c>
      <c r="U99" s="227">
        <f t="shared" si="62"/>
        <v>0</v>
      </c>
      <c r="V99" s="227">
        <f t="shared" si="62"/>
        <v>0</v>
      </c>
      <c r="W99" s="227">
        <f t="shared" ref="W99:AB99" si="63">V101*Project_Loan_Rate</f>
        <v>0</v>
      </c>
      <c r="X99" s="227">
        <f t="shared" si="63"/>
        <v>0</v>
      </c>
      <c r="Y99" s="227">
        <f t="shared" si="63"/>
        <v>0</v>
      </c>
      <c r="Z99" s="227">
        <f t="shared" si="63"/>
        <v>0</v>
      </c>
      <c r="AA99" s="227">
        <f t="shared" si="63"/>
        <v>0</v>
      </c>
      <c r="AB99" s="227">
        <f t="shared" si="63"/>
        <v>0</v>
      </c>
      <c r="AC99" s="12"/>
    </row>
    <row r="100" spans="1:29" ht="14" x14ac:dyDescent="0.2">
      <c r="A100" s="3"/>
      <c r="B100" s="209" t="s">
        <v>119</v>
      </c>
      <c r="C100" s="227"/>
      <c r="D100" s="227">
        <f>D98-D99</f>
        <v>0</v>
      </c>
      <c r="E100" s="227">
        <f t="shared" ref="E100:V100" si="64">E98-E99</f>
        <v>0</v>
      </c>
      <c r="F100" s="227">
        <f t="shared" si="64"/>
        <v>0</v>
      </c>
      <c r="G100" s="227">
        <f t="shared" si="64"/>
        <v>0</v>
      </c>
      <c r="H100" s="227">
        <f t="shared" si="64"/>
        <v>0</v>
      </c>
      <c r="I100" s="227">
        <f t="shared" si="64"/>
        <v>0</v>
      </c>
      <c r="J100" s="227">
        <f t="shared" si="64"/>
        <v>0</v>
      </c>
      <c r="K100" s="227">
        <f t="shared" si="64"/>
        <v>0</v>
      </c>
      <c r="L100" s="227">
        <f t="shared" si="64"/>
        <v>0</v>
      </c>
      <c r="M100" s="227">
        <f t="shared" si="64"/>
        <v>0</v>
      </c>
      <c r="N100" s="227">
        <f t="shared" si="64"/>
        <v>0</v>
      </c>
      <c r="O100" s="227">
        <f t="shared" si="64"/>
        <v>0</v>
      </c>
      <c r="P100" s="227">
        <f t="shared" si="64"/>
        <v>0</v>
      </c>
      <c r="Q100" s="227">
        <f t="shared" si="64"/>
        <v>0</v>
      </c>
      <c r="R100" s="227">
        <f t="shared" si="64"/>
        <v>0</v>
      </c>
      <c r="S100" s="227">
        <f t="shared" si="64"/>
        <v>0</v>
      </c>
      <c r="T100" s="227">
        <f t="shared" si="64"/>
        <v>0</v>
      </c>
      <c r="U100" s="227">
        <f t="shared" si="64"/>
        <v>0</v>
      </c>
      <c r="V100" s="227">
        <f t="shared" si="64"/>
        <v>0</v>
      </c>
      <c r="W100" s="227">
        <f t="shared" ref="W100:AB100" si="65">W98-W99</f>
        <v>0</v>
      </c>
      <c r="X100" s="227">
        <f t="shared" si="65"/>
        <v>0</v>
      </c>
      <c r="Y100" s="227">
        <f t="shared" si="65"/>
        <v>0</v>
      </c>
      <c r="Z100" s="227">
        <f t="shared" si="65"/>
        <v>0</v>
      </c>
      <c r="AA100" s="227">
        <f t="shared" si="65"/>
        <v>0</v>
      </c>
      <c r="AB100" s="227">
        <f t="shared" si="65"/>
        <v>0</v>
      </c>
      <c r="AC100" s="12"/>
    </row>
    <row r="101" spans="1:29" ht="14" x14ac:dyDescent="0.2">
      <c r="A101" s="3"/>
      <c r="B101" s="235" t="s">
        <v>242</v>
      </c>
      <c r="C101" s="227">
        <f>IF(Project_Debt?="Yes",Project_Loan_Amount,0)</f>
        <v>0</v>
      </c>
      <c r="D101" s="227">
        <f t="shared" ref="D101:V101" si="66">C101-D100</f>
        <v>0</v>
      </c>
      <c r="E101" s="227">
        <f t="shared" si="66"/>
        <v>0</v>
      </c>
      <c r="F101" s="227">
        <f t="shared" si="66"/>
        <v>0</v>
      </c>
      <c r="G101" s="227">
        <f t="shared" si="66"/>
        <v>0</v>
      </c>
      <c r="H101" s="227">
        <f t="shared" si="66"/>
        <v>0</v>
      </c>
      <c r="I101" s="227">
        <f t="shared" si="66"/>
        <v>0</v>
      </c>
      <c r="J101" s="227">
        <f t="shared" si="66"/>
        <v>0</v>
      </c>
      <c r="K101" s="227">
        <f t="shared" si="66"/>
        <v>0</v>
      </c>
      <c r="L101" s="227">
        <f t="shared" si="66"/>
        <v>0</v>
      </c>
      <c r="M101" s="227">
        <f t="shared" si="66"/>
        <v>0</v>
      </c>
      <c r="N101" s="227">
        <f t="shared" si="66"/>
        <v>0</v>
      </c>
      <c r="O101" s="227">
        <f t="shared" si="66"/>
        <v>0</v>
      </c>
      <c r="P101" s="227">
        <f t="shared" si="66"/>
        <v>0</v>
      </c>
      <c r="Q101" s="227">
        <f t="shared" si="66"/>
        <v>0</v>
      </c>
      <c r="R101" s="227">
        <f t="shared" si="66"/>
        <v>0</v>
      </c>
      <c r="S101" s="227">
        <f t="shared" si="66"/>
        <v>0</v>
      </c>
      <c r="T101" s="227">
        <f t="shared" si="66"/>
        <v>0</v>
      </c>
      <c r="U101" s="227">
        <f t="shared" si="66"/>
        <v>0</v>
      </c>
      <c r="V101" s="227">
        <f t="shared" si="66"/>
        <v>0</v>
      </c>
      <c r="W101" s="227">
        <f t="shared" ref="W101:AB101" si="67">V101-W100</f>
        <v>0</v>
      </c>
      <c r="X101" s="227">
        <f t="shared" si="67"/>
        <v>0</v>
      </c>
      <c r="Y101" s="227">
        <f t="shared" si="67"/>
        <v>0</v>
      </c>
      <c r="Z101" s="227">
        <f t="shared" si="67"/>
        <v>0</v>
      </c>
      <c r="AA101" s="227">
        <f t="shared" si="67"/>
        <v>0</v>
      </c>
      <c r="AB101" s="227">
        <f t="shared" si="67"/>
        <v>0</v>
      </c>
      <c r="AC101" s="12"/>
    </row>
    <row r="102" spans="1:29" ht="14" x14ac:dyDescent="0.2">
      <c r="A102" s="3"/>
      <c r="B102" s="235"/>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c r="AA102" s="227"/>
      <c r="AB102" s="227"/>
      <c r="AC102" s="12"/>
    </row>
    <row r="103" spans="1:29" ht="14" x14ac:dyDescent="0.2">
      <c r="A103" s="3"/>
      <c r="B103" s="235" t="s">
        <v>70</v>
      </c>
      <c r="C103" s="227"/>
      <c r="D103" s="227">
        <f>(((Unstructured!D30*Production_Delta_P95_P50)-Unstructured!D38)/Project_Loan_Coverage_Ratio)</f>
        <v>172823.33266856743</v>
      </c>
      <c r="E103" s="227">
        <f>(((Unstructured!E30*Production_Delta_P95_P50)-Unstructured!E38)/Project_Loan_Coverage_Ratio)</f>
        <v>176253.84834285517</v>
      </c>
      <c r="F103" s="227">
        <f>(((Unstructured!F30*Production_Delta_P95_P50)-Unstructured!F38)/Project_Loan_Coverage_Ratio)</f>
        <v>179752.4585549194</v>
      </c>
      <c r="G103" s="227">
        <f>(((Unstructured!G30*Production_Delta_P95_P50)-Unstructured!G38)/Project_Loan_Coverage_Ratio)</f>
        <v>183320.51494447337</v>
      </c>
      <c r="H103" s="227">
        <f>(((Unstructured!H30*Production_Delta_P95_P50)-Unstructured!H38)/Project_Loan_Coverage_Ratio)</f>
        <v>186959.39598028534</v>
      </c>
      <c r="I103" s="227">
        <f>(((Unstructured!I30*Production_Delta_P95_P50)-Unstructured!I38)/Project_Loan_Coverage_Ratio)</f>
        <v>190670.50749270979</v>
      </c>
      <c r="J103" s="227">
        <f>(((Unstructured!J30*Production_Delta_P95_P50)-Unstructured!J38)/Project_Loan_Coverage_Ratio)</f>
        <v>194455.28321678995</v>
      </c>
      <c r="K103" s="227">
        <f>(((Unstructured!K30*Production_Delta_P95_P50)-Unstructured!K38)/Project_Loan_Coverage_Ratio)</f>
        <v>198315.18534613954</v>
      </c>
      <c r="L103" s="227">
        <f>(((Unstructured!L30*Production_Delta_P95_P50)-Unstructured!L38)/Project_Loan_Coverage_Ratio)</f>
        <v>202251.70509781825</v>
      </c>
      <c r="M103" s="227">
        <f>(((Unstructured!M30*Production_Delta_P95_P50)-Unstructured!M38)/Project_Loan_Coverage_Ratio)</f>
        <v>206266.36328841999</v>
      </c>
      <c r="N103" s="227">
        <f>(((Unstructured!N30*Production_Delta_P95_P50)-Unstructured!N38)/Project_Loan_Coverage_Ratio)</f>
        <v>210360.71092159572</v>
      </c>
      <c r="O103" s="227">
        <f>(((Unstructured!O30*Production_Delta_P95_P50)-Unstructured!O38)/Project_Loan_Coverage_Ratio)</f>
        <v>214536.32978723716</v>
      </c>
      <c r="P103" s="227">
        <f>(((Unstructured!P30*Production_Delta_P95_P50)-Unstructured!P38)/Project_Loan_Coverage_Ratio)</f>
        <v>218794.83307255461</v>
      </c>
      <c r="Q103" s="227">
        <f>(((Unstructured!Q30*Production_Delta_P95_P50)-Unstructured!Q38)/Project_Loan_Coverage_Ratio)</f>
        <v>223137.86598528377</v>
      </c>
      <c r="R103" s="227">
        <f>(((Unstructured!R30*Production_Delta_P95_P50)-Unstructured!R38)/Project_Loan_Coverage_Ratio)</f>
        <v>227567.10638926161</v>
      </c>
      <c r="S103" s="227">
        <f>(((Unstructured!S30*Production_Delta_P95_P50)-Unstructured!S38)/Project_Loan_Coverage_Ratio)</f>
        <v>232084.26545261897</v>
      </c>
      <c r="T103" s="227">
        <f>(((Unstructured!T30*Production_Delta_P95_P50)-Unstructured!T38)/Project_Loan_Coverage_Ratio)</f>
        <v>236691.08830883791</v>
      </c>
      <c r="U103" s="227">
        <f>(((Unstructured!U30*Production_Delta_P95_P50)-Unstructured!U38)/Project_Loan_Coverage_Ratio)</f>
        <v>241389.35473093114</v>
      </c>
      <c r="V103" s="227">
        <f>(((Unstructured!V30*Production_Delta_P95_P50)-Unstructured!V38)/Project_Loan_Coverage_Ratio)</f>
        <v>246180.8798190027</v>
      </c>
      <c r="W103" s="227">
        <f>(((Unstructured!W30*Production_Delta_P95_P50)-Unstructured!W38)/Project_Loan_Coverage_Ratio)</f>
        <v>251067.51470145548</v>
      </c>
      <c r="X103" s="227">
        <f>(((Unstructured!X30*Production_Delta_P95_P50)-Unstructured!X38)/Project_Loan_Coverage_Ratio)</f>
        <v>256051.14725011805</v>
      </c>
      <c r="Y103" s="227">
        <f>(((Unstructured!Y30*Production_Delta_P95_P50)-Unstructured!Y38)/Project_Loan_Coverage_Ratio)</f>
        <v>261133.70280956462</v>
      </c>
      <c r="Z103" s="227">
        <f>(((Unstructured!Z30*Production_Delta_P95_P50)-Unstructured!Z38)/Project_Loan_Coverage_Ratio)</f>
        <v>266317.14494091226</v>
      </c>
      <c r="AA103" s="227">
        <f>(((Unstructured!AA30*Production_Delta_P95_P50)-Unstructured!AA38)/Project_Loan_Coverage_Ratio)</f>
        <v>271603.47618038068</v>
      </c>
      <c r="AB103" s="227">
        <f>(((Unstructured!AB30*Production_Delta_P95_P50)-Unstructured!AB38)/Project_Loan_Coverage_Ratio)</f>
        <v>276994.73881290876</v>
      </c>
      <c r="AC103" s="12"/>
    </row>
    <row r="104" spans="1:29" ht="14" x14ac:dyDescent="0.2">
      <c r="A104" s="3"/>
      <c r="B104" s="235" t="s">
        <v>71</v>
      </c>
      <c r="C104" s="227"/>
      <c r="D104" s="227">
        <f t="shared" ref="D104:V104" si="68">D103-D98</f>
        <v>172823.33266856743</v>
      </c>
      <c r="E104" s="227">
        <f t="shared" si="68"/>
        <v>176253.84834285517</v>
      </c>
      <c r="F104" s="227">
        <f t="shared" si="68"/>
        <v>179752.4585549194</v>
      </c>
      <c r="G104" s="227">
        <f t="shared" si="68"/>
        <v>183320.51494447337</v>
      </c>
      <c r="H104" s="227">
        <f t="shared" si="68"/>
        <v>186959.39598028534</v>
      </c>
      <c r="I104" s="227">
        <f t="shared" si="68"/>
        <v>190670.50749270979</v>
      </c>
      <c r="J104" s="227">
        <f t="shared" si="68"/>
        <v>194455.28321678995</v>
      </c>
      <c r="K104" s="227">
        <f t="shared" si="68"/>
        <v>198315.18534613954</v>
      </c>
      <c r="L104" s="227">
        <f t="shared" si="68"/>
        <v>202251.70509781825</v>
      </c>
      <c r="M104" s="227">
        <f t="shared" si="68"/>
        <v>206266.36328841999</v>
      </c>
      <c r="N104" s="227">
        <f t="shared" si="68"/>
        <v>210360.71092159572</v>
      </c>
      <c r="O104" s="227">
        <f t="shared" si="68"/>
        <v>214536.32978723716</v>
      </c>
      <c r="P104" s="227">
        <f t="shared" si="68"/>
        <v>218794.83307255461</v>
      </c>
      <c r="Q104" s="227">
        <f t="shared" si="68"/>
        <v>223137.86598528377</v>
      </c>
      <c r="R104" s="227">
        <f t="shared" si="68"/>
        <v>227567.10638926161</v>
      </c>
      <c r="S104" s="227">
        <f t="shared" si="68"/>
        <v>232084.26545261897</v>
      </c>
      <c r="T104" s="227">
        <f t="shared" si="68"/>
        <v>236691.08830883791</v>
      </c>
      <c r="U104" s="227">
        <f t="shared" si="68"/>
        <v>241389.35473093114</v>
      </c>
      <c r="V104" s="227">
        <f t="shared" si="68"/>
        <v>246180.8798190027</v>
      </c>
      <c r="W104" s="227">
        <f t="shared" ref="W104:AB104" si="69">W103-W98</f>
        <v>251067.51470145548</v>
      </c>
      <c r="X104" s="227">
        <f t="shared" si="69"/>
        <v>256051.14725011805</v>
      </c>
      <c r="Y104" s="227">
        <f t="shared" si="69"/>
        <v>261133.70280956462</v>
      </c>
      <c r="Z104" s="227">
        <f t="shared" si="69"/>
        <v>266317.14494091226</v>
      </c>
      <c r="AA104" s="227">
        <f t="shared" si="69"/>
        <v>271603.47618038068</v>
      </c>
      <c r="AB104" s="227">
        <f t="shared" si="69"/>
        <v>276994.73881290876</v>
      </c>
      <c r="AC104" s="12"/>
    </row>
    <row r="105" spans="1:29" ht="14" x14ac:dyDescent="0.2">
      <c r="A105" s="3"/>
      <c r="B105" s="235" t="s">
        <v>35</v>
      </c>
      <c r="C105" s="239" t="str">
        <f>IF(Dashboard!$H$27="Yes",IF(SUM(D105:W105)&lt;0,"Fail","Pass"),"N/A")</f>
        <v>N/A</v>
      </c>
      <c r="D105" s="240">
        <f>IF(D104&lt;0,D104,0)</f>
        <v>0</v>
      </c>
      <c r="E105" s="240">
        <f t="shared" ref="E105:V105" si="70">IF(E104&lt;0,D105+E104,D105+0)</f>
        <v>0</v>
      </c>
      <c r="F105" s="240">
        <f t="shared" si="70"/>
        <v>0</v>
      </c>
      <c r="G105" s="240">
        <f t="shared" si="70"/>
        <v>0</v>
      </c>
      <c r="H105" s="240">
        <f t="shared" si="70"/>
        <v>0</v>
      </c>
      <c r="I105" s="240">
        <f t="shared" si="70"/>
        <v>0</v>
      </c>
      <c r="J105" s="240">
        <f t="shared" si="70"/>
        <v>0</v>
      </c>
      <c r="K105" s="240">
        <f t="shared" si="70"/>
        <v>0</v>
      </c>
      <c r="L105" s="240">
        <f t="shared" si="70"/>
        <v>0</v>
      </c>
      <c r="M105" s="240">
        <f t="shared" si="70"/>
        <v>0</v>
      </c>
      <c r="N105" s="240">
        <f t="shared" si="70"/>
        <v>0</v>
      </c>
      <c r="O105" s="240">
        <f t="shared" si="70"/>
        <v>0</v>
      </c>
      <c r="P105" s="240">
        <f t="shared" si="70"/>
        <v>0</v>
      </c>
      <c r="Q105" s="240">
        <f t="shared" si="70"/>
        <v>0</v>
      </c>
      <c r="R105" s="240">
        <f t="shared" si="70"/>
        <v>0</v>
      </c>
      <c r="S105" s="240">
        <f t="shared" si="70"/>
        <v>0</v>
      </c>
      <c r="T105" s="240">
        <f t="shared" si="70"/>
        <v>0</v>
      </c>
      <c r="U105" s="240">
        <f t="shared" si="70"/>
        <v>0</v>
      </c>
      <c r="V105" s="240">
        <f t="shared" si="70"/>
        <v>0</v>
      </c>
      <c r="W105" s="240">
        <f t="shared" ref="W105:AB105" si="71">IF(W104&lt;0,V105+W104,V105+0)</f>
        <v>0</v>
      </c>
      <c r="X105" s="240">
        <f t="shared" si="71"/>
        <v>0</v>
      </c>
      <c r="Y105" s="240">
        <f t="shared" si="71"/>
        <v>0</v>
      </c>
      <c r="Z105" s="240">
        <f t="shared" si="71"/>
        <v>0</v>
      </c>
      <c r="AA105" s="240">
        <f t="shared" si="71"/>
        <v>0</v>
      </c>
      <c r="AB105" s="240">
        <f t="shared" si="71"/>
        <v>0</v>
      </c>
      <c r="AC105" s="12"/>
    </row>
    <row r="106" spans="1:29" ht="14" x14ac:dyDescent="0.2">
      <c r="A106" s="3"/>
      <c r="B106" s="236" t="s">
        <v>147</v>
      </c>
      <c r="C106" s="241" t="str">
        <f>IF(Project_Debt?="Yes",IF(MIN(D101:W101)&lt;1,"Yes","No"),"N/A")</f>
        <v>N/A</v>
      </c>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95"/>
      <c r="Z106" s="195"/>
      <c r="AA106" s="195"/>
      <c r="AB106" s="195"/>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9" t="s">
        <v>183</v>
      </c>
      <c r="C109" s="579"/>
      <c r="D109" s="579">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285</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7"/>
      <c r="C111" s="242"/>
      <c r="D111" s="242"/>
      <c r="E111" s="243"/>
      <c r="F111" s="243"/>
      <c r="G111" s="243"/>
      <c r="H111" s="243"/>
      <c r="I111" s="243"/>
      <c r="J111" s="243"/>
      <c r="K111" s="243"/>
      <c r="L111" s="243"/>
      <c r="M111" s="243"/>
      <c r="N111" s="243"/>
      <c r="O111" s="243"/>
      <c r="P111" s="243"/>
      <c r="Q111" s="243"/>
      <c r="R111" s="243"/>
      <c r="S111" s="243"/>
      <c r="T111" s="243"/>
      <c r="U111" s="243"/>
      <c r="V111" s="243"/>
      <c r="W111" s="243"/>
      <c r="X111" s="243"/>
      <c r="Y111" s="243"/>
      <c r="Z111" s="243"/>
      <c r="AA111" s="243"/>
      <c r="AB111" s="243"/>
      <c r="AC111" s="12"/>
    </row>
    <row r="112" spans="1:29" ht="14" x14ac:dyDescent="0.2">
      <c r="A112" s="3"/>
      <c r="B112" s="232" t="s">
        <v>291</v>
      </c>
      <c r="C112" s="244"/>
      <c r="D112" s="244"/>
      <c r="E112" s="245"/>
      <c r="F112" s="245"/>
      <c r="G112" s="245"/>
      <c r="H112" s="245"/>
      <c r="I112" s="245"/>
      <c r="J112" s="245"/>
      <c r="K112" s="245"/>
      <c r="L112" s="245"/>
      <c r="M112" s="245"/>
      <c r="N112" s="245"/>
      <c r="O112" s="245"/>
      <c r="P112" s="245"/>
      <c r="Q112" s="245"/>
      <c r="R112" s="245"/>
      <c r="S112" s="245"/>
      <c r="T112" s="245"/>
      <c r="U112" s="245"/>
      <c r="V112" s="245"/>
      <c r="W112" s="245"/>
      <c r="X112" s="245"/>
      <c r="Y112" s="245"/>
      <c r="Z112" s="245"/>
      <c r="AA112" s="245"/>
      <c r="AB112" s="245"/>
      <c r="AC112" s="12"/>
    </row>
    <row r="113" spans="1:29" ht="14" x14ac:dyDescent="0.2">
      <c r="A113" s="3"/>
      <c r="B113" s="235" t="s">
        <v>292</v>
      </c>
      <c r="C113" s="244"/>
      <c r="D113" s="227">
        <f>Unstructured!D30-(Unstructured!D38+Unstructured!D42)</f>
        <v>217768.39083570926</v>
      </c>
      <c r="E113" s="227">
        <f>Unstructured!E30-(Unstructured!E38+Unstructured!E42)</f>
        <v>222091.31992856896</v>
      </c>
      <c r="F113" s="227">
        <f>Unstructured!F30-(Unstructured!F38+Unstructured!F42)</f>
        <v>226500.06288364925</v>
      </c>
      <c r="G113" s="227">
        <f>Unstructured!G30-(Unstructured!G38+Unstructured!G42)</f>
        <v>230996.32316439171</v>
      </c>
      <c r="H113" s="227">
        <f>Unstructured!H30-(Unstructured!H38+Unstructured!H42)</f>
        <v>235581.83804883267</v>
      </c>
      <c r="I113" s="227">
        <f>Unstructured!I30-(Unstructured!I38+Unstructured!I42)</f>
        <v>240258.37930083275</v>
      </c>
      <c r="J113" s="227">
        <f>Unstructured!J30-(Unstructured!J38+Unstructured!J42)</f>
        <v>245027.75385463188</v>
      </c>
      <c r="K113" s="227">
        <f>Unstructured!K30-(Unstructured!K38+Unstructured!K42)</f>
        <v>249891.80451299174</v>
      </c>
      <c r="L113" s="227">
        <f>Unstructured!L30-(Unstructured!L38+Unstructured!L42)</f>
        <v>254852.4106591965</v>
      </c>
      <c r="M113" s="227">
        <f>Unstructured!M30-(Unstructured!M38+Unstructured!M42)</f>
        <v>259911.48898318716</v>
      </c>
      <c r="N113" s="227">
        <f>Unstructured!N30-(Unstructured!N38+Unstructured!N42)</f>
        <v>265070.99422211002</v>
      </c>
      <c r="O113" s="227">
        <f>Unstructured!O30-(Unstructured!O38+Unstructured!O42)</f>
        <v>270332.91991556413</v>
      </c>
      <c r="P113" s="227">
        <f>Unstructured!P30-(Unstructured!P38+Unstructured!P42)</f>
        <v>275699.29917584133</v>
      </c>
      <c r="Q113" s="227">
        <f>Unstructured!Q30-(Unstructured!Q38+Unstructured!Q42)</f>
        <v>281172.20547345572</v>
      </c>
      <c r="R113" s="227">
        <f>Unstructured!R30-(Unstructured!R38+Unstructured!R42)</f>
        <v>286753.75343826506</v>
      </c>
      <c r="S113" s="227">
        <f>Unstructured!S30-(Unstructured!S38+Unstructured!S42)</f>
        <v>292446.09967649548</v>
      </c>
      <c r="T113" s="227">
        <f>Unstructured!T30-(Unstructured!T38+Unstructured!T42)</f>
        <v>298251.44360398361</v>
      </c>
      <c r="U113" s="227">
        <f>Unstructured!U30-(Unstructured!U38+Unstructured!U42)</f>
        <v>304172.02829595888</v>
      </c>
      <c r="V113" s="227">
        <f>Unstructured!V30-(Unstructured!V38+Unstructured!V42)</f>
        <v>310210.1413536942</v>
      </c>
      <c r="W113" s="227">
        <f>Unstructured!W30-(Unstructured!W38+Unstructured!W42)</f>
        <v>316368.11578835902</v>
      </c>
      <c r="X113" s="227">
        <f>Unstructured!X30-(Unstructured!X38+Unstructured!X42)</f>
        <v>322648.33092241798</v>
      </c>
      <c r="Y113" s="227">
        <f>Unstructured!Y30-(Unstructured!Y38+Unstructured!Y42)</f>
        <v>329053.21330892167</v>
      </c>
      <c r="Z113" s="227">
        <f>Unstructured!Z30-(Unstructured!Z38+Unstructured!Z42)</f>
        <v>335585.23766904545</v>
      </c>
      <c r="AA113" s="227">
        <f>Unstructured!AA30-(Unstructured!AA38+Unstructured!AA42)</f>
        <v>342246.92784823908</v>
      </c>
      <c r="AB113" s="227">
        <f>Unstructured!AB30-(Unstructured!AB38+Unstructured!AB42)</f>
        <v>349040.85779135453</v>
      </c>
      <c r="AC113" s="12"/>
    </row>
    <row r="114" spans="1:29" ht="14" x14ac:dyDescent="0.2">
      <c r="A114" s="3"/>
      <c r="B114" s="235" t="s">
        <v>20</v>
      </c>
      <c r="C114" s="244"/>
      <c r="D114" s="227">
        <f>IF(AND(Owner_is_Taxpayer_Non_Taxpayer?="Taxpayer",Unstructured!D17&lt;7),VLOOKUP(Unstructured!D17,Depreciation_Table,4),0)</f>
        <v>573724.11010499985</v>
      </c>
      <c r="E114" s="227">
        <f>IF(AND(Owner_is_Taxpayer_Non_Taxpayer?="Taxpayer",Unstructured!E17&lt;7),VLOOKUP(Unstructured!E17,Depreciation_Table,4),0)</f>
        <v>917958.57616799977</v>
      </c>
      <c r="F114" s="227">
        <f>IF(AND(Owner_is_Taxpayer_Non_Taxpayer?="Taxpayer",Unstructured!F17&lt;7),VLOOKUP(Unstructured!F17,Depreciation_Table,4),0)</f>
        <v>550775.14570079988</v>
      </c>
      <c r="G114" s="227">
        <f>IF(AND(Owner_is_Taxpayer_Non_Taxpayer?="Taxpayer",Unstructured!G17&lt;7),VLOOKUP(Unstructured!G17,Depreciation_Table,4),0)</f>
        <v>330465.08742047992</v>
      </c>
      <c r="H114" s="227">
        <f>IF(AND(Owner_is_Taxpayer_Non_Taxpayer?="Taxpayer",Unstructured!H17&lt;7),VLOOKUP(Unstructured!H17,Depreciation_Table,4),0)</f>
        <v>330465.08742047992</v>
      </c>
      <c r="I114" s="227">
        <f>IF(AND(Owner_is_Taxpayer_Non_Taxpayer?="Taxpayer",Unstructured!I17&lt;7),VLOOKUP(Unstructured!I17,Depreciation_Table,4),0)</f>
        <v>165232.54371023996</v>
      </c>
      <c r="J114" s="227">
        <f>IF(AND(Owner_is_Taxpayer_Non_Taxpayer?="Taxpayer",Unstructured!J17&lt;7),VLOOKUP(Unstructured!J17,Depreciation_Table,4),0)</f>
        <v>0</v>
      </c>
      <c r="K114" s="227">
        <f>IF(AND(Owner_is_Taxpayer_Non_Taxpayer?="Taxpayer",Unstructured!K17&lt;7),VLOOKUP(Unstructured!K17,Depreciation_Table,4),0)</f>
        <v>0</v>
      </c>
      <c r="L114" s="227">
        <f>IF(AND(Owner_is_Taxpayer_Non_Taxpayer?="Taxpayer",Unstructured!L17&lt;7),VLOOKUP(Unstructured!L17,Depreciation_Table,4),0)</f>
        <v>0</v>
      </c>
      <c r="M114" s="227">
        <f>IF(AND(Owner_is_Taxpayer_Non_Taxpayer?="Taxpayer",Unstructured!M17&lt;7),VLOOKUP(Unstructured!M17,Depreciation_Table,4),0)</f>
        <v>0</v>
      </c>
      <c r="N114" s="227">
        <f>IF(AND(Owner_is_Taxpayer_Non_Taxpayer?="Taxpayer",Unstructured!N17&lt;7),VLOOKUP(Unstructured!N17,Depreciation_Table,4),0)</f>
        <v>0</v>
      </c>
      <c r="O114" s="227">
        <f>IF(AND(Owner_is_Taxpayer_Non_Taxpayer?="Taxpayer",Unstructured!O17&lt;7),VLOOKUP(Unstructured!O17,Depreciation_Table,4),0)</f>
        <v>0</v>
      </c>
      <c r="P114" s="227">
        <f>IF(AND(Owner_is_Taxpayer_Non_Taxpayer?="Taxpayer",Unstructured!P17&lt;7),VLOOKUP(Unstructured!P17,Depreciation_Table,4),0)</f>
        <v>0</v>
      </c>
      <c r="Q114" s="227">
        <f>IF(AND(Owner_is_Taxpayer_Non_Taxpayer?="Taxpayer",Unstructured!Q17&lt;7),VLOOKUP(Unstructured!Q17,Depreciation_Table,4),0)</f>
        <v>0</v>
      </c>
      <c r="R114" s="227">
        <f>IF(AND(Owner_is_Taxpayer_Non_Taxpayer?="Taxpayer",Unstructured!R17&lt;7),VLOOKUP(Unstructured!R17,Depreciation_Table,4),0)</f>
        <v>0</v>
      </c>
      <c r="S114" s="227">
        <f>IF(AND(Owner_is_Taxpayer_Non_Taxpayer?="Taxpayer",Unstructured!S17&lt;7),VLOOKUP(Unstructured!S17,Depreciation_Table,4),0)</f>
        <v>0</v>
      </c>
      <c r="T114" s="227">
        <f>IF(AND(Owner_is_Taxpayer_Non_Taxpayer?="Taxpayer",Unstructured!T17&lt;7),VLOOKUP(Unstructured!T17,Depreciation_Table,4),0)</f>
        <v>0</v>
      </c>
      <c r="U114" s="227">
        <f>IF(AND(Owner_is_Taxpayer_Non_Taxpayer?="Taxpayer",Unstructured!U17&lt;7),VLOOKUP(Unstructured!U17,Depreciation_Table,4),0)</f>
        <v>0</v>
      </c>
      <c r="V114" s="227">
        <f>IF(AND(Owner_is_Taxpayer_Non_Taxpayer?="Taxpayer",Unstructured!V17&lt;7),VLOOKUP(Unstructured!V17,Depreciation_Table,4),0)</f>
        <v>0</v>
      </c>
      <c r="W114" s="227">
        <f>IF(AND(Owner_is_Taxpayer_Non_Taxpayer?="Taxpayer",Unstructured!W17&lt;7),VLOOKUP(Unstructured!W17,Depreciation_Table,4),0)</f>
        <v>0</v>
      </c>
      <c r="X114" s="227">
        <f>IF(AND(Owner_is_Taxpayer_Non_Taxpayer?="Taxpayer",Unstructured!X17&lt;7),VLOOKUP(Unstructured!X17,Depreciation_Table,4),0)</f>
        <v>0</v>
      </c>
      <c r="Y114" s="227">
        <f>IF(AND(Owner_is_Taxpayer_Non_Taxpayer?="Taxpayer",Unstructured!Y17&lt;7),VLOOKUP(Unstructured!Y17,Depreciation_Table,4),0)</f>
        <v>0</v>
      </c>
      <c r="Z114" s="227">
        <f>IF(AND(Owner_is_Taxpayer_Non_Taxpayer?="Taxpayer",Unstructured!Z17&lt;7),VLOOKUP(Unstructured!Z17,Depreciation_Table,4),0)</f>
        <v>0</v>
      </c>
      <c r="AA114" s="227">
        <f>IF(AND(Owner_is_Taxpayer_Non_Taxpayer?="Taxpayer",Unstructured!AA17&lt;7),VLOOKUP(Unstructured!AA17,Depreciation_Table,4),0)</f>
        <v>0</v>
      </c>
      <c r="AB114" s="227">
        <f>IF(AND(Owner_is_Taxpayer_Non_Taxpayer?="Taxpayer",Unstructured!AB17&lt;7),VLOOKUP(Unstructured!AB17,Depreciation_Table,4),0)</f>
        <v>0</v>
      </c>
      <c r="AC114" s="12"/>
    </row>
    <row r="115" spans="1:29" ht="14" x14ac:dyDescent="0.2">
      <c r="A115" s="3"/>
      <c r="B115" s="232" t="s">
        <v>189</v>
      </c>
      <c r="C115" s="244"/>
      <c r="D115" s="227">
        <f>IF(OR(Tax_Efficient_Status?="Federal Only",Tax_Efficient_Status?="Not Efficient"),C117,0)</f>
        <v>0</v>
      </c>
      <c r="E115" s="227">
        <f t="shared" ref="E115:V115" si="72">IF(OR(Tax_Efficient_Status?="Federal Only",Tax_Efficient_Status?="Not Efficient"),D117,0)</f>
        <v>0</v>
      </c>
      <c r="F115" s="227">
        <f t="shared" si="72"/>
        <v>0</v>
      </c>
      <c r="G115" s="227">
        <f t="shared" si="72"/>
        <v>0</v>
      </c>
      <c r="H115" s="227">
        <f t="shared" si="72"/>
        <v>0</v>
      </c>
      <c r="I115" s="227">
        <f t="shared" si="72"/>
        <v>0</v>
      </c>
      <c r="J115" s="227">
        <f t="shared" si="72"/>
        <v>0</v>
      </c>
      <c r="K115" s="227">
        <f t="shared" si="72"/>
        <v>0</v>
      </c>
      <c r="L115" s="227">
        <f t="shared" si="72"/>
        <v>0</v>
      </c>
      <c r="M115" s="227">
        <f t="shared" si="72"/>
        <v>0</v>
      </c>
      <c r="N115" s="227">
        <f t="shared" si="72"/>
        <v>0</v>
      </c>
      <c r="O115" s="227">
        <f t="shared" si="72"/>
        <v>0</v>
      </c>
      <c r="P115" s="227">
        <f t="shared" si="72"/>
        <v>0</v>
      </c>
      <c r="Q115" s="227">
        <f t="shared" si="72"/>
        <v>0</v>
      </c>
      <c r="R115" s="227">
        <f t="shared" si="72"/>
        <v>0</v>
      </c>
      <c r="S115" s="227">
        <f t="shared" si="72"/>
        <v>0</v>
      </c>
      <c r="T115" s="227">
        <f t="shared" si="72"/>
        <v>0</v>
      </c>
      <c r="U115" s="227">
        <f t="shared" si="72"/>
        <v>0</v>
      </c>
      <c r="V115" s="227">
        <f t="shared" si="72"/>
        <v>0</v>
      </c>
      <c r="W115" s="227">
        <f t="shared" ref="W115:AB115" si="73">IF(OR(Tax_Efficient_Status?="Federal Only",Tax_Efficient_Status?="Not Efficient"),V117,0)</f>
        <v>0</v>
      </c>
      <c r="X115" s="227">
        <f t="shared" si="73"/>
        <v>0</v>
      </c>
      <c r="Y115" s="227">
        <f t="shared" si="73"/>
        <v>0</v>
      </c>
      <c r="Z115" s="227">
        <f t="shared" si="73"/>
        <v>0</v>
      </c>
      <c r="AA115" s="227">
        <f t="shared" si="73"/>
        <v>0</v>
      </c>
      <c r="AB115" s="227">
        <f t="shared" si="73"/>
        <v>0</v>
      </c>
      <c r="AC115" s="12"/>
    </row>
    <row r="116" spans="1:29" ht="15" thickBot="1" x14ac:dyDescent="0.25">
      <c r="A116" s="3"/>
      <c r="B116" s="235" t="s">
        <v>145</v>
      </c>
      <c r="C116" s="244"/>
      <c r="D116" s="246">
        <f t="shared" ref="D116:V116" si="74">IF(D113&gt;(D114+D115),D113-(D114+D115),0)</f>
        <v>0</v>
      </c>
      <c r="E116" s="246">
        <f t="shared" si="74"/>
        <v>0</v>
      </c>
      <c r="F116" s="246">
        <f t="shared" si="74"/>
        <v>0</v>
      </c>
      <c r="G116" s="246">
        <f t="shared" si="74"/>
        <v>0</v>
      </c>
      <c r="H116" s="246">
        <f t="shared" si="74"/>
        <v>0</v>
      </c>
      <c r="I116" s="246">
        <f t="shared" si="74"/>
        <v>75025.835590592789</v>
      </c>
      <c r="J116" s="246">
        <f t="shared" si="74"/>
        <v>245027.75385463188</v>
      </c>
      <c r="K116" s="246">
        <f t="shared" si="74"/>
        <v>249891.80451299174</v>
      </c>
      <c r="L116" s="246">
        <f t="shared" si="74"/>
        <v>254852.4106591965</v>
      </c>
      <c r="M116" s="246">
        <f t="shared" si="74"/>
        <v>259911.48898318716</v>
      </c>
      <c r="N116" s="246">
        <f t="shared" si="74"/>
        <v>265070.99422211002</v>
      </c>
      <c r="O116" s="246">
        <f t="shared" si="74"/>
        <v>270332.91991556413</v>
      </c>
      <c r="P116" s="246">
        <f t="shared" si="74"/>
        <v>275699.29917584133</v>
      </c>
      <c r="Q116" s="246">
        <f t="shared" si="74"/>
        <v>281172.20547345572</v>
      </c>
      <c r="R116" s="246">
        <f t="shared" si="74"/>
        <v>286753.75343826506</v>
      </c>
      <c r="S116" s="246">
        <f t="shared" si="74"/>
        <v>292446.09967649548</v>
      </c>
      <c r="T116" s="246">
        <f t="shared" si="74"/>
        <v>298251.44360398361</v>
      </c>
      <c r="U116" s="246">
        <f t="shared" si="74"/>
        <v>304172.02829595888</v>
      </c>
      <c r="V116" s="246">
        <f t="shared" si="74"/>
        <v>310210.1413536942</v>
      </c>
      <c r="W116" s="246">
        <f t="shared" ref="W116:AB116" si="75">IF(W113&gt;(W114+W115),W113-(W114+W115),0)</f>
        <v>316368.11578835902</v>
      </c>
      <c r="X116" s="246">
        <f t="shared" si="75"/>
        <v>322648.33092241798</v>
      </c>
      <c r="Y116" s="246">
        <f t="shared" si="75"/>
        <v>329053.21330892167</v>
      </c>
      <c r="Z116" s="246">
        <f t="shared" si="75"/>
        <v>335585.23766904545</v>
      </c>
      <c r="AA116" s="246">
        <f t="shared" si="75"/>
        <v>342246.92784823908</v>
      </c>
      <c r="AB116" s="246">
        <f t="shared" si="75"/>
        <v>349040.85779135453</v>
      </c>
      <c r="AC116" s="12"/>
    </row>
    <row r="117" spans="1:29" ht="15" thickTop="1" x14ac:dyDescent="0.2">
      <c r="A117" s="3"/>
      <c r="B117" s="235" t="s">
        <v>79</v>
      </c>
      <c r="C117" s="244"/>
      <c r="D117" s="227">
        <f>IF(D113&gt;(D114+D115),0,(D114+D115)-D113)</f>
        <v>355955.71926929057</v>
      </c>
      <c r="E117" s="227">
        <f t="shared" ref="E117:V117" si="76">IF(E113&gt;(E114+E115),0,(E114+E115)-E113)</f>
        <v>695867.25623943075</v>
      </c>
      <c r="F117" s="227">
        <f t="shared" si="76"/>
        <v>324275.08281715063</v>
      </c>
      <c r="G117" s="227">
        <f t="shared" si="76"/>
        <v>99468.764256088209</v>
      </c>
      <c r="H117" s="227">
        <f t="shared" si="76"/>
        <v>94883.249371647253</v>
      </c>
      <c r="I117" s="227">
        <f t="shared" si="76"/>
        <v>0</v>
      </c>
      <c r="J117" s="227">
        <f t="shared" si="76"/>
        <v>0</v>
      </c>
      <c r="K117" s="227">
        <f t="shared" si="76"/>
        <v>0</v>
      </c>
      <c r="L117" s="227">
        <f t="shared" si="76"/>
        <v>0</v>
      </c>
      <c r="M117" s="227">
        <f t="shared" si="76"/>
        <v>0</v>
      </c>
      <c r="N117" s="227">
        <f t="shared" si="76"/>
        <v>0</v>
      </c>
      <c r="O117" s="227">
        <f t="shared" si="76"/>
        <v>0</v>
      </c>
      <c r="P117" s="227">
        <f t="shared" si="76"/>
        <v>0</v>
      </c>
      <c r="Q117" s="227">
        <f t="shared" si="76"/>
        <v>0</v>
      </c>
      <c r="R117" s="227">
        <f t="shared" si="76"/>
        <v>0</v>
      </c>
      <c r="S117" s="227">
        <f t="shared" si="76"/>
        <v>0</v>
      </c>
      <c r="T117" s="227">
        <f t="shared" si="76"/>
        <v>0</v>
      </c>
      <c r="U117" s="227">
        <f t="shared" si="76"/>
        <v>0</v>
      </c>
      <c r="V117" s="227">
        <f t="shared" si="76"/>
        <v>0</v>
      </c>
      <c r="W117" s="227">
        <f t="shared" ref="W117:AB117" si="77">IF(W113&gt;(W114+W115),0,(W114+W115)-W113)</f>
        <v>0</v>
      </c>
      <c r="X117" s="227">
        <f t="shared" si="77"/>
        <v>0</v>
      </c>
      <c r="Y117" s="227">
        <f t="shared" si="77"/>
        <v>0</v>
      </c>
      <c r="Z117" s="227">
        <f t="shared" si="77"/>
        <v>0</v>
      </c>
      <c r="AA117" s="227">
        <f t="shared" si="77"/>
        <v>0</v>
      </c>
      <c r="AB117" s="227">
        <f t="shared" si="77"/>
        <v>0</v>
      </c>
      <c r="AC117" s="12"/>
    </row>
    <row r="118" spans="1:29" ht="14" x14ac:dyDescent="0.2">
      <c r="A118" s="3"/>
      <c r="B118" s="235"/>
      <c r="C118" s="244"/>
      <c r="D118" s="244"/>
      <c r="E118" s="245"/>
      <c r="F118" s="245"/>
      <c r="G118" s="245"/>
      <c r="H118" s="245"/>
      <c r="I118" s="245"/>
      <c r="J118" s="245"/>
      <c r="K118" s="245"/>
      <c r="L118" s="245"/>
      <c r="M118" s="245"/>
      <c r="N118" s="245"/>
      <c r="O118" s="245"/>
      <c r="P118" s="245"/>
      <c r="Q118" s="245"/>
      <c r="R118" s="245"/>
      <c r="S118" s="245"/>
      <c r="T118" s="245"/>
      <c r="U118" s="245"/>
      <c r="V118" s="245"/>
      <c r="W118" s="245"/>
      <c r="X118" s="245"/>
      <c r="Y118" s="245"/>
      <c r="Z118" s="245"/>
      <c r="AA118" s="245"/>
      <c r="AB118" s="245"/>
      <c r="AC118" s="12"/>
    </row>
    <row r="119" spans="1:29" ht="14" x14ac:dyDescent="0.2">
      <c r="A119" s="3"/>
      <c r="B119" s="232" t="s">
        <v>80</v>
      </c>
      <c r="C119" s="244"/>
      <c r="D119" s="244"/>
      <c r="E119" s="245"/>
      <c r="F119" s="245"/>
      <c r="G119" s="245"/>
      <c r="H119" s="245"/>
      <c r="I119" s="245"/>
      <c r="J119" s="245"/>
      <c r="K119" s="245"/>
      <c r="L119" s="245"/>
      <c r="M119" s="245"/>
      <c r="N119" s="245"/>
      <c r="O119" s="245"/>
      <c r="P119" s="245"/>
      <c r="Q119" s="245"/>
      <c r="R119" s="245"/>
      <c r="S119" s="245"/>
      <c r="T119" s="245"/>
      <c r="U119" s="245"/>
      <c r="V119" s="245"/>
      <c r="W119" s="245"/>
      <c r="X119" s="245"/>
      <c r="Y119" s="245"/>
      <c r="Z119" s="245"/>
      <c r="AA119" s="245"/>
      <c r="AB119" s="245"/>
      <c r="AC119" s="12"/>
    </row>
    <row r="120" spans="1:29" ht="14" x14ac:dyDescent="0.2">
      <c r="A120" s="3"/>
      <c r="B120" s="235" t="s">
        <v>176</v>
      </c>
      <c r="C120" s="244"/>
      <c r="D120" s="227">
        <f>Unstructured!D30-(Unstructured!D38+Unstructured!D42+IF(D53&gt;0,Unstructured!D53,0))</f>
        <v>217768.39083570926</v>
      </c>
      <c r="E120" s="227">
        <f>Unstructured!E30-(Unstructured!E38+Unstructured!E42+Unstructured!E53)</f>
        <v>222091.31992856896</v>
      </c>
      <c r="F120" s="227">
        <f>Unstructured!F30-(Unstructured!F38+Unstructured!F42+Unstructured!F53)</f>
        <v>226500.06288364925</v>
      </c>
      <c r="G120" s="227">
        <f>Unstructured!G30-(Unstructured!G38+Unstructured!G42+Unstructured!G53)</f>
        <v>230996.32316439171</v>
      </c>
      <c r="H120" s="227">
        <f>Unstructured!H30-(Unstructured!H38+Unstructured!H42+Unstructured!H53)</f>
        <v>235581.83804883267</v>
      </c>
      <c r="I120" s="227">
        <f>Unstructured!I30-(Unstructured!I38+Unstructured!I42+Unstructured!I53)</f>
        <v>238382.73341106792</v>
      </c>
      <c r="J120" s="227">
        <f>Unstructured!J30-(Unstructured!J38+Unstructured!J42+Unstructured!J53)</f>
        <v>238902.0600082661</v>
      </c>
      <c r="K120" s="227">
        <f>Unstructured!K30-(Unstructured!K38+Unstructured!K42+Unstructured!K53)</f>
        <v>243644.50940016695</v>
      </c>
      <c r="L120" s="227">
        <f>Unstructured!L30-(Unstructured!L38+Unstructured!L42+Unstructured!L53)</f>
        <v>248481.10039271659</v>
      </c>
      <c r="M120" s="227">
        <f>Unstructured!M30-(Unstructured!M38+Unstructured!M42+Unstructured!M53)</f>
        <v>253413.70175860747</v>
      </c>
      <c r="N120" s="227">
        <f>Unstructured!N30-(Unstructured!N38+Unstructured!N42+Unstructured!N53)</f>
        <v>258444.21936655728</v>
      </c>
      <c r="O120" s="227">
        <f>Unstructured!O30-(Unstructured!O38+Unstructured!O42+Unstructured!O53)</f>
        <v>263574.59691767505</v>
      </c>
      <c r="P120" s="227">
        <f>Unstructured!P30-(Unstructured!P38+Unstructured!P42+Unstructured!P53)</f>
        <v>268806.81669644528</v>
      </c>
      <c r="Q120" s="227">
        <f>Unstructured!Q30-(Unstructured!Q38+Unstructured!Q42+Unstructured!Q53)</f>
        <v>274142.90033661935</v>
      </c>
      <c r="R120" s="227">
        <f>Unstructured!R30-(Unstructured!R38+Unstructured!R42+Unstructured!R53)</f>
        <v>279584.90960230841</v>
      </c>
      <c r="S120" s="227">
        <f>Unstructured!S30-(Unstructured!S38+Unstructured!S42+Unstructured!S53)</f>
        <v>285134.94718458311</v>
      </c>
      <c r="T120" s="227">
        <f>Unstructured!T30-(Unstructured!T38+Unstructured!T42+Unstructured!T53)</f>
        <v>290795.15751388401</v>
      </c>
      <c r="U120" s="227">
        <f>Unstructured!U30-(Unstructured!U38+Unstructured!U42+Unstructured!U53)</f>
        <v>296567.72758855997</v>
      </c>
      <c r="V120" s="227">
        <f>Unstructured!V30-(Unstructured!V38+Unstructured!V42+Unstructured!V53)</f>
        <v>302454.88781985187</v>
      </c>
      <c r="W120" s="227">
        <f>Unstructured!W30-(Unstructured!W38+Unstructured!W42+Unstructured!W53)</f>
        <v>308458.91289365006</v>
      </c>
      <c r="X120" s="227">
        <f>Unstructured!X30-(Unstructured!X38+Unstructured!X42+Unstructured!X53)</f>
        <v>314582.12264935754</v>
      </c>
      <c r="Y120" s="227">
        <f>Unstructured!Y30-(Unstructured!Y38+Unstructured!Y42+Unstructured!Y53)</f>
        <v>320826.88297619863</v>
      </c>
      <c r="Z120" s="227">
        <f>Unstructured!Z30-(Unstructured!Z38+Unstructured!Z42+Unstructured!Z53)</f>
        <v>327195.60672731936</v>
      </c>
      <c r="AA120" s="227">
        <f>Unstructured!AA30-(Unstructured!AA38+Unstructured!AA42+Unstructured!AA53)</f>
        <v>333690.75465203315</v>
      </c>
      <c r="AB120" s="227">
        <f>Unstructured!AB30-(Unstructured!AB38+Unstructured!AB42+Unstructured!AB53)</f>
        <v>340314.83634657064</v>
      </c>
      <c r="AC120" s="12"/>
    </row>
    <row r="121" spans="1:29" ht="14" x14ac:dyDescent="0.2">
      <c r="A121" s="3"/>
      <c r="B121" s="235" t="s">
        <v>177</v>
      </c>
      <c r="C121" s="244"/>
      <c r="D121" s="227">
        <f>IF(AND(Owner_is_Taxpayer_Non_Taxpayer?="Taxpayer",Unstructured!D17&lt;7),(VLOOKUP(Unstructured!D17,Depreciation_Table,3)),0)</f>
        <v>573724.11010499985</v>
      </c>
      <c r="E121" s="227">
        <f>IF(AND(Owner_is_Taxpayer_Non_Taxpayer?="Taxpayer",Unstructured!E17&lt;7),(VLOOKUP(Unstructured!E17,Depreciation_Table,3)),0)</f>
        <v>917958.57616799977</v>
      </c>
      <c r="F121" s="227">
        <f>IF(AND(Owner_is_Taxpayer_Non_Taxpayer?="Taxpayer",Unstructured!F17&lt;7),(VLOOKUP(Unstructured!F17,Depreciation_Table,3)),0)</f>
        <v>550775.14570079988</v>
      </c>
      <c r="G121" s="227">
        <f>IF(AND(Owner_is_Taxpayer_Non_Taxpayer?="Taxpayer",Unstructured!G17&lt;7),(VLOOKUP(Unstructured!G17,Depreciation_Table,3)),0)</f>
        <v>330465.08742047992</v>
      </c>
      <c r="H121" s="227">
        <f>IF(AND(Owner_is_Taxpayer_Non_Taxpayer?="Taxpayer",Unstructured!H17&lt;7),(VLOOKUP(Unstructured!H17,Depreciation_Table,3)),0)</f>
        <v>330465.08742047992</v>
      </c>
      <c r="I121" s="227">
        <f>IF(AND(Owner_is_Taxpayer_Non_Taxpayer?="Taxpayer",Unstructured!I17&lt;7),(VLOOKUP(Unstructured!I17,Depreciation_Table,3)),0)</f>
        <v>165232.54371023996</v>
      </c>
      <c r="J121" s="227">
        <f>IF(AND(Owner_is_Taxpayer_Non_Taxpayer?="Taxpayer",Unstructured!J17&lt;7),(VLOOKUP(Unstructured!J17,Depreciation_Table,3)),0)</f>
        <v>0</v>
      </c>
      <c r="K121" s="227">
        <f>IF(AND(Owner_is_Taxpayer_Non_Taxpayer?="Taxpayer",Unstructured!K17&lt;7),(VLOOKUP(Unstructured!K17,Depreciation_Table,3)),0)</f>
        <v>0</v>
      </c>
      <c r="L121" s="227">
        <f>IF(AND(Owner_is_Taxpayer_Non_Taxpayer?="Taxpayer",Unstructured!L17&lt;7),(VLOOKUP(Unstructured!L17,Depreciation_Table,3)),0)</f>
        <v>0</v>
      </c>
      <c r="M121" s="227">
        <f>IF(AND(Owner_is_Taxpayer_Non_Taxpayer?="Taxpayer",Unstructured!M17&lt;7),(VLOOKUP(Unstructured!M17,Depreciation_Table,3)),0)</f>
        <v>0</v>
      </c>
      <c r="N121" s="227">
        <f>IF(AND(Owner_is_Taxpayer_Non_Taxpayer?="Taxpayer",Unstructured!N17&lt;7),(VLOOKUP(Unstructured!N17,Depreciation_Table,3)),0)</f>
        <v>0</v>
      </c>
      <c r="O121" s="227">
        <f>IF(AND(Owner_is_Taxpayer_Non_Taxpayer?="Taxpayer",Unstructured!O17&lt;7),(VLOOKUP(Unstructured!O17,Depreciation_Table,3)),0)</f>
        <v>0</v>
      </c>
      <c r="P121" s="227">
        <f>IF(AND(Owner_is_Taxpayer_Non_Taxpayer?="Taxpayer",Unstructured!P17&lt;7),(VLOOKUP(Unstructured!P17,Depreciation_Table,3)),0)</f>
        <v>0</v>
      </c>
      <c r="Q121" s="227">
        <f>IF(AND(Owner_is_Taxpayer_Non_Taxpayer?="Taxpayer",Unstructured!Q17&lt;7),(VLOOKUP(Unstructured!Q17,Depreciation_Table,3)),0)</f>
        <v>0</v>
      </c>
      <c r="R121" s="227">
        <f>IF(AND(Owner_is_Taxpayer_Non_Taxpayer?="Taxpayer",Unstructured!R17&lt;7),(VLOOKUP(Unstructured!R17,Depreciation_Table,3)),0)</f>
        <v>0</v>
      </c>
      <c r="S121" s="227">
        <f>IF(AND(Owner_is_Taxpayer_Non_Taxpayer?="Taxpayer",Unstructured!S17&lt;7),(VLOOKUP(Unstructured!S17,Depreciation_Table,3)),0)</f>
        <v>0</v>
      </c>
      <c r="T121" s="227">
        <f>IF(AND(Owner_is_Taxpayer_Non_Taxpayer?="Taxpayer",Unstructured!T17&lt;7),(VLOOKUP(Unstructured!T17,Depreciation_Table,3)),0)</f>
        <v>0</v>
      </c>
      <c r="U121" s="227">
        <f>IF(AND(Owner_is_Taxpayer_Non_Taxpayer?="Taxpayer",Unstructured!U17&lt;7),(VLOOKUP(Unstructured!U17,Depreciation_Table,3)),0)</f>
        <v>0</v>
      </c>
      <c r="V121" s="227">
        <f>IF(AND(Owner_is_Taxpayer_Non_Taxpayer?="Taxpayer",Unstructured!V17&lt;7),(VLOOKUP(Unstructured!V17,Depreciation_Table,3)),0)</f>
        <v>0</v>
      </c>
      <c r="W121" s="227">
        <f>IF(AND(Owner_is_Taxpayer_Non_Taxpayer?="Taxpayer",Unstructured!W17&lt;7),(VLOOKUP(Unstructured!W17,Depreciation_Table,3)),0)</f>
        <v>0</v>
      </c>
      <c r="X121" s="227">
        <f>IF(AND(Owner_is_Taxpayer_Non_Taxpayer?="Taxpayer",Unstructured!X17&lt;7),(VLOOKUP(Unstructured!X17,Depreciation_Table,3)),0)</f>
        <v>0</v>
      </c>
      <c r="Y121" s="227">
        <f>IF(AND(Owner_is_Taxpayer_Non_Taxpayer?="Taxpayer",Unstructured!Y17&lt;7),(VLOOKUP(Unstructured!Y17,Depreciation_Table,3)),0)</f>
        <v>0</v>
      </c>
      <c r="Z121" s="227">
        <f>IF(AND(Owner_is_Taxpayer_Non_Taxpayer?="Taxpayer",Unstructured!Z17&lt;7),(VLOOKUP(Unstructured!Z17,Depreciation_Table,3)),0)</f>
        <v>0</v>
      </c>
      <c r="AA121" s="227">
        <f>IF(AND(Owner_is_Taxpayer_Non_Taxpayer?="Taxpayer",Unstructured!AA17&lt;7),(VLOOKUP(Unstructured!AA17,Depreciation_Table,3)),0)</f>
        <v>0</v>
      </c>
      <c r="AB121" s="227">
        <f>IF(AND(Owner_is_Taxpayer_Non_Taxpayer?="Taxpayer",Unstructured!AB17&lt;7),(VLOOKUP(Unstructured!AB17,Depreciation_Table,3)),0)</f>
        <v>0</v>
      </c>
      <c r="AC121" s="12"/>
    </row>
    <row r="122" spans="1:29" ht="14" x14ac:dyDescent="0.2">
      <c r="A122" s="3"/>
      <c r="B122" s="235" t="s">
        <v>178</v>
      </c>
      <c r="C122" s="244"/>
      <c r="D122" s="227">
        <f>IF(Tax_Efficient_Status?="Not Efficient",C124,0)</f>
        <v>0</v>
      </c>
      <c r="E122" s="227">
        <f t="shared" ref="E122:V122" si="78">IF(Tax_Efficient_Status?="Not Efficient",D124,0)</f>
        <v>0</v>
      </c>
      <c r="F122" s="227">
        <f t="shared" si="78"/>
        <v>0</v>
      </c>
      <c r="G122" s="227">
        <f t="shared" si="78"/>
        <v>0</v>
      </c>
      <c r="H122" s="227">
        <f t="shared" si="78"/>
        <v>0</v>
      </c>
      <c r="I122" s="227">
        <f t="shared" si="78"/>
        <v>0</v>
      </c>
      <c r="J122" s="227">
        <f t="shared" si="78"/>
        <v>0</v>
      </c>
      <c r="K122" s="227">
        <f t="shared" si="78"/>
        <v>0</v>
      </c>
      <c r="L122" s="227">
        <f t="shared" si="78"/>
        <v>0</v>
      </c>
      <c r="M122" s="227">
        <f t="shared" si="78"/>
        <v>0</v>
      </c>
      <c r="N122" s="227">
        <f t="shared" si="78"/>
        <v>0</v>
      </c>
      <c r="O122" s="227">
        <f t="shared" si="78"/>
        <v>0</v>
      </c>
      <c r="P122" s="227">
        <f t="shared" si="78"/>
        <v>0</v>
      </c>
      <c r="Q122" s="227">
        <f t="shared" si="78"/>
        <v>0</v>
      </c>
      <c r="R122" s="227">
        <f t="shared" si="78"/>
        <v>0</v>
      </c>
      <c r="S122" s="227">
        <f t="shared" si="78"/>
        <v>0</v>
      </c>
      <c r="T122" s="227">
        <f t="shared" si="78"/>
        <v>0</v>
      </c>
      <c r="U122" s="227">
        <f t="shared" si="78"/>
        <v>0</v>
      </c>
      <c r="V122" s="227">
        <f t="shared" si="78"/>
        <v>0</v>
      </c>
      <c r="W122" s="227">
        <f t="shared" ref="W122:AB122" si="79">IF(Tax_Efficient_Status?="Not Efficient",V124,0)</f>
        <v>0</v>
      </c>
      <c r="X122" s="227">
        <f t="shared" si="79"/>
        <v>0</v>
      </c>
      <c r="Y122" s="227">
        <f t="shared" si="79"/>
        <v>0</v>
      </c>
      <c r="Z122" s="227">
        <f t="shared" si="79"/>
        <v>0</v>
      </c>
      <c r="AA122" s="227">
        <f t="shared" si="79"/>
        <v>0</v>
      </c>
      <c r="AB122" s="227">
        <f t="shared" si="79"/>
        <v>0</v>
      </c>
      <c r="AC122" s="12"/>
    </row>
    <row r="123" spans="1:29" ht="15" thickBot="1" x14ac:dyDescent="0.25">
      <c r="A123" s="3"/>
      <c r="B123" s="235" t="s">
        <v>146</v>
      </c>
      <c r="C123" s="244"/>
      <c r="D123" s="246">
        <f t="shared" ref="D123:V123" si="80">IF(D120&gt;(D121+D122),D120-(D121+D122),0)</f>
        <v>0</v>
      </c>
      <c r="E123" s="246">
        <f t="shared" si="80"/>
        <v>0</v>
      </c>
      <c r="F123" s="246">
        <f t="shared" si="80"/>
        <v>0</v>
      </c>
      <c r="G123" s="246">
        <f t="shared" si="80"/>
        <v>0</v>
      </c>
      <c r="H123" s="246">
        <f t="shared" si="80"/>
        <v>0</v>
      </c>
      <c r="I123" s="246">
        <f t="shared" si="80"/>
        <v>73150.189700827963</v>
      </c>
      <c r="J123" s="246">
        <f t="shared" si="80"/>
        <v>238902.0600082661</v>
      </c>
      <c r="K123" s="246">
        <f t="shared" si="80"/>
        <v>243644.50940016695</v>
      </c>
      <c r="L123" s="246">
        <f t="shared" si="80"/>
        <v>248481.10039271659</v>
      </c>
      <c r="M123" s="246">
        <f t="shared" si="80"/>
        <v>253413.70175860747</v>
      </c>
      <c r="N123" s="246">
        <f t="shared" si="80"/>
        <v>258444.21936655728</v>
      </c>
      <c r="O123" s="246">
        <f t="shared" si="80"/>
        <v>263574.59691767505</v>
      </c>
      <c r="P123" s="246">
        <f t="shared" si="80"/>
        <v>268806.81669644528</v>
      </c>
      <c r="Q123" s="246">
        <f t="shared" si="80"/>
        <v>274142.90033661935</v>
      </c>
      <c r="R123" s="246">
        <f t="shared" si="80"/>
        <v>279584.90960230841</v>
      </c>
      <c r="S123" s="246">
        <f t="shared" si="80"/>
        <v>285134.94718458311</v>
      </c>
      <c r="T123" s="246">
        <f t="shared" si="80"/>
        <v>290795.15751388401</v>
      </c>
      <c r="U123" s="246">
        <f t="shared" si="80"/>
        <v>296567.72758855997</v>
      </c>
      <c r="V123" s="246">
        <f t="shared" si="80"/>
        <v>302454.88781985187</v>
      </c>
      <c r="W123" s="246">
        <f t="shared" ref="W123:AB123" si="81">IF(W120&gt;(W121+W122),W120-(W121+W122),0)</f>
        <v>308458.91289365006</v>
      </c>
      <c r="X123" s="246">
        <f t="shared" si="81"/>
        <v>314582.12264935754</v>
      </c>
      <c r="Y123" s="246">
        <f t="shared" si="81"/>
        <v>320826.88297619863</v>
      </c>
      <c r="Z123" s="246">
        <f t="shared" si="81"/>
        <v>327195.60672731936</v>
      </c>
      <c r="AA123" s="246">
        <f t="shared" si="81"/>
        <v>333690.75465203315</v>
      </c>
      <c r="AB123" s="246">
        <f t="shared" si="81"/>
        <v>340314.83634657064</v>
      </c>
      <c r="AC123" s="12"/>
    </row>
    <row r="124" spans="1:29" ht="15" thickTop="1" x14ac:dyDescent="0.2">
      <c r="A124" s="3"/>
      <c r="B124" s="236" t="s">
        <v>179</v>
      </c>
      <c r="C124" s="247"/>
      <c r="D124" s="195">
        <f t="shared" ref="D124:V124" si="82">IF(D120&gt;(D121+D122),0,(D121+D122)-D120)</f>
        <v>355955.71926929057</v>
      </c>
      <c r="E124" s="195">
        <f t="shared" si="82"/>
        <v>695867.25623943075</v>
      </c>
      <c r="F124" s="195">
        <f t="shared" si="82"/>
        <v>324275.08281715063</v>
      </c>
      <c r="G124" s="195">
        <f t="shared" si="82"/>
        <v>99468.764256088209</v>
      </c>
      <c r="H124" s="195">
        <f t="shared" si="82"/>
        <v>94883.249371647253</v>
      </c>
      <c r="I124" s="195">
        <f t="shared" si="82"/>
        <v>0</v>
      </c>
      <c r="J124" s="195">
        <f t="shared" si="82"/>
        <v>0</v>
      </c>
      <c r="K124" s="195">
        <f t="shared" si="82"/>
        <v>0</v>
      </c>
      <c r="L124" s="195">
        <f t="shared" si="82"/>
        <v>0</v>
      </c>
      <c r="M124" s="195">
        <f t="shared" si="82"/>
        <v>0</v>
      </c>
      <c r="N124" s="195">
        <f t="shared" si="82"/>
        <v>0</v>
      </c>
      <c r="O124" s="195">
        <f t="shared" si="82"/>
        <v>0</v>
      </c>
      <c r="P124" s="195">
        <f t="shared" si="82"/>
        <v>0</v>
      </c>
      <c r="Q124" s="195">
        <f t="shared" si="82"/>
        <v>0</v>
      </c>
      <c r="R124" s="195">
        <f t="shared" si="82"/>
        <v>0</v>
      </c>
      <c r="S124" s="195">
        <f t="shared" si="82"/>
        <v>0</v>
      </c>
      <c r="T124" s="195">
        <f t="shared" si="82"/>
        <v>0</v>
      </c>
      <c r="U124" s="195">
        <f t="shared" si="82"/>
        <v>0</v>
      </c>
      <c r="V124" s="195">
        <f t="shared" si="82"/>
        <v>0</v>
      </c>
      <c r="W124" s="195">
        <f t="shared" ref="W124:AB124" si="83">IF(W120&gt;(W121+W122),0,(W121+W122)-W120)</f>
        <v>0</v>
      </c>
      <c r="X124" s="195">
        <f t="shared" si="83"/>
        <v>0</v>
      </c>
      <c r="Y124" s="195">
        <f t="shared" si="83"/>
        <v>0</v>
      </c>
      <c r="Z124" s="195">
        <f t="shared" si="83"/>
        <v>0</v>
      </c>
      <c r="AA124" s="195">
        <f t="shared" si="83"/>
        <v>0</v>
      </c>
      <c r="AB124" s="195">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348</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73" t="s">
        <v>61</v>
      </c>
      <c r="D132" s="574"/>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286</v>
      </c>
      <c r="D133" s="15">
        <f>Dashboard!H24</f>
        <v>3675120.790361709</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287</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75" t="s">
        <v>43</v>
      </c>
      <c r="D136" s="576"/>
      <c r="E136" s="576"/>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0.69002786616283773</v>
      </c>
      <c r="E137" s="45">
        <f>NPV(Dashboard!$H$25,D152:AB152)</f>
        <v>2813247.7336462531</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0.233176338586291</v>
      </c>
      <c r="E138" s="46">
        <f>NPV(Dashboard!$H$25,D153:W153)</f>
        <v>950661.32577464776</v>
      </c>
    </row>
    <row r="139" spans="2:29" ht="14" x14ac:dyDescent="0.2">
      <c r="C139" s="50" t="s">
        <v>18</v>
      </c>
      <c r="D139" s="55">
        <f>E139/$E$141</f>
        <v>7.019419805302704E-2</v>
      </c>
      <c r="E139" s="46">
        <f>NPV(Dashboard!$H$25,D154:AB154)</f>
        <v>286182.16491157375</v>
      </c>
    </row>
    <row r="140" spans="2:29" ht="15" thickBot="1" x14ac:dyDescent="0.25">
      <c r="C140" s="50" t="s">
        <v>47</v>
      </c>
      <c r="D140" s="56">
        <f>E140/$E$141</f>
        <v>6.6015971978442096E-3</v>
      </c>
      <c r="E140" s="47">
        <f>NPV(Dashboard!$H$25,D155:AB155)</f>
        <v>26914.751223826577</v>
      </c>
      <c r="O140" t="s">
        <v>348</v>
      </c>
    </row>
    <row r="141" spans="2:29" ht="15" thickTop="1" x14ac:dyDescent="0.2">
      <c r="C141" s="43"/>
      <c r="D141" s="57">
        <f>SUM(D137:D140)</f>
        <v>1</v>
      </c>
      <c r="E141" s="44">
        <f>SUM(E137:E140)</f>
        <v>4077005.9755563014</v>
      </c>
    </row>
    <row r="143" spans="2:29" ht="14" x14ac:dyDescent="0.2">
      <c r="B143" s="1"/>
      <c r="C143" s="573" t="s">
        <v>44</v>
      </c>
      <c r="D143" s="574"/>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73" t="s">
        <v>29</v>
      </c>
      <c r="D148" s="574"/>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217768.39083570923</v>
      </c>
      <c r="E152" s="49">
        <f>Unstructured!E80</f>
        <v>222091.31992856902</v>
      </c>
      <c r="F152" s="49">
        <f>Unstructured!F80</f>
        <v>226500.0628836492</v>
      </c>
      <c r="G152" s="49">
        <f>Unstructured!G80</f>
        <v>230996.32316439168</v>
      </c>
      <c r="H152" s="49">
        <f>Unstructured!H80</f>
        <v>235581.83804883267</v>
      </c>
      <c r="I152" s="49">
        <f>Unstructured!I80</f>
        <v>223021.19357389404</v>
      </c>
      <c r="J152" s="49">
        <f>Unstructured!J80</f>
        <v>188732.62740653023</v>
      </c>
      <c r="K152" s="49">
        <f>Unstructured!K80</f>
        <v>192479.16242613189</v>
      </c>
      <c r="L152" s="49">
        <f>Unstructured!L80</f>
        <v>196300.06931024609</v>
      </c>
      <c r="M152" s="49">
        <f>Unstructured!M80</f>
        <v>200196.8243892999</v>
      </c>
      <c r="N152" s="49">
        <f>Unstructured!N80</f>
        <v>204170.93329958024</v>
      </c>
      <c r="O152" s="49">
        <f>Unstructured!O80</f>
        <v>208223.93156496331</v>
      </c>
      <c r="P152" s="49">
        <f>Unstructured!P80</f>
        <v>212357.38519019177</v>
      </c>
      <c r="Q152" s="49">
        <f>Unstructured!Q80</f>
        <v>216572.8912659293</v>
      </c>
      <c r="R152" s="49">
        <f>Unstructured!R80</f>
        <v>220872.07858582365</v>
      </c>
      <c r="S152" s="49">
        <f>Unstructured!S80</f>
        <v>225256.60827582068</v>
      </c>
      <c r="T152" s="49">
        <f>Unstructured!T80</f>
        <v>229728.17443596837</v>
      </c>
      <c r="U152" s="49">
        <f>Unstructured!U80</f>
        <v>234288.50479496238</v>
      </c>
      <c r="V152" s="49">
        <f>Unstructured!V80</f>
        <v>238939.36137768297</v>
      </c>
      <c r="W152" s="49">
        <f>Unstructured!W80</f>
        <v>243682.54118598354</v>
      </c>
      <c r="X152" s="49">
        <f>Unstructured!X80</f>
        <v>248519.87689299247</v>
      </c>
      <c r="Y152" s="49">
        <f>Unstructured!Y80</f>
        <v>253453.23755119691</v>
      </c>
      <c r="Z152" s="49">
        <f>Unstructured!Z80</f>
        <v>258484.52931458229</v>
      </c>
      <c r="AA152" s="49">
        <f>Unstructured!AA80</f>
        <v>263615.69617510622</v>
      </c>
      <c r="AB152" s="49">
        <f>Unstructured!AB80</f>
        <v>820116.83926804713</v>
      </c>
      <c r="AC152" s="49"/>
    </row>
    <row r="153" spans="2:29" ht="14" x14ac:dyDescent="0.2">
      <c r="C153" s="50" t="s">
        <v>17</v>
      </c>
      <c r="D153" s="51">
        <f>Unstructured!D69</f>
        <v>1012454.3119499998</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74750.70104655101</v>
      </c>
      <c r="E154" s="51">
        <f>Unstructured!E70</f>
        <v>146132.12381028046</v>
      </c>
      <c r="F154" s="51">
        <f>Unstructured!F70</f>
        <v>68097.767391601636</v>
      </c>
      <c r="G154" s="51">
        <f>Unstructured!G70</f>
        <v>20888.440493778522</v>
      </c>
      <c r="H154" s="51">
        <f>Unstructured!H70</f>
        <v>19925.482368045923</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7030.1254555684891</v>
      </c>
      <c r="E155" s="53">
        <f>Unstructured!E72</f>
        <v>13743.378310728758</v>
      </c>
      <c r="F155" s="53">
        <f>Unstructured!F72</f>
        <v>6404.4328856387256</v>
      </c>
      <c r="G155" s="53">
        <f>Unstructured!G72</f>
        <v>1964.5080940577423</v>
      </c>
      <c r="H155" s="53">
        <f>Unstructured!H72</f>
        <v>1873.9441750900332</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399"/>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9" t="s">
        <v>408</v>
      </c>
    </row>
    <row r="158" spans="2:29" ht="14" x14ac:dyDescent="0.2">
      <c r="C158" s="559"/>
      <c r="D158" s="60">
        <v>1</v>
      </c>
      <c r="E158" s="176">
        <v>2</v>
      </c>
      <c r="F158" s="176">
        <v>3</v>
      </c>
      <c r="G158" s="176">
        <v>4</v>
      </c>
      <c r="H158" s="176">
        <v>5</v>
      </c>
      <c r="I158" s="176">
        <v>6</v>
      </c>
      <c r="J158" s="176">
        <v>7</v>
      </c>
      <c r="K158" s="176">
        <v>8</v>
      </c>
      <c r="L158" s="176">
        <v>9</v>
      </c>
      <c r="M158" s="176">
        <v>10</v>
      </c>
      <c r="N158" s="176">
        <v>11</v>
      </c>
      <c r="O158" s="176">
        <v>12</v>
      </c>
      <c r="P158" s="176">
        <v>13</v>
      </c>
      <c r="Q158" s="176">
        <v>14</v>
      </c>
      <c r="R158" s="176">
        <v>15</v>
      </c>
      <c r="S158" s="176">
        <v>16</v>
      </c>
      <c r="T158" s="176">
        <v>17</v>
      </c>
      <c r="U158" s="176">
        <v>18</v>
      </c>
      <c r="V158" s="176">
        <v>19</v>
      </c>
      <c r="W158" s="176">
        <v>20</v>
      </c>
      <c r="X158" s="176">
        <v>21</v>
      </c>
      <c r="Y158" s="176">
        <v>22</v>
      </c>
      <c r="Z158" s="176">
        <v>23</v>
      </c>
      <c r="AA158" s="176">
        <v>24</v>
      </c>
      <c r="AB158" s="176">
        <v>25</v>
      </c>
      <c r="AC158" s="176"/>
    </row>
    <row r="159" spans="2:29" ht="14" x14ac:dyDescent="0.2">
      <c r="C159" s="50" t="s">
        <v>5</v>
      </c>
      <c r="D159" s="51">
        <f>D152</f>
        <v>217768.39083570923</v>
      </c>
      <c r="E159" s="51">
        <f t="shared" ref="E159:V159" si="84">E152</f>
        <v>222091.31992856902</v>
      </c>
      <c r="F159" s="51">
        <f t="shared" si="84"/>
        <v>226500.0628836492</v>
      </c>
      <c r="G159" s="51">
        <f t="shared" si="84"/>
        <v>230996.32316439168</v>
      </c>
      <c r="H159" s="51">
        <f t="shared" si="84"/>
        <v>235581.83804883267</v>
      </c>
      <c r="I159" s="51">
        <f t="shared" si="84"/>
        <v>223021.19357389404</v>
      </c>
      <c r="J159" s="51">
        <f t="shared" si="84"/>
        <v>188732.62740653023</v>
      </c>
      <c r="K159" s="51">
        <f t="shared" si="84"/>
        <v>192479.16242613189</v>
      </c>
      <c r="L159" s="51">
        <f t="shared" si="84"/>
        <v>196300.06931024609</v>
      </c>
      <c r="M159" s="51">
        <f t="shared" si="84"/>
        <v>200196.8243892999</v>
      </c>
      <c r="N159" s="51">
        <f t="shared" si="84"/>
        <v>204170.93329958024</v>
      </c>
      <c r="O159" s="51">
        <f t="shared" si="84"/>
        <v>208223.93156496331</v>
      </c>
      <c r="P159" s="51">
        <f t="shared" si="84"/>
        <v>212357.38519019177</v>
      </c>
      <c r="Q159" s="51">
        <f t="shared" si="84"/>
        <v>216572.8912659293</v>
      </c>
      <c r="R159" s="51">
        <f t="shared" si="84"/>
        <v>220872.07858582365</v>
      </c>
      <c r="S159" s="51">
        <f t="shared" si="84"/>
        <v>225256.60827582068</v>
      </c>
      <c r="T159" s="51">
        <f t="shared" si="84"/>
        <v>229728.17443596837</v>
      </c>
      <c r="U159" s="51">
        <f t="shared" si="84"/>
        <v>234288.50479496238</v>
      </c>
      <c r="V159" s="51">
        <f t="shared" si="84"/>
        <v>238939.36137768297</v>
      </c>
      <c r="W159" s="51">
        <f t="shared" ref="W159:AB159" si="85">W152</f>
        <v>243682.54118598354</v>
      </c>
      <c r="X159" s="51">
        <f t="shared" si="85"/>
        <v>248519.87689299247</v>
      </c>
      <c r="Y159" s="51">
        <f t="shared" si="85"/>
        <v>253453.23755119691</v>
      </c>
      <c r="Z159" s="51">
        <f t="shared" si="85"/>
        <v>258484.52931458229</v>
      </c>
      <c r="AA159" s="51">
        <f t="shared" si="85"/>
        <v>263615.69617510622</v>
      </c>
      <c r="AB159" s="51">
        <f t="shared" si="85"/>
        <v>820116.83926804713</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60" t="s">
        <v>410</v>
      </c>
    </row>
    <row r="164" spans="3:29" ht="14" x14ac:dyDescent="0.2">
      <c r="C164" s="561"/>
      <c r="D164" s="406">
        <v>1</v>
      </c>
      <c r="E164" s="407">
        <v>2</v>
      </c>
      <c r="F164" s="407">
        <v>3</v>
      </c>
      <c r="G164" s="407">
        <v>4</v>
      </c>
      <c r="H164" s="407">
        <v>5</v>
      </c>
      <c r="I164" s="407">
        <v>6</v>
      </c>
      <c r="J164" s="407">
        <v>7</v>
      </c>
      <c r="K164" s="407">
        <v>8</v>
      </c>
      <c r="L164" s="407">
        <v>9</v>
      </c>
      <c r="M164" s="407">
        <v>10</v>
      </c>
    </row>
    <row r="165" spans="3:29" ht="14" x14ac:dyDescent="0.2">
      <c r="C165" s="400" t="s">
        <v>411</v>
      </c>
      <c r="D165" s="401"/>
      <c r="E165" s="401"/>
      <c r="F165" s="401"/>
      <c r="G165" s="401"/>
      <c r="H165" s="401"/>
      <c r="I165" s="401"/>
      <c r="J165" s="401"/>
      <c r="K165" s="401"/>
      <c r="L165" s="401"/>
      <c r="M165" s="402"/>
      <c r="N165" s="51"/>
      <c r="O165" s="51"/>
      <c r="P165" s="51"/>
      <c r="Q165" s="51"/>
      <c r="R165" s="51"/>
      <c r="S165" s="51"/>
      <c r="T165" s="51"/>
    </row>
    <row r="166" spans="3:29" ht="14" x14ac:dyDescent="0.2">
      <c r="C166" s="50" t="s">
        <v>412</v>
      </c>
      <c r="D166" s="51">
        <f t="shared" ref="D166:M166" si="90">(D121*Taxpayer_Marginal_Rate) + IF(D164=1,(Federal_ITC_Rate*(Project_Sale_Price-(Roof_Upgrade_Cost+Site_Purchase_Price))),0)</f>
        <v>1223018.3002305625</v>
      </c>
      <c r="E166" s="51">
        <f t="shared" si="90"/>
        <v>192771.30099527995</v>
      </c>
      <c r="F166" s="51">
        <f t="shared" si="90"/>
        <v>115662.78059716798</v>
      </c>
      <c r="G166" s="51">
        <f t="shared" si="90"/>
        <v>69397.668358300783</v>
      </c>
      <c r="H166" s="51">
        <f t="shared" si="90"/>
        <v>69397.668358300783</v>
      </c>
      <c r="I166" s="51">
        <f t="shared" si="90"/>
        <v>34698.834179150392</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409</v>
      </c>
      <c r="D167" s="51">
        <f t="shared" ref="D167:M167" si="91">D40</f>
        <v>217768.39083570926</v>
      </c>
      <c r="E167" s="51">
        <f t="shared" si="91"/>
        <v>222091.31992856896</v>
      </c>
      <c r="F167" s="51">
        <f t="shared" si="91"/>
        <v>226500.06288364925</v>
      </c>
      <c r="G167" s="51">
        <f t="shared" si="91"/>
        <v>230996.32316439171</v>
      </c>
      <c r="H167" s="51">
        <f t="shared" si="91"/>
        <v>235581.83804883267</v>
      </c>
      <c r="I167" s="51">
        <f t="shared" si="91"/>
        <v>240258.37930083275</v>
      </c>
      <c r="J167" s="51">
        <f t="shared" si="91"/>
        <v>245027.75385463188</v>
      </c>
      <c r="K167" s="51">
        <f t="shared" si="91"/>
        <v>249891.80451299174</v>
      </c>
      <c r="L167" s="51">
        <f t="shared" si="91"/>
        <v>254852.4106591965</v>
      </c>
      <c r="M167" s="46">
        <f t="shared" si="91"/>
        <v>259911.48898318716</v>
      </c>
      <c r="N167" s="51"/>
      <c r="O167" s="51"/>
      <c r="P167" s="51"/>
      <c r="Q167" s="51"/>
      <c r="R167" s="51"/>
      <c r="S167" s="51"/>
      <c r="T167" s="51"/>
    </row>
    <row r="168" spans="3:29" ht="14" x14ac:dyDescent="0.2">
      <c r="C168" s="50" t="s">
        <v>416</v>
      </c>
      <c r="D168" s="51">
        <f>IF(D166&gt;=D167,-(D167-D166),0)</f>
        <v>1005249.9093948532</v>
      </c>
      <c r="E168" s="51">
        <f t="shared" ref="E168:M168" si="92">IF(E166&gt;=E167,-(E167-E166),0)</f>
        <v>0</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3"/>
      <c r="M169" s="404"/>
    </row>
    <row r="170" spans="3:29" ht="14" x14ac:dyDescent="0.2">
      <c r="C170" s="405" t="s">
        <v>413</v>
      </c>
      <c r="M170" s="404"/>
    </row>
    <row r="171" spans="3:29" ht="14" x14ac:dyDescent="0.2">
      <c r="C171" s="50" t="s">
        <v>412</v>
      </c>
      <c r="D171" s="51">
        <f>D166</f>
        <v>1223018.3002305625</v>
      </c>
      <c r="E171" s="51">
        <f t="shared" ref="E171:M171" si="93">E166</f>
        <v>192771.30099527995</v>
      </c>
      <c r="F171" s="51">
        <f t="shared" si="93"/>
        <v>115662.78059716798</v>
      </c>
      <c r="G171" s="51">
        <f t="shared" si="93"/>
        <v>69397.668358300783</v>
      </c>
      <c r="H171" s="51">
        <f t="shared" si="93"/>
        <v>69397.668358300783</v>
      </c>
      <c r="I171" s="51">
        <f t="shared" si="93"/>
        <v>34698.834179150392</v>
      </c>
      <c r="J171" s="51">
        <f t="shared" si="93"/>
        <v>0</v>
      </c>
      <c r="K171" s="51">
        <f t="shared" si="93"/>
        <v>0</v>
      </c>
      <c r="L171" s="51">
        <f t="shared" si="93"/>
        <v>0</v>
      </c>
      <c r="M171" s="46">
        <f t="shared" si="93"/>
        <v>0</v>
      </c>
    </row>
    <row r="172" spans="3:29" ht="14" x14ac:dyDescent="0.2">
      <c r="C172" s="50" t="s">
        <v>409</v>
      </c>
      <c r="D172" s="51">
        <f>D167</f>
        <v>217768.39083570926</v>
      </c>
      <c r="E172" s="51">
        <f t="shared" ref="E172:M172" si="94">E167</f>
        <v>222091.31992856896</v>
      </c>
      <c r="F172" s="51">
        <f t="shared" si="94"/>
        <v>226500.06288364925</v>
      </c>
      <c r="G172" s="51">
        <f t="shared" si="94"/>
        <v>230996.32316439171</v>
      </c>
      <c r="H172" s="51">
        <f t="shared" si="94"/>
        <v>235581.83804883267</v>
      </c>
      <c r="I172" s="51">
        <f t="shared" si="94"/>
        <v>240258.37930083275</v>
      </c>
      <c r="J172" s="51">
        <f t="shared" si="94"/>
        <v>245027.75385463188</v>
      </c>
      <c r="K172" s="51">
        <f t="shared" si="94"/>
        <v>249891.80451299174</v>
      </c>
      <c r="L172" s="51">
        <f t="shared" si="94"/>
        <v>254852.4106591965</v>
      </c>
      <c r="M172" s="46">
        <f t="shared" si="94"/>
        <v>259911.48898318716</v>
      </c>
    </row>
    <row r="173" spans="3:29" ht="14" x14ac:dyDescent="0.2">
      <c r="C173" s="50" t="s">
        <v>415</v>
      </c>
      <c r="D173" s="51">
        <f>IF(D166&gt;=D167,-(D167-D166),0)</f>
        <v>1005249.9093948532</v>
      </c>
      <c r="E173" s="51">
        <f t="shared" ref="E173:M173" si="95">IF(E166&gt;=E167,-(E167-E166),0)</f>
        <v>0</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414</v>
      </c>
      <c r="D174" s="53">
        <f>D173</f>
        <v>1005249.9093948532</v>
      </c>
      <c r="E174" s="53">
        <f>MAX((D174 +E171)-E172,0)</f>
        <v>975929.89046156406</v>
      </c>
      <c r="F174" s="53">
        <f t="shared" ref="F174:M174" si="96">MAX((E174 +F171)-F172,0)</f>
        <v>865092.60817508283</v>
      </c>
      <c r="G174" s="53">
        <f t="shared" si="96"/>
        <v>703493.95336899196</v>
      </c>
      <c r="H174" s="53">
        <f t="shared" si="96"/>
        <v>537309.78367846017</v>
      </c>
      <c r="I174" s="53">
        <f t="shared" si="96"/>
        <v>331750.23855677783</v>
      </c>
      <c r="J174" s="53">
        <f t="shared" si="96"/>
        <v>86722.484702145943</v>
      </c>
      <c r="K174" s="53">
        <f t="shared" si="96"/>
        <v>0</v>
      </c>
      <c r="L174" s="53">
        <f t="shared" si="96"/>
        <v>0</v>
      </c>
      <c r="M174" s="44">
        <f t="shared" si="96"/>
        <v>0</v>
      </c>
    </row>
    <row r="202" spans="15:15" x14ac:dyDescent="0.15">
      <c r="O202" s="34" t="s">
        <v>417</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topLeftCell="N2"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406</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62" t="s">
        <v>0</v>
      </c>
      <c r="O4" s="563"/>
      <c r="P4" s="563"/>
      <c r="Q4" s="563"/>
      <c r="R4" s="563"/>
      <c r="S4" s="563"/>
      <c r="T4" s="563"/>
      <c r="U4" s="563"/>
      <c r="V4" s="563"/>
      <c r="W4" s="563"/>
      <c r="X4" s="563"/>
      <c r="Y4" s="563"/>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463</v>
      </c>
      <c r="I5" s="473"/>
      <c r="J5" s="473"/>
      <c r="K5" s="473"/>
      <c r="L5" s="473"/>
      <c r="N5" s="564" t="s">
        <v>134</v>
      </c>
      <c r="O5" s="565"/>
      <c r="P5" s="565"/>
      <c r="Q5" s="565"/>
      <c r="R5" s="565"/>
      <c r="S5" s="565"/>
      <c r="T5" s="565"/>
      <c r="U5" s="565"/>
      <c r="V5" s="565"/>
      <c r="W5" s="565"/>
      <c r="X5" s="565"/>
      <c r="Y5" s="566"/>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67"/>
      <c r="O6" s="568"/>
      <c r="P6" s="568"/>
      <c r="Q6" s="568"/>
      <c r="R6" s="568"/>
      <c r="S6" s="568"/>
      <c r="T6" s="568"/>
      <c r="U6" s="568"/>
      <c r="V6" s="568"/>
      <c r="W6" s="568"/>
      <c r="X6" s="568"/>
      <c r="Y6" s="569"/>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7"/>
      <c r="O7" s="568"/>
      <c r="P7" s="568"/>
      <c r="Q7" s="568"/>
      <c r="R7" s="568"/>
      <c r="S7" s="568"/>
      <c r="T7" s="568"/>
      <c r="U7" s="568"/>
      <c r="V7" s="568"/>
      <c r="W7" s="568"/>
      <c r="X7" s="568"/>
      <c r="Y7" s="569"/>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486" t="s">
        <v>214</v>
      </c>
      <c r="I8" s="487"/>
      <c r="J8" s="580"/>
      <c r="K8" s="581"/>
      <c r="M8" s="3"/>
      <c r="N8" s="567"/>
      <c r="O8" s="568"/>
      <c r="P8" s="568"/>
      <c r="Q8" s="568"/>
      <c r="R8" s="568"/>
      <c r="S8" s="568"/>
      <c r="T8" s="568"/>
      <c r="U8" s="568"/>
      <c r="V8" s="568"/>
      <c r="W8" s="568"/>
      <c r="X8" s="568"/>
      <c r="Y8" s="569"/>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57" t="s">
        <v>216</v>
      </c>
      <c r="I9" s="558"/>
      <c r="J9" s="582"/>
      <c r="K9" s="583"/>
      <c r="M9" s="3"/>
      <c r="N9" s="567"/>
      <c r="O9" s="568"/>
      <c r="P9" s="568"/>
      <c r="Q9" s="568"/>
      <c r="R9" s="568"/>
      <c r="S9" s="568"/>
      <c r="T9" s="568"/>
      <c r="U9" s="568"/>
      <c r="V9" s="568"/>
      <c r="W9" s="568"/>
      <c r="X9" s="568"/>
      <c r="Y9" s="569"/>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7"/>
      <c r="O10" s="568"/>
      <c r="P10" s="568"/>
      <c r="Q10" s="568"/>
      <c r="R10" s="568"/>
      <c r="S10" s="568"/>
      <c r="T10" s="568"/>
      <c r="U10" s="568"/>
      <c r="V10" s="568"/>
      <c r="W10" s="568"/>
      <c r="X10" s="568"/>
      <c r="Y10" s="569"/>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70"/>
      <c r="O11" s="571"/>
      <c r="P11" s="571"/>
      <c r="Q11" s="571"/>
      <c r="R11" s="571"/>
      <c r="S11" s="571"/>
      <c r="T11" s="571"/>
      <c r="U11" s="571"/>
      <c r="V11" s="571"/>
      <c r="W11" s="571"/>
      <c r="X11" s="571"/>
      <c r="Y11" s="572"/>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321</v>
      </c>
      <c r="C13" s="11"/>
      <c r="D13" s="34"/>
      <c r="E13" s="34"/>
    </row>
    <row r="14" spans="1:77" ht="19" customHeight="1" x14ac:dyDescent="0.25">
      <c r="B14" s="11" t="s">
        <v>322</v>
      </c>
      <c r="C14" s="11"/>
      <c r="E14" s="588" t="s">
        <v>361</v>
      </c>
      <c r="F14" s="589"/>
      <c r="G14" s="589"/>
      <c r="H14" s="594" t="str">
        <f>IF(Dashboard!H27="Yes", "WARNING: Project Level Debt is turned ON.", "Project Level Debt is turned off in Dashboard Cell H27.")</f>
        <v>Project Level Debt is turned off in Dashboard Cell H27.</v>
      </c>
      <c r="I14" s="595"/>
    </row>
    <row r="15" spans="1:77" ht="19" x14ac:dyDescent="0.25">
      <c r="B15" s="180" t="s">
        <v>380</v>
      </c>
      <c r="C15" s="180"/>
      <c r="E15" s="590"/>
      <c r="F15" s="591"/>
      <c r="G15" s="591"/>
      <c r="H15" s="596"/>
      <c r="I15" s="597"/>
    </row>
    <row r="16" spans="1:77" x14ac:dyDescent="0.15">
      <c r="E16" s="590"/>
      <c r="F16" s="591"/>
      <c r="G16" s="591"/>
      <c r="H16" s="596"/>
      <c r="I16" s="597"/>
    </row>
    <row r="17" spans="2:28" ht="15" thickBot="1" x14ac:dyDescent="0.25">
      <c r="B17" s="18"/>
      <c r="C17" s="18"/>
      <c r="E17" s="592"/>
      <c r="F17" s="593"/>
      <c r="G17" s="593"/>
      <c r="H17" s="598"/>
      <c r="I17" s="599"/>
    </row>
    <row r="18" spans="2:28" ht="16" x14ac:dyDescent="0.15">
      <c r="B18" s="585" t="s">
        <v>470</v>
      </c>
      <c r="C18" s="585"/>
    </row>
    <row r="19" spans="2:28" ht="14" x14ac:dyDescent="0.2">
      <c r="B19" s="202" t="s">
        <v>285</v>
      </c>
      <c r="C19" s="203">
        <v>0</v>
      </c>
      <c r="D19" s="204">
        <v>1</v>
      </c>
      <c r="E19" s="205">
        <v>2</v>
      </c>
      <c r="F19" s="205">
        <v>3</v>
      </c>
      <c r="G19" s="204">
        <v>4</v>
      </c>
      <c r="H19" s="205">
        <v>5</v>
      </c>
      <c r="I19" s="205">
        <v>6</v>
      </c>
      <c r="J19" s="204">
        <v>7</v>
      </c>
      <c r="K19" s="205">
        <v>8</v>
      </c>
      <c r="L19" s="205">
        <v>9</v>
      </c>
      <c r="M19" s="204">
        <v>10</v>
      </c>
      <c r="N19" s="205">
        <v>11</v>
      </c>
      <c r="O19" s="205">
        <v>12</v>
      </c>
      <c r="P19" s="204">
        <v>13</v>
      </c>
      <c r="Q19" s="205">
        <v>14</v>
      </c>
      <c r="R19" s="205">
        <v>15</v>
      </c>
      <c r="S19" s="205">
        <v>16</v>
      </c>
      <c r="T19" s="205">
        <v>17</v>
      </c>
      <c r="U19" s="205">
        <v>18</v>
      </c>
      <c r="V19" s="205">
        <v>19</v>
      </c>
      <c r="W19" s="205">
        <v>20</v>
      </c>
      <c r="X19" s="205">
        <v>21</v>
      </c>
      <c r="Y19" s="205">
        <v>22</v>
      </c>
      <c r="Z19" s="205">
        <v>23</v>
      </c>
      <c r="AA19" s="205">
        <v>24</v>
      </c>
      <c r="AB19" s="205">
        <v>25</v>
      </c>
    </row>
    <row r="20" spans="2:28" ht="14" x14ac:dyDescent="0.2">
      <c r="B20" s="208" t="s">
        <v>323</v>
      </c>
      <c r="C20" s="181"/>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row>
    <row r="21" spans="2:28" ht="14" x14ac:dyDescent="0.2">
      <c r="B21" s="209" t="s">
        <v>324</v>
      </c>
      <c r="C21" s="229"/>
      <c r="D21" s="226">
        <f>Unstructured!D62</f>
        <v>-355955.71926929062</v>
      </c>
      <c r="E21" s="226">
        <f>Unstructured!E62</f>
        <v>-695867.25623943075</v>
      </c>
      <c r="F21" s="226">
        <f>Unstructured!F62</f>
        <v>-324275.08281715069</v>
      </c>
      <c r="G21" s="226">
        <f>Unstructured!G62</f>
        <v>-99468.764256088238</v>
      </c>
      <c r="H21" s="226">
        <f>Unstructured!H62</f>
        <v>-94883.249371647253</v>
      </c>
      <c r="I21" s="226">
        <f>Unstructured!I62</f>
        <v>57788.649863654093</v>
      </c>
      <c r="J21" s="226">
        <f>Unstructured!J62</f>
        <v>188732.62740653023</v>
      </c>
      <c r="K21" s="226">
        <f>Unstructured!K62</f>
        <v>192479.16242613189</v>
      </c>
      <c r="L21" s="226">
        <f>Unstructured!L62</f>
        <v>196300.06931024609</v>
      </c>
      <c r="M21" s="226">
        <f>Unstructured!M62</f>
        <v>200196.8243892999</v>
      </c>
      <c r="N21" s="226">
        <f>Unstructured!N62</f>
        <v>204170.93329958024</v>
      </c>
      <c r="O21" s="226">
        <f>Unstructured!O62</f>
        <v>208223.93156496331</v>
      </c>
      <c r="P21" s="226">
        <f>Unstructured!P62</f>
        <v>212357.38519019177</v>
      </c>
      <c r="Q21" s="226">
        <f>Unstructured!Q62</f>
        <v>216572.8912659293</v>
      </c>
      <c r="R21" s="226">
        <f>Unstructured!R62</f>
        <v>220872.07858582365</v>
      </c>
      <c r="S21" s="226">
        <f>Unstructured!S62</f>
        <v>225256.60827582068</v>
      </c>
      <c r="T21" s="226">
        <f>Unstructured!T62</f>
        <v>229728.17443596837</v>
      </c>
      <c r="U21" s="226">
        <f>Unstructured!U62</f>
        <v>234288.50479496238</v>
      </c>
      <c r="V21" s="226">
        <f>Unstructured!V62</f>
        <v>238939.36137768297</v>
      </c>
      <c r="W21" s="226">
        <f>Unstructured!W62</f>
        <v>243682.54118598354</v>
      </c>
      <c r="X21" s="226">
        <f>Unstructured!X62</f>
        <v>248519.87689299247</v>
      </c>
      <c r="Y21" s="226">
        <f>Unstructured!Y62</f>
        <v>253453.23755119691</v>
      </c>
      <c r="Z21" s="226">
        <f>Unstructured!Z62</f>
        <v>258484.52931458229</v>
      </c>
      <c r="AA21" s="226">
        <f>Unstructured!AA62</f>
        <v>263615.69617510622</v>
      </c>
      <c r="AB21" s="226">
        <f>Unstructured!AB62</f>
        <v>268848.7207137908</v>
      </c>
    </row>
    <row r="22" spans="2:28" ht="14" x14ac:dyDescent="0.2">
      <c r="B22" s="209" t="s">
        <v>325</v>
      </c>
      <c r="C22" s="229"/>
      <c r="D22" s="226">
        <f>Unstructured!D46</f>
        <v>573724.11010499985</v>
      </c>
      <c r="E22" s="226">
        <f>Unstructured!E46</f>
        <v>917958.57616799977</v>
      </c>
      <c r="F22" s="226">
        <f>Unstructured!F46</f>
        <v>550775.14570079988</v>
      </c>
      <c r="G22" s="226">
        <f>Unstructured!G46</f>
        <v>330465.08742047992</v>
      </c>
      <c r="H22" s="226">
        <f>Unstructured!H46</f>
        <v>330465.08742047992</v>
      </c>
      <c r="I22" s="226">
        <f>Unstructured!I46</f>
        <v>165232.54371023996</v>
      </c>
      <c r="J22" s="226">
        <f>Unstructured!J46</f>
        <v>0</v>
      </c>
      <c r="K22" s="226">
        <f>Unstructured!K46</f>
        <v>0</v>
      </c>
      <c r="L22" s="226">
        <f>Unstructured!L46</f>
        <v>0</v>
      </c>
      <c r="M22" s="226">
        <f>Unstructured!M46</f>
        <v>0</v>
      </c>
      <c r="N22" s="226">
        <f>Unstructured!N46</f>
        <v>0</v>
      </c>
      <c r="O22" s="226">
        <f>Unstructured!O46</f>
        <v>0</v>
      </c>
      <c r="P22" s="226">
        <f>Unstructured!P46</f>
        <v>0</v>
      </c>
      <c r="Q22" s="226">
        <f>Unstructured!Q46</f>
        <v>0</v>
      </c>
      <c r="R22" s="226">
        <f>Unstructured!R46</f>
        <v>0</v>
      </c>
      <c r="S22" s="226">
        <f>Unstructured!S46</f>
        <v>0</v>
      </c>
      <c r="T22" s="226">
        <f>Unstructured!T46</f>
        <v>0</v>
      </c>
      <c r="U22" s="226">
        <f>Unstructured!U46</f>
        <v>0</v>
      </c>
      <c r="V22" s="226">
        <f>Unstructured!V46</f>
        <v>0</v>
      </c>
      <c r="W22" s="226">
        <f>Unstructured!W46</f>
        <v>0</v>
      </c>
      <c r="X22" s="226">
        <f>Unstructured!X46</f>
        <v>0</v>
      </c>
      <c r="Y22" s="226">
        <f>Unstructured!Y46</f>
        <v>0</v>
      </c>
      <c r="Z22" s="226">
        <f>Unstructured!Z46</f>
        <v>0</v>
      </c>
      <c r="AA22" s="226">
        <f>Unstructured!AA46</f>
        <v>0</v>
      </c>
      <c r="AB22" s="226">
        <f>Unstructured!AB46</f>
        <v>0</v>
      </c>
    </row>
    <row r="23" spans="2:28" ht="15" thickBot="1" x14ac:dyDescent="0.25">
      <c r="B23" s="209" t="s">
        <v>445</v>
      </c>
      <c r="C23" s="432"/>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f>Unstructured!AB80-Unstructured!AB62</f>
        <v>551268.11855425639</v>
      </c>
    </row>
    <row r="24" spans="2:28" ht="15" thickTop="1" x14ac:dyDescent="0.2">
      <c r="B24" s="210" t="s">
        <v>326</v>
      </c>
      <c r="C24" s="336">
        <f>Unstructured!C80</f>
        <v>-3675120.790361709</v>
      </c>
      <c r="D24" s="226">
        <f>SUM(D21:D23)</f>
        <v>217768.39083570923</v>
      </c>
      <c r="E24" s="226">
        <f t="shared" ref="E24:AB24" si="0">SUM(E21:E23)</f>
        <v>222091.31992856902</v>
      </c>
      <c r="F24" s="226">
        <f t="shared" si="0"/>
        <v>226500.0628836492</v>
      </c>
      <c r="G24" s="226">
        <f t="shared" si="0"/>
        <v>230996.32316439168</v>
      </c>
      <c r="H24" s="226">
        <f t="shared" si="0"/>
        <v>235581.83804883267</v>
      </c>
      <c r="I24" s="226">
        <f t="shared" si="0"/>
        <v>223021.19357389404</v>
      </c>
      <c r="J24" s="226">
        <f t="shared" si="0"/>
        <v>188732.62740653023</v>
      </c>
      <c r="K24" s="226">
        <f t="shared" si="0"/>
        <v>192479.16242613189</v>
      </c>
      <c r="L24" s="226">
        <f t="shared" si="0"/>
        <v>196300.06931024609</v>
      </c>
      <c r="M24" s="226">
        <f t="shared" si="0"/>
        <v>200196.8243892999</v>
      </c>
      <c r="N24" s="226">
        <f t="shared" si="0"/>
        <v>204170.93329958024</v>
      </c>
      <c r="O24" s="226">
        <f t="shared" si="0"/>
        <v>208223.93156496331</v>
      </c>
      <c r="P24" s="226">
        <f t="shared" si="0"/>
        <v>212357.38519019177</v>
      </c>
      <c r="Q24" s="226">
        <f t="shared" si="0"/>
        <v>216572.8912659293</v>
      </c>
      <c r="R24" s="226">
        <f t="shared" si="0"/>
        <v>220872.07858582365</v>
      </c>
      <c r="S24" s="226">
        <f t="shared" si="0"/>
        <v>225256.60827582068</v>
      </c>
      <c r="T24" s="226">
        <f t="shared" si="0"/>
        <v>229728.17443596837</v>
      </c>
      <c r="U24" s="226">
        <f t="shared" si="0"/>
        <v>234288.50479496238</v>
      </c>
      <c r="V24" s="226">
        <f t="shared" si="0"/>
        <v>238939.36137768297</v>
      </c>
      <c r="W24" s="226">
        <f t="shared" si="0"/>
        <v>243682.54118598354</v>
      </c>
      <c r="X24" s="226">
        <f t="shared" si="0"/>
        <v>248519.87689299247</v>
      </c>
      <c r="Y24" s="226">
        <f t="shared" si="0"/>
        <v>253453.23755119691</v>
      </c>
      <c r="Z24" s="226">
        <f t="shared" si="0"/>
        <v>258484.52931458229</v>
      </c>
      <c r="AA24" s="226">
        <f t="shared" si="0"/>
        <v>263615.69617510622</v>
      </c>
      <c r="AB24" s="226">
        <f t="shared" si="0"/>
        <v>820116.83926804713</v>
      </c>
    </row>
    <row r="25" spans="2:28" ht="14" x14ac:dyDescent="0.2">
      <c r="B25" s="211"/>
      <c r="C25" s="337"/>
      <c r="D25" s="226"/>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row>
    <row r="26" spans="2:28" ht="14" x14ac:dyDescent="0.2">
      <c r="B26" s="212" t="s">
        <v>327</v>
      </c>
      <c r="C26" s="338"/>
      <c r="D26" s="226"/>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row>
    <row r="27" spans="2:28" ht="14" x14ac:dyDescent="0.2">
      <c r="B27" s="209" t="s">
        <v>357</v>
      </c>
      <c r="C27" s="338"/>
      <c r="D27" s="226">
        <f>Unstructured!D71</f>
        <v>0</v>
      </c>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row>
    <row r="28" spans="2:28" ht="14" x14ac:dyDescent="0.2">
      <c r="B28" s="209" t="s">
        <v>291</v>
      </c>
      <c r="C28" s="338"/>
      <c r="D28" s="226">
        <f>Unstructured!D72</f>
        <v>7030.1254555684891</v>
      </c>
      <c r="E28" s="226">
        <f>Unstructured!E72</f>
        <v>13743.378310728758</v>
      </c>
      <c r="F28" s="226">
        <f>Unstructured!F72</f>
        <v>6404.4328856387256</v>
      </c>
      <c r="G28" s="226">
        <f>Unstructured!G72</f>
        <v>1964.5080940577423</v>
      </c>
      <c r="H28" s="226">
        <f>Unstructured!H72</f>
        <v>1873.9441750900332</v>
      </c>
      <c r="I28" s="226">
        <f>Unstructured!I72</f>
        <v>0</v>
      </c>
      <c r="J28" s="226">
        <f>Unstructured!J72</f>
        <v>0</v>
      </c>
      <c r="K28" s="226">
        <f>Unstructured!K72</f>
        <v>0</v>
      </c>
      <c r="L28" s="226">
        <f>Unstructured!L72</f>
        <v>0</v>
      </c>
      <c r="M28" s="226">
        <f>Unstructured!M72</f>
        <v>0</v>
      </c>
      <c r="N28" s="226">
        <f>Unstructured!N72</f>
        <v>0</v>
      </c>
      <c r="O28" s="226">
        <f>Unstructured!O72</f>
        <v>0</v>
      </c>
      <c r="P28" s="226">
        <f>Unstructured!P72</f>
        <v>0</v>
      </c>
      <c r="Q28" s="226">
        <f>Unstructured!Q72</f>
        <v>0</v>
      </c>
      <c r="R28" s="226">
        <f>Unstructured!R72</f>
        <v>0</v>
      </c>
      <c r="S28" s="226">
        <f>Unstructured!S72</f>
        <v>0</v>
      </c>
      <c r="T28" s="226">
        <f>Unstructured!T72</f>
        <v>0</v>
      </c>
      <c r="U28" s="226">
        <f>Unstructured!U72</f>
        <v>0</v>
      </c>
      <c r="V28" s="226">
        <f>Unstructured!V72</f>
        <v>0</v>
      </c>
      <c r="W28" s="226">
        <f>Unstructured!W72</f>
        <v>0</v>
      </c>
      <c r="X28" s="226">
        <f>Unstructured!X72</f>
        <v>0</v>
      </c>
      <c r="Y28" s="226">
        <f>Unstructured!Y72</f>
        <v>0</v>
      </c>
      <c r="Z28" s="226">
        <f>Unstructured!Z72</f>
        <v>0</v>
      </c>
      <c r="AA28" s="226">
        <f>Unstructured!AA72</f>
        <v>0</v>
      </c>
      <c r="AB28" s="226">
        <f>Unstructured!AB72</f>
        <v>0</v>
      </c>
    </row>
    <row r="29" spans="2:28" ht="14" x14ac:dyDescent="0.2">
      <c r="B29" s="209" t="s">
        <v>80</v>
      </c>
      <c r="C29" s="339"/>
      <c r="D29" s="226">
        <f>Unstructured!D70</f>
        <v>74750.70104655101</v>
      </c>
      <c r="E29" s="226">
        <f>Unstructured!E70</f>
        <v>146132.12381028046</v>
      </c>
      <c r="F29" s="226">
        <f>Unstructured!F70</f>
        <v>68097.767391601636</v>
      </c>
      <c r="G29" s="226">
        <f>Unstructured!G70</f>
        <v>20888.440493778522</v>
      </c>
      <c r="H29" s="226">
        <f>Unstructured!H70</f>
        <v>19925.482368045923</v>
      </c>
      <c r="I29" s="226">
        <f>Unstructured!I70</f>
        <v>0</v>
      </c>
      <c r="J29" s="226">
        <f>Unstructured!J70</f>
        <v>0</v>
      </c>
      <c r="K29" s="226">
        <f>Unstructured!K70</f>
        <v>0</v>
      </c>
      <c r="L29" s="226">
        <f>Unstructured!L70</f>
        <v>0</v>
      </c>
      <c r="M29" s="226">
        <f>Unstructured!M70</f>
        <v>0</v>
      </c>
      <c r="N29" s="226">
        <f>Unstructured!N70</f>
        <v>0</v>
      </c>
      <c r="O29" s="226">
        <f>Unstructured!O70</f>
        <v>0</v>
      </c>
      <c r="P29" s="226">
        <f>Unstructured!P70</f>
        <v>0</v>
      </c>
      <c r="Q29" s="226">
        <f>Unstructured!Q70</f>
        <v>0</v>
      </c>
      <c r="R29" s="226">
        <f>Unstructured!R70</f>
        <v>0</v>
      </c>
      <c r="S29" s="226">
        <f>Unstructured!S70</f>
        <v>0</v>
      </c>
      <c r="T29" s="226">
        <f>Unstructured!T70</f>
        <v>0</v>
      </c>
      <c r="U29" s="226">
        <f>Unstructured!U70</f>
        <v>0</v>
      </c>
      <c r="V29" s="226">
        <f>Unstructured!V70</f>
        <v>0</v>
      </c>
      <c r="W29" s="226">
        <f>Unstructured!W70</f>
        <v>0</v>
      </c>
      <c r="X29" s="226">
        <f>Unstructured!X70</f>
        <v>0</v>
      </c>
      <c r="Y29" s="226">
        <f>Unstructured!Y70</f>
        <v>0</v>
      </c>
      <c r="Z29" s="226">
        <f>Unstructured!Z70</f>
        <v>0</v>
      </c>
      <c r="AA29" s="226">
        <f>Unstructured!AA70</f>
        <v>0</v>
      </c>
      <c r="AB29" s="226">
        <f>Unstructured!AB70</f>
        <v>0</v>
      </c>
    </row>
    <row r="30" spans="2:28" ht="15" thickBot="1" x14ac:dyDescent="0.25">
      <c r="B30" s="209" t="s">
        <v>328</v>
      </c>
      <c r="C30" s="229"/>
      <c r="D30" s="183">
        <f>Unstructured!D69</f>
        <v>1012454.3119499998</v>
      </c>
      <c r="E30" s="183"/>
      <c r="F30" s="183"/>
      <c r="G30" s="183"/>
      <c r="H30" s="183"/>
      <c r="I30" s="183"/>
      <c r="J30" s="183"/>
      <c r="K30" s="183"/>
      <c r="L30" s="183"/>
      <c r="M30" s="183"/>
      <c r="N30" s="183"/>
      <c r="O30" s="183"/>
      <c r="P30" s="183"/>
      <c r="Q30" s="183"/>
      <c r="R30" s="183"/>
      <c r="S30" s="183"/>
      <c r="T30" s="183"/>
      <c r="U30" s="183"/>
      <c r="V30" s="183"/>
      <c r="W30" s="183"/>
      <c r="X30" s="183"/>
      <c r="Y30" s="183"/>
      <c r="Z30" s="183"/>
      <c r="AA30" s="183"/>
      <c r="AB30" s="183"/>
    </row>
    <row r="31" spans="2:28" ht="15" thickTop="1" x14ac:dyDescent="0.2">
      <c r="B31" s="213" t="s">
        <v>329</v>
      </c>
      <c r="C31" s="184"/>
      <c r="D31" s="185">
        <f>SUM(D27:D30)</f>
        <v>1094235.1384521192</v>
      </c>
      <c r="E31" s="185">
        <f t="shared" ref="E31:R31" si="1">SUM(E27:E30)</f>
        <v>159875.50212100922</v>
      </c>
      <c r="F31" s="185">
        <f t="shared" si="1"/>
        <v>74502.200277240365</v>
      </c>
      <c r="G31" s="185">
        <f t="shared" si="1"/>
        <v>22852.948587836265</v>
      </c>
      <c r="H31" s="185">
        <f t="shared" si="1"/>
        <v>21799.426543135956</v>
      </c>
      <c r="I31" s="185">
        <f t="shared" si="1"/>
        <v>0</v>
      </c>
      <c r="J31" s="185">
        <f t="shared" si="1"/>
        <v>0</v>
      </c>
      <c r="K31" s="185">
        <f t="shared" si="1"/>
        <v>0</v>
      </c>
      <c r="L31" s="185">
        <f t="shared" si="1"/>
        <v>0</v>
      </c>
      <c r="M31" s="185">
        <f t="shared" si="1"/>
        <v>0</v>
      </c>
      <c r="N31" s="185">
        <f t="shared" si="1"/>
        <v>0</v>
      </c>
      <c r="O31" s="185">
        <f t="shared" si="1"/>
        <v>0</v>
      </c>
      <c r="P31" s="185">
        <f t="shared" si="1"/>
        <v>0</v>
      </c>
      <c r="Q31" s="185">
        <f t="shared" si="1"/>
        <v>0</v>
      </c>
      <c r="R31" s="185">
        <f t="shared" si="1"/>
        <v>0</v>
      </c>
      <c r="S31" s="185">
        <f>SUM(S27:S30)</f>
        <v>0</v>
      </c>
      <c r="T31" s="185">
        <f>SUM(T27:T30)</f>
        <v>0</v>
      </c>
      <c r="U31" s="185">
        <f>SUM(U27:U30)</f>
        <v>0</v>
      </c>
      <c r="V31" s="185">
        <f>SUM(V27:V30)</f>
        <v>0</v>
      </c>
      <c r="W31" s="185">
        <f t="shared" ref="W31:AB31" si="2">SUM(W27:W30)</f>
        <v>0</v>
      </c>
      <c r="X31" s="185">
        <f t="shared" si="2"/>
        <v>0</v>
      </c>
      <c r="Y31" s="185">
        <f t="shared" si="2"/>
        <v>0</v>
      </c>
      <c r="Z31" s="185">
        <f t="shared" si="2"/>
        <v>0</v>
      </c>
      <c r="AA31" s="185">
        <f t="shared" si="2"/>
        <v>0</v>
      </c>
      <c r="AB31" s="185">
        <f t="shared" si="2"/>
        <v>0</v>
      </c>
    </row>
    <row r="32" spans="2:28" ht="14" x14ac:dyDescent="0.2">
      <c r="B32" s="186"/>
      <c r="C32" s="187"/>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7"/>
      <c r="C33" s="187"/>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5" t="s">
        <v>330</v>
      </c>
      <c r="C34" s="585"/>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2" t="s">
        <v>285</v>
      </c>
      <c r="C35" s="203">
        <v>0</v>
      </c>
      <c r="D35" s="204">
        <v>1</v>
      </c>
      <c r="E35" s="205">
        <v>2</v>
      </c>
      <c r="F35" s="205">
        <v>3</v>
      </c>
      <c r="G35" s="204">
        <v>4</v>
      </c>
      <c r="H35" s="205">
        <v>5</v>
      </c>
      <c r="I35" s="205">
        <v>6</v>
      </c>
      <c r="J35" s="204">
        <v>7</v>
      </c>
      <c r="K35" s="205">
        <v>8</v>
      </c>
      <c r="L35" s="205">
        <v>9</v>
      </c>
      <c r="M35" s="204">
        <v>10</v>
      </c>
      <c r="N35" s="205">
        <v>11</v>
      </c>
      <c r="O35" s="205">
        <v>12</v>
      </c>
      <c r="P35" s="204">
        <v>13</v>
      </c>
      <c r="Q35" s="205">
        <v>14</v>
      </c>
      <c r="R35" s="205">
        <v>15</v>
      </c>
      <c r="S35" s="205">
        <v>16</v>
      </c>
      <c r="T35" s="205">
        <v>17</v>
      </c>
      <c r="U35" s="205">
        <v>18</v>
      </c>
      <c r="V35" s="205">
        <v>19</v>
      </c>
      <c r="W35" s="205">
        <v>20</v>
      </c>
      <c r="X35" s="205">
        <v>21</v>
      </c>
      <c r="Y35" s="205">
        <v>22</v>
      </c>
      <c r="Z35" s="205">
        <v>23</v>
      </c>
      <c r="AA35" s="205">
        <v>24</v>
      </c>
      <c r="AB35" s="205">
        <v>25</v>
      </c>
    </row>
    <row r="36" spans="2:28" ht="14" x14ac:dyDescent="0.2">
      <c r="B36" s="214" t="s">
        <v>331</v>
      </c>
      <c r="C36" s="188"/>
      <c r="D36" s="189">
        <f t="shared" ref="D36:V36" si="3">D24</f>
        <v>217768.39083570923</v>
      </c>
      <c r="E36" s="189">
        <f t="shared" si="3"/>
        <v>222091.31992856902</v>
      </c>
      <c r="F36" s="189">
        <f t="shared" si="3"/>
        <v>226500.0628836492</v>
      </c>
      <c r="G36" s="189">
        <f t="shared" si="3"/>
        <v>230996.32316439168</v>
      </c>
      <c r="H36" s="189">
        <f t="shared" si="3"/>
        <v>235581.83804883267</v>
      </c>
      <c r="I36" s="189">
        <f t="shared" si="3"/>
        <v>223021.19357389404</v>
      </c>
      <c r="J36" s="189">
        <f t="shared" si="3"/>
        <v>188732.62740653023</v>
      </c>
      <c r="K36" s="189">
        <f t="shared" si="3"/>
        <v>192479.16242613189</v>
      </c>
      <c r="L36" s="189">
        <f t="shared" si="3"/>
        <v>196300.06931024609</v>
      </c>
      <c r="M36" s="189">
        <f t="shared" si="3"/>
        <v>200196.8243892999</v>
      </c>
      <c r="N36" s="189">
        <f t="shared" si="3"/>
        <v>204170.93329958024</v>
      </c>
      <c r="O36" s="189">
        <f t="shared" si="3"/>
        <v>208223.93156496331</v>
      </c>
      <c r="P36" s="189">
        <f t="shared" si="3"/>
        <v>212357.38519019177</v>
      </c>
      <c r="Q36" s="189">
        <f t="shared" si="3"/>
        <v>216572.8912659293</v>
      </c>
      <c r="R36" s="189">
        <f t="shared" si="3"/>
        <v>220872.07858582365</v>
      </c>
      <c r="S36" s="189">
        <f t="shared" si="3"/>
        <v>225256.60827582068</v>
      </c>
      <c r="T36" s="189">
        <f t="shared" si="3"/>
        <v>229728.17443596837</v>
      </c>
      <c r="U36" s="189">
        <f t="shared" si="3"/>
        <v>234288.50479496238</v>
      </c>
      <c r="V36" s="189">
        <f t="shared" si="3"/>
        <v>238939.36137768297</v>
      </c>
      <c r="W36" s="189">
        <f t="shared" ref="W36:AB36" si="4">W24</f>
        <v>243682.54118598354</v>
      </c>
      <c r="X36" s="189">
        <f t="shared" si="4"/>
        <v>248519.87689299247</v>
      </c>
      <c r="Y36" s="189">
        <f t="shared" si="4"/>
        <v>253453.23755119691</v>
      </c>
      <c r="Z36" s="189">
        <f t="shared" si="4"/>
        <v>258484.52931458229</v>
      </c>
      <c r="AA36" s="189">
        <f t="shared" si="4"/>
        <v>263615.69617510622</v>
      </c>
      <c r="AB36" s="189">
        <f t="shared" si="4"/>
        <v>820116.83926804713</v>
      </c>
    </row>
    <row r="37" spans="2:28" ht="15" thickBot="1" x14ac:dyDescent="0.25">
      <c r="B37" s="209" t="s">
        <v>332</v>
      </c>
      <c r="C37" s="229"/>
      <c r="D37" s="183">
        <f t="shared" ref="D37:AB37" si="5">IF(D35&gt;Time_Based_Flip_Target_Year,0,(Cash_on_Cash_Return_Premium*Tax_Equity_Investment_Share*Equity_Investment))</f>
        <v>57934.604139261995</v>
      </c>
      <c r="E37" s="183">
        <f t="shared" si="5"/>
        <v>57934.604139261995</v>
      </c>
      <c r="F37" s="183">
        <f t="shared" si="5"/>
        <v>57934.604139261995</v>
      </c>
      <c r="G37" s="183">
        <f t="shared" si="5"/>
        <v>57934.604139261995</v>
      </c>
      <c r="H37" s="183">
        <f t="shared" si="5"/>
        <v>57934.604139261995</v>
      </c>
      <c r="I37" s="183">
        <f t="shared" si="5"/>
        <v>0</v>
      </c>
      <c r="J37" s="183">
        <f t="shared" si="5"/>
        <v>0</v>
      </c>
      <c r="K37" s="183">
        <f t="shared" si="5"/>
        <v>0</v>
      </c>
      <c r="L37" s="183">
        <f t="shared" si="5"/>
        <v>0</v>
      </c>
      <c r="M37" s="183">
        <f t="shared" si="5"/>
        <v>0</v>
      </c>
      <c r="N37" s="183">
        <f t="shared" si="5"/>
        <v>0</v>
      </c>
      <c r="O37" s="183">
        <f t="shared" si="5"/>
        <v>0</v>
      </c>
      <c r="P37" s="183">
        <f t="shared" si="5"/>
        <v>0</v>
      </c>
      <c r="Q37" s="183">
        <f t="shared" si="5"/>
        <v>0</v>
      </c>
      <c r="R37" s="183">
        <f t="shared" si="5"/>
        <v>0</v>
      </c>
      <c r="S37" s="183">
        <f t="shared" si="5"/>
        <v>0</v>
      </c>
      <c r="T37" s="183">
        <f t="shared" si="5"/>
        <v>0</v>
      </c>
      <c r="U37" s="183">
        <f t="shared" si="5"/>
        <v>0</v>
      </c>
      <c r="V37" s="183">
        <f t="shared" si="5"/>
        <v>0</v>
      </c>
      <c r="W37" s="183">
        <f t="shared" si="5"/>
        <v>0</v>
      </c>
      <c r="X37" s="183">
        <f t="shared" si="5"/>
        <v>0</v>
      </c>
      <c r="Y37" s="183">
        <f t="shared" si="5"/>
        <v>0</v>
      </c>
      <c r="Z37" s="183">
        <f t="shared" si="5"/>
        <v>0</v>
      </c>
      <c r="AA37" s="183">
        <f t="shared" si="5"/>
        <v>0</v>
      </c>
      <c r="AB37" s="183">
        <f t="shared" si="5"/>
        <v>0</v>
      </c>
    </row>
    <row r="38" spans="2:28" ht="15" thickTop="1" x14ac:dyDescent="0.2">
      <c r="B38" s="211" t="s">
        <v>333</v>
      </c>
      <c r="C38" s="229"/>
      <c r="D38" s="226">
        <f>D36-D37</f>
        <v>159833.78669644723</v>
      </c>
      <c r="E38" s="226">
        <f>E36-E37</f>
        <v>164156.71578930703</v>
      </c>
      <c r="F38" s="226">
        <f t="shared" ref="F38:R38" si="6">F36-F37</f>
        <v>168565.4587443872</v>
      </c>
      <c r="G38" s="226">
        <f t="shared" si="6"/>
        <v>173061.71902512969</v>
      </c>
      <c r="H38" s="226">
        <f t="shared" si="6"/>
        <v>177647.23390957067</v>
      </c>
      <c r="I38" s="226">
        <f t="shared" si="6"/>
        <v>223021.19357389404</v>
      </c>
      <c r="J38" s="226">
        <f t="shared" si="6"/>
        <v>188732.62740653023</v>
      </c>
      <c r="K38" s="226">
        <f t="shared" si="6"/>
        <v>192479.16242613189</v>
      </c>
      <c r="L38" s="226">
        <f t="shared" si="6"/>
        <v>196300.06931024609</v>
      </c>
      <c r="M38" s="226">
        <f t="shared" si="6"/>
        <v>200196.8243892999</v>
      </c>
      <c r="N38" s="226">
        <f t="shared" si="6"/>
        <v>204170.93329958024</v>
      </c>
      <c r="O38" s="226">
        <f t="shared" si="6"/>
        <v>208223.93156496331</v>
      </c>
      <c r="P38" s="226">
        <f t="shared" si="6"/>
        <v>212357.38519019177</v>
      </c>
      <c r="Q38" s="226">
        <f t="shared" si="6"/>
        <v>216572.8912659293</v>
      </c>
      <c r="R38" s="226">
        <f t="shared" si="6"/>
        <v>220872.07858582365</v>
      </c>
      <c r="S38" s="226">
        <f>S36-S37</f>
        <v>225256.60827582068</v>
      </c>
      <c r="T38" s="226">
        <f>T36-T37</f>
        <v>229728.17443596837</v>
      </c>
      <c r="U38" s="226">
        <f>U36-U37</f>
        <v>234288.50479496238</v>
      </c>
      <c r="V38" s="226">
        <f>V36-V37</f>
        <v>238939.36137768297</v>
      </c>
      <c r="W38" s="226">
        <f t="shared" ref="W38:AB38" si="7">W36-W37</f>
        <v>243682.54118598354</v>
      </c>
      <c r="X38" s="226">
        <f t="shared" si="7"/>
        <v>248519.87689299247</v>
      </c>
      <c r="Y38" s="226">
        <f t="shared" si="7"/>
        <v>253453.23755119691</v>
      </c>
      <c r="Z38" s="226">
        <f t="shared" si="7"/>
        <v>258484.52931458229</v>
      </c>
      <c r="AA38" s="226">
        <f t="shared" si="7"/>
        <v>263615.69617510622</v>
      </c>
      <c r="AB38" s="226">
        <f t="shared" si="7"/>
        <v>820116.83926804713</v>
      </c>
    </row>
    <row r="39" spans="2:28" ht="14" x14ac:dyDescent="0.2">
      <c r="B39" s="209"/>
      <c r="C39" s="229"/>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row>
    <row r="40" spans="2:28" ht="15" thickBot="1" x14ac:dyDescent="0.25">
      <c r="B40" s="209" t="s">
        <v>334</v>
      </c>
      <c r="C40" s="230"/>
      <c r="D40" s="183">
        <f t="shared" ref="D40:AB40" si="8">IF(D35&gt;Time_Based_Flip_Target_Year,0,Mgt._Fee__Share__of_Remaining_Cash_Flow*D38)</f>
        <v>143850.40802680253</v>
      </c>
      <c r="E40" s="183">
        <f t="shared" si="8"/>
        <v>147741.04421037633</v>
      </c>
      <c r="F40" s="183">
        <f t="shared" si="8"/>
        <v>151708.91286994849</v>
      </c>
      <c r="G40" s="183">
        <f t="shared" si="8"/>
        <v>155755.54712261673</v>
      </c>
      <c r="H40" s="183">
        <f t="shared" si="8"/>
        <v>159882.51051861362</v>
      </c>
      <c r="I40" s="183">
        <f t="shared" si="8"/>
        <v>0</v>
      </c>
      <c r="J40" s="183">
        <f t="shared" si="8"/>
        <v>0</v>
      </c>
      <c r="K40" s="183">
        <f t="shared" si="8"/>
        <v>0</v>
      </c>
      <c r="L40" s="183">
        <f t="shared" si="8"/>
        <v>0</v>
      </c>
      <c r="M40" s="183">
        <f t="shared" si="8"/>
        <v>0</v>
      </c>
      <c r="N40" s="183">
        <f t="shared" si="8"/>
        <v>0</v>
      </c>
      <c r="O40" s="183">
        <f t="shared" si="8"/>
        <v>0</v>
      </c>
      <c r="P40" s="183">
        <f t="shared" si="8"/>
        <v>0</v>
      </c>
      <c r="Q40" s="183">
        <f t="shared" si="8"/>
        <v>0</v>
      </c>
      <c r="R40" s="183">
        <f t="shared" si="8"/>
        <v>0</v>
      </c>
      <c r="S40" s="183">
        <f t="shared" si="8"/>
        <v>0</v>
      </c>
      <c r="T40" s="183">
        <f t="shared" si="8"/>
        <v>0</v>
      </c>
      <c r="U40" s="183">
        <f t="shared" si="8"/>
        <v>0</v>
      </c>
      <c r="V40" s="183">
        <f t="shared" si="8"/>
        <v>0</v>
      </c>
      <c r="W40" s="183">
        <f t="shared" si="8"/>
        <v>0</v>
      </c>
      <c r="X40" s="183">
        <f t="shared" si="8"/>
        <v>0</v>
      </c>
      <c r="Y40" s="183">
        <f t="shared" si="8"/>
        <v>0</v>
      </c>
      <c r="Z40" s="183">
        <f t="shared" si="8"/>
        <v>0</v>
      </c>
      <c r="AA40" s="183">
        <f t="shared" si="8"/>
        <v>0</v>
      </c>
      <c r="AB40" s="183">
        <f t="shared" si="8"/>
        <v>0</v>
      </c>
    </row>
    <row r="41" spans="2:28" ht="15" thickTop="1" x14ac:dyDescent="0.2">
      <c r="B41" s="211" t="s">
        <v>333</v>
      </c>
      <c r="C41" s="229"/>
      <c r="D41" s="226">
        <f>D38-D40</f>
        <v>15983.378669644706</v>
      </c>
      <c r="E41" s="226">
        <f>E38-E40</f>
        <v>16415.671578930691</v>
      </c>
      <c r="F41" s="226">
        <f t="shared" ref="F41:R41" si="9">F38-F40</f>
        <v>16856.545874438714</v>
      </c>
      <c r="G41" s="226">
        <f t="shared" si="9"/>
        <v>17306.171902512957</v>
      </c>
      <c r="H41" s="226">
        <f t="shared" si="9"/>
        <v>17764.72339095705</v>
      </c>
      <c r="I41" s="226">
        <f t="shared" si="9"/>
        <v>223021.19357389404</v>
      </c>
      <c r="J41" s="226">
        <f t="shared" si="9"/>
        <v>188732.62740653023</v>
      </c>
      <c r="K41" s="226">
        <f t="shared" si="9"/>
        <v>192479.16242613189</v>
      </c>
      <c r="L41" s="226">
        <f t="shared" si="9"/>
        <v>196300.06931024609</v>
      </c>
      <c r="M41" s="226">
        <f t="shared" si="9"/>
        <v>200196.8243892999</v>
      </c>
      <c r="N41" s="226">
        <f t="shared" si="9"/>
        <v>204170.93329958024</v>
      </c>
      <c r="O41" s="226">
        <f t="shared" si="9"/>
        <v>208223.93156496331</v>
      </c>
      <c r="P41" s="226">
        <f t="shared" si="9"/>
        <v>212357.38519019177</v>
      </c>
      <c r="Q41" s="226">
        <f t="shared" si="9"/>
        <v>216572.8912659293</v>
      </c>
      <c r="R41" s="226">
        <f t="shared" si="9"/>
        <v>220872.07858582365</v>
      </c>
      <c r="S41" s="226">
        <f>S38-S40</f>
        <v>225256.60827582068</v>
      </c>
      <c r="T41" s="226">
        <f>T38-T40</f>
        <v>229728.17443596837</v>
      </c>
      <c r="U41" s="226">
        <f>U38-U40</f>
        <v>234288.50479496238</v>
      </c>
      <c r="V41" s="226">
        <f>V38-V40</f>
        <v>238939.36137768297</v>
      </c>
      <c r="W41" s="226">
        <f t="shared" ref="W41:AB41" si="10">W38-W40</f>
        <v>243682.54118598354</v>
      </c>
      <c r="X41" s="226">
        <f t="shared" si="10"/>
        <v>248519.87689299247</v>
      </c>
      <c r="Y41" s="226">
        <f t="shared" si="10"/>
        <v>253453.23755119691</v>
      </c>
      <c r="Z41" s="226">
        <f t="shared" si="10"/>
        <v>258484.52931458229</v>
      </c>
      <c r="AA41" s="226">
        <f t="shared" si="10"/>
        <v>263615.69617510622</v>
      </c>
      <c r="AB41" s="226">
        <f t="shared" si="10"/>
        <v>820116.83926804713</v>
      </c>
    </row>
    <row r="42" spans="2:28" ht="14" x14ac:dyDescent="0.2">
      <c r="B42" s="209"/>
      <c r="C42" s="229"/>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row>
    <row r="43" spans="2:28" ht="14" x14ac:dyDescent="0.2">
      <c r="B43" s="209" t="s">
        <v>335</v>
      </c>
      <c r="C43" s="229"/>
      <c r="D43" s="226">
        <f>D41</f>
        <v>15983.378669644706</v>
      </c>
      <c r="E43" s="226">
        <f t="shared" ref="E43:R43" si="11">E41</f>
        <v>16415.671578930691</v>
      </c>
      <c r="F43" s="226">
        <f t="shared" si="11"/>
        <v>16856.545874438714</v>
      </c>
      <c r="G43" s="226">
        <f t="shared" si="11"/>
        <v>17306.171902512957</v>
      </c>
      <c r="H43" s="226">
        <f t="shared" si="11"/>
        <v>17764.72339095705</v>
      </c>
      <c r="I43" s="226">
        <f t="shared" si="11"/>
        <v>223021.19357389404</v>
      </c>
      <c r="J43" s="226">
        <f t="shared" si="11"/>
        <v>188732.62740653023</v>
      </c>
      <c r="K43" s="226">
        <f t="shared" si="11"/>
        <v>192479.16242613189</v>
      </c>
      <c r="L43" s="226">
        <f t="shared" si="11"/>
        <v>196300.06931024609</v>
      </c>
      <c r="M43" s="226">
        <f t="shared" si="11"/>
        <v>200196.8243892999</v>
      </c>
      <c r="N43" s="226">
        <f t="shared" si="11"/>
        <v>204170.93329958024</v>
      </c>
      <c r="O43" s="226">
        <f t="shared" si="11"/>
        <v>208223.93156496331</v>
      </c>
      <c r="P43" s="226">
        <f t="shared" si="11"/>
        <v>212357.38519019177</v>
      </c>
      <c r="Q43" s="226">
        <f t="shared" si="11"/>
        <v>216572.8912659293</v>
      </c>
      <c r="R43" s="226">
        <f t="shared" si="11"/>
        <v>220872.07858582365</v>
      </c>
      <c r="S43" s="226">
        <f>S41</f>
        <v>225256.60827582068</v>
      </c>
      <c r="T43" s="226">
        <f>T41</f>
        <v>229728.17443596837</v>
      </c>
      <c r="U43" s="226">
        <f>U41</f>
        <v>234288.50479496238</v>
      </c>
      <c r="V43" s="226">
        <f>V41</f>
        <v>238939.36137768297</v>
      </c>
      <c r="W43" s="226">
        <f t="shared" ref="W43:AB43" si="12">W41</f>
        <v>243682.54118598354</v>
      </c>
      <c r="X43" s="226">
        <f t="shared" si="12"/>
        <v>248519.87689299247</v>
      </c>
      <c r="Y43" s="226">
        <f t="shared" si="12"/>
        <v>253453.23755119691</v>
      </c>
      <c r="Z43" s="226">
        <f t="shared" si="12"/>
        <v>258484.52931458229</v>
      </c>
      <c r="AA43" s="226">
        <f t="shared" si="12"/>
        <v>263615.69617510622</v>
      </c>
      <c r="AB43" s="226">
        <f t="shared" si="12"/>
        <v>820116.83926804713</v>
      </c>
    </row>
    <row r="44" spans="2:28" ht="14" x14ac:dyDescent="0.2">
      <c r="B44" s="215" t="s">
        <v>336</v>
      </c>
      <c r="C44" s="231"/>
      <c r="D44" s="226">
        <f t="shared" ref="D44:AB44" si="13">D43*IF(D35&gt;Time_Based_Flip_Target_Year,Tax_Equity_Post_Flip_Share,Tax_Equity_Pre_Flip_Share)</f>
        <v>15823.544882948259</v>
      </c>
      <c r="E44" s="226">
        <f t="shared" si="13"/>
        <v>16251.514863141383</v>
      </c>
      <c r="F44" s="226">
        <f t="shared" si="13"/>
        <v>16687.980415694328</v>
      </c>
      <c r="G44" s="226">
        <f t="shared" si="13"/>
        <v>17133.110183487828</v>
      </c>
      <c r="H44" s="226">
        <f t="shared" si="13"/>
        <v>17587.076157047479</v>
      </c>
      <c r="I44" s="226">
        <f t="shared" si="13"/>
        <v>11151.059678694703</v>
      </c>
      <c r="J44" s="226">
        <f t="shared" si="13"/>
        <v>9436.6313703265114</v>
      </c>
      <c r="K44" s="226">
        <f t="shared" si="13"/>
        <v>9623.9581213065958</v>
      </c>
      <c r="L44" s="226">
        <f t="shared" si="13"/>
        <v>9815.0034655123054</v>
      </c>
      <c r="M44" s="226">
        <f t="shared" si="13"/>
        <v>10009.841219464995</v>
      </c>
      <c r="N44" s="226">
        <f t="shared" si="13"/>
        <v>10208.546664979012</v>
      </c>
      <c r="O44" s="226">
        <f t="shared" si="13"/>
        <v>10411.196578248166</v>
      </c>
      <c r="P44" s="226">
        <f t="shared" si="13"/>
        <v>10617.869259509589</v>
      </c>
      <c r="Q44" s="226">
        <f t="shared" si="13"/>
        <v>10828.644563296466</v>
      </c>
      <c r="R44" s="226">
        <f t="shared" si="13"/>
        <v>11043.603929291183</v>
      </c>
      <c r="S44" s="226">
        <f t="shared" si="13"/>
        <v>11262.830413791035</v>
      </c>
      <c r="T44" s="226">
        <f t="shared" si="13"/>
        <v>11486.40872179842</v>
      </c>
      <c r="U44" s="226">
        <f t="shared" si="13"/>
        <v>11714.42523974812</v>
      </c>
      <c r="V44" s="226">
        <f t="shared" si="13"/>
        <v>11946.968068884149</v>
      </c>
      <c r="W44" s="226">
        <f t="shared" si="13"/>
        <v>12184.127059299179</v>
      </c>
      <c r="X44" s="226">
        <f t="shared" si="13"/>
        <v>12425.993844649623</v>
      </c>
      <c r="Y44" s="226">
        <f t="shared" si="13"/>
        <v>12672.661877559847</v>
      </c>
      <c r="Z44" s="226">
        <f t="shared" si="13"/>
        <v>12924.226465729116</v>
      </c>
      <c r="AA44" s="226">
        <f t="shared" si="13"/>
        <v>13180.784808755312</v>
      </c>
      <c r="AB44" s="226">
        <f t="shared" si="13"/>
        <v>41005.841963402359</v>
      </c>
    </row>
    <row r="45" spans="2:28" ht="14" x14ac:dyDescent="0.2">
      <c r="B45" s="215" t="s">
        <v>337</v>
      </c>
      <c r="C45" s="231"/>
      <c r="D45" s="226">
        <f>D43-D44</f>
        <v>159.83378669644662</v>
      </c>
      <c r="E45" s="226">
        <f>E43-E44</f>
        <v>164.15671578930778</v>
      </c>
      <c r="F45" s="226">
        <f t="shared" ref="F45:R45" si="14">F43-F44</f>
        <v>168.56545874438598</v>
      </c>
      <c r="G45" s="226">
        <f t="shared" si="14"/>
        <v>173.0617190251287</v>
      </c>
      <c r="H45" s="226">
        <f t="shared" si="14"/>
        <v>177.64723390957079</v>
      </c>
      <c r="I45" s="226">
        <f t="shared" si="14"/>
        <v>211870.13389519934</v>
      </c>
      <c r="J45" s="226">
        <f t="shared" si="14"/>
        <v>179295.99603620372</v>
      </c>
      <c r="K45" s="226">
        <f t="shared" si="14"/>
        <v>182855.20430482531</v>
      </c>
      <c r="L45" s="226">
        <f t="shared" si="14"/>
        <v>186485.06584473379</v>
      </c>
      <c r="M45" s="226">
        <f t="shared" si="14"/>
        <v>190186.98316983492</v>
      </c>
      <c r="N45" s="226">
        <f t="shared" si="14"/>
        <v>193962.38663460122</v>
      </c>
      <c r="O45" s="226">
        <f t="shared" si="14"/>
        <v>197812.73498671514</v>
      </c>
      <c r="P45" s="226">
        <f t="shared" si="14"/>
        <v>201739.51593068219</v>
      </c>
      <c r="Q45" s="226">
        <f t="shared" si="14"/>
        <v>205744.24670263284</v>
      </c>
      <c r="R45" s="226">
        <f t="shared" si="14"/>
        <v>209828.47465653246</v>
      </c>
      <c r="S45" s="226">
        <f>S43-S44</f>
        <v>213993.77786202964</v>
      </c>
      <c r="T45" s="226">
        <f>T43-T44</f>
        <v>218241.76571416995</v>
      </c>
      <c r="U45" s="226">
        <f>U43-U44</f>
        <v>222574.07955521427</v>
      </c>
      <c r="V45" s="226">
        <f>V43-V44</f>
        <v>226992.39330879881</v>
      </c>
      <c r="W45" s="226">
        <f t="shared" ref="W45:AB45" si="15">W43-W44</f>
        <v>231498.41412668437</v>
      </c>
      <c r="X45" s="226">
        <f t="shared" si="15"/>
        <v>236093.88304834283</v>
      </c>
      <c r="Y45" s="226">
        <f t="shared" si="15"/>
        <v>240780.57567363707</v>
      </c>
      <c r="Z45" s="226">
        <f t="shared" si="15"/>
        <v>245560.30284885317</v>
      </c>
      <c r="AA45" s="226">
        <f t="shared" si="15"/>
        <v>250434.91136635092</v>
      </c>
      <c r="AB45" s="226">
        <f t="shared" si="15"/>
        <v>779110.99730464478</v>
      </c>
    </row>
    <row r="46" spans="2:28" ht="14" x14ac:dyDescent="0.2">
      <c r="B46" s="209"/>
      <c r="C46" s="229"/>
      <c r="D46" s="226"/>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row>
    <row r="47" spans="2:28" ht="14" x14ac:dyDescent="0.2">
      <c r="B47" s="210" t="s">
        <v>338</v>
      </c>
      <c r="C47" s="229"/>
      <c r="D47" s="226"/>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row>
    <row r="48" spans="2:28" ht="14" x14ac:dyDescent="0.2">
      <c r="B48" s="215" t="s">
        <v>336</v>
      </c>
      <c r="C48" s="231"/>
      <c r="D48" s="226">
        <f>SUM(D37,D44)</f>
        <v>73758.149022210258</v>
      </c>
      <c r="E48" s="226">
        <f t="shared" ref="E48:R48" si="16">SUM(E37,E44)</f>
        <v>74186.119002403371</v>
      </c>
      <c r="F48" s="226">
        <f t="shared" si="16"/>
        <v>74622.584554956324</v>
      </c>
      <c r="G48" s="226">
        <f t="shared" si="16"/>
        <v>75067.714322749816</v>
      </c>
      <c r="H48" s="226">
        <f t="shared" si="16"/>
        <v>75521.680296309467</v>
      </c>
      <c r="I48" s="226">
        <f t="shared" si="16"/>
        <v>11151.059678694703</v>
      </c>
      <c r="J48" s="226">
        <f t="shared" si="16"/>
        <v>9436.6313703265114</v>
      </c>
      <c r="K48" s="226">
        <f t="shared" si="16"/>
        <v>9623.9581213065958</v>
      </c>
      <c r="L48" s="226">
        <f t="shared" si="16"/>
        <v>9815.0034655123054</v>
      </c>
      <c r="M48" s="226">
        <f t="shared" si="16"/>
        <v>10009.841219464995</v>
      </c>
      <c r="N48" s="226">
        <f t="shared" si="16"/>
        <v>10208.546664979012</v>
      </c>
      <c r="O48" s="226">
        <f t="shared" si="16"/>
        <v>10411.196578248166</v>
      </c>
      <c r="P48" s="226">
        <f t="shared" si="16"/>
        <v>10617.869259509589</v>
      </c>
      <c r="Q48" s="226">
        <f t="shared" si="16"/>
        <v>10828.644563296466</v>
      </c>
      <c r="R48" s="226">
        <f t="shared" si="16"/>
        <v>11043.603929291183</v>
      </c>
      <c r="S48" s="226">
        <f>SUM(S37,S44)</f>
        <v>11262.830413791035</v>
      </c>
      <c r="T48" s="226">
        <f>SUM(T37,T44)</f>
        <v>11486.40872179842</v>
      </c>
      <c r="U48" s="226">
        <f>SUM(U37,U44)</f>
        <v>11714.42523974812</v>
      </c>
      <c r="V48" s="226">
        <f>SUM(V37,V44)</f>
        <v>11946.968068884149</v>
      </c>
      <c r="W48" s="226">
        <f t="shared" ref="W48:AB48" si="17">SUM(W37,W44)</f>
        <v>12184.127059299179</v>
      </c>
      <c r="X48" s="226">
        <f t="shared" si="17"/>
        <v>12425.993844649623</v>
      </c>
      <c r="Y48" s="226">
        <f t="shared" si="17"/>
        <v>12672.661877559847</v>
      </c>
      <c r="Z48" s="226">
        <f t="shared" si="17"/>
        <v>12924.226465729116</v>
      </c>
      <c r="AA48" s="226">
        <f t="shared" si="17"/>
        <v>13180.784808755312</v>
      </c>
      <c r="AB48" s="226">
        <f t="shared" si="17"/>
        <v>41005.841963402359</v>
      </c>
    </row>
    <row r="49" spans="2:28" ht="15" thickBot="1" x14ac:dyDescent="0.25">
      <c r="B49" s="215" t="s">
        <v>339</v>
      </c>
      <c r="C49" s="231"/>
      <c r="D49" s="183">
        <f>SUM(D40,D45)</f>
        <v>144010.24181349899</v>
      </c>
      <c r="E49" s="183">
        <f t="shared" ref="E49:R49" si="18">SUM(E40,E45)</f>
        <v>147905.20092616565</v>
      </c>
      <c r="F49" s="183">
        <f t="shared" si="18"/>
        <v>151877.47832869287</v>
      </c>
      <c r="G49" s="183">
        <f t="shared" si="18"/>
        <v>155928.60884164186</v>
      </c>
      <c r="H49" s="183">
        <f t="shared" si="18"/>
        <v>160060.1577525232</v>
      </c>
      <c r="I49" s="183">
        <f t="shared" si="18"/>
        <v>211870.13389519934</v>
      </c>
      <c r="J49" s="183">
        <f t="shared" si="18"/>
        <v>179295.99603620372</v>
      </c>
      <c r="K49" s="183">
        <f t="shared" si="18"/>
        <v>182855.20430482531</v>
      </c>
      <c r="L49" s="183">
        <f t="shared" si="18"/>
        <v>186485.06584473379</v>
      </c>
      <c r="M49" s="183">
        <f t="shared" si="18"/>
        <v>190186.98316983492</v>
      </c>
      <c r="N49" s="183">
        <f t="shared" si="18"/>
        <v>193962.38663460122</v>
      </c>
      <c r="O49" s="183">
        <f t="shared" si="18"/>
        <v>197812.73498671514</v>
      </c>
      <c r="P49" s="183">
        <f t="shared" si="18"/>
        <v>201739.51593068219</v>
      </c>
      <c r="Q49" s="183">
        <f t="shared" si="18"/>
        <v>205744.24670263284</v>
      </c>
      <c r="R49" s="183">
        <f t="shared" si="18"/>
        <v>209828.47465653246</v>
      </c>
      <c r="S49" s="183">
        <f>SUM(S40,S45)</f>
        <v>213993.77786202964</v>
      </c>
      <c r="T49" s="183">
        <f>SUM(T40,T45)</f>
        <v>218241.76571416995</v>
      </c>
      <c r="U49" s="183">
        <f>SUM(U40,U45)</f>
        <v>222574.07955521427</v>
      </c>
      <c r="V49" s="183">
        <f>SUM(V40,V45)</f>
        <v>226992.39330879881</v>
      </c>
      <c r="W49" s="183">
        <f t="shared" ref="W49:AB49" si="19">SUM(W40,W45)</f>
        <v>231498.41412668437</v>
      </c>
      <c r="X49" s="183">
        <f t="shared" si="19"/>
        <v>236093.88304834283</v>
      </c>
      <c r="Y49" s="183">
        <f t="shared" si="19"/>
        <v>240780.57567363707</v>
      </c>
      <c r="Z49" s="183">
        <f t="shared" si="19"/>
        <v>245560.30284885317</v>
      </c>
      <c r="AA49" s="183">
        <f t="shared" si="19"/>
        <v>250434.91136635092</v>
      </c>
      <c r="AB49" s="183">
        <f t="shared" si="19"/>
        <v>779110.99730464478</v>
      </c>
    </row>
    <row r="50" spans="2:28" ht="15" thickTop="1" x14ac:dyDescent="0.2">
      <c r="B50" s="216" t="s">
        <v>340</v>
      </c>
      <c r="C50" s="190"/>
      <c r="D50" s="185">
        <f>D48+D49</f>
        <v>217768.39083570923</v>
      </c>
      <c r="E50" s="185">
        <f>E48+E49</f>
        <v>222091.31992856902</v>
      </c>
      <c r="F50" s="185">
        <f t="shared" ref="F50:R50" si="20">F48+F49</f>
        <v>226500.0628836492</v>
      </c>
      <c r="G50" s="185">
        <f t="shared" si="20"/>
        <v>230996.32316439168</v>
      </c>
      <c r="H50" s="185">
        <f t="shared" si="20"/>
        <v>235581.83804883267</v>
      </c>
      <c r="I50" s="185">
        <f t="shared" si="20"/>
        <v>223021.19357389404</v>
      </c>
      <c r="J50" s="185">
        <f t="shared" si="20"/>
        <v>188732.62740653023</v>
      </c>
      <c r="K50" s="185">
        <f t="shared" si="20"/>
        <v>192479.16242613189</v>
      </c>
      <c r="L50" s="185">
        <f t="shared" si="20"/>
        <v>196300.06931024609</v>
      </c>
      <c r="M50" s="185">
        <f t="shared" si="20"/>
        <v>200196.8243892999</v>
      </c>
      <c r="N50" s="185">
        <f t="shared" si="20"/>
        <v>204170.93329958024</v>
      </c>
      <c r="O50" s="185">
        <f t="shared" si="20"/>
        <v>208223.93156496331</v>
      </c>
      <c r="P50" s="185">
        <f t="shared" si="20"/>
        <v>212357.38519019177</v>
      </c>
      <c r="Q50" s="185">
        <f t="shared" si="20"/>
        <v>216572.8912659293</v>
      </c>
      <c r="R50" s="185">
        <f t="shared" si="20"/>
        <v>220872.07858582365</v>
      </c>
      <c r="S50" s="185">
        <f>S48+S49</f>
        <v>225256.60827582068</v>
      </c>
      <c r="T50" s="185">
        <f>T48+T49</f>
        <v>229728.17443596837</v>
      </c>
      <c r="U50" s="185">
        <f>U48+U49</f>
        <v>234288.50479496238</v>
      </c>
      <c r="V50" s="185">
        <f>V48+V49</f>
        <v>238939.36137768297</v>
      </c>
      <c r="W50" s="185">
        <f t="shared" ref="W50:AB50" si="21">W48+W49</f>
        <v>243682.54118598354</v>
      </c>
      <c r="X50" s="185">
        <f t="shared" si="21"/>
        <v>248519.87689299247</v>
      </c>
      <c r="Y50" s="185">
        <f t="shared" si="21"/>
        <v>253453.23755119691</v>
      </c>
      <c r="Z50" s="185">
        <f t="shared" si="21"/>
        <v>258484.52931458229</v>
      </c>
      <c r="AA50" s="185">
        <f t="shared" si="21"/>
        <v>263615.69617510622</v>
      </c>
      <c r="AB50" s="185">
        <f t="shared" si="21"/>
        <v>820116.83926804713</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84" t="s">
        <v>341</v>
      </c>
      <c r="C53" s="584"/>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2" t="s">
        <v>285</v>
      </c>
      <c r="C54" s="203">
        <v>0</v>
      </c>
      <c r="D54" s="204">
        <v>1</v>
      </c>
      <c r="E54" s="205">
        <v>2</v>
      </c>
      <c r="F54" s="205">
        <v>3</v>
      </c>
      <c r="G54" s="204">
        <v>4</v>
      </c>
      <c r="H54" s="205">
        <v>5</v>
      </c>
      <c r="I54" s="205">
        <v>6</v>
      </c>
      <c r="J54" s="204">
        <v>7</v>
      </c>
      <c r="K54" s="205">
        <v>8</v>
      </c>
      <c r="L54" s="205">
        <v>9</v>
      </c>
      <c r="M54" s="204">
        <v>10</v>
      </c>
      <c r="N54" s="205">
        <v>11</v>
      </c>
      <c r="O54" s="205">
        <v>12</v>
      </c>
      <c r="P54" s="204">
        <v>13</v>
      </c>
      <c r="Q54" s="205">
        <v>14</v>
      </c>
      <c r="R54" s="205">
        <v>15</v>
      </c>
      <c r="S54" s="205">
        <v>16</v>
      </c>
      <c r="T54" s="205">
        <v>17</v>
      </c>
      <c r="U54" s="205">
        <v>18</v>
      </c>
      <c r="V54" s="205">
        <v>19</v>
      </c>
      <c r="W54" s="205">
        <v>20</v>
      </c>
      <c r="X54" s="205">
        <v>21</v>
      </c>
      <c r="Y54" s="205">
        <v>22</v>
      </c>
      <c r="Z54" s="205">
        <v>23</v>
      </c>
      <c r="AA54" s="205">
        <v>24</v>
      </c>
      <c r="AB54" s="205">
        <v>25</v>
      </c>
    </row>
    <row r="55" spans="2:28" ht="14" x14ac:dyDescent="0.2">
      <c r="B55" s="217" t="s">
        <v>342</v>
      </c>
      <c r="C55" s="191"/>
      <c r="D55" s="182"/>
      <c r="E55" s="182"/>
      <c r="F55" s="182"/>
      <c r="G55" s="182"/>
      <c r="H55" s="182"/>
      <c r="I55" s="182"/>
      <c r="J55" s="182"/>
      <c r="K55" s="182"/>
      <c r="L55" s="182"/>
      <c r="M55" s="182"/>
      <c r="N55" s="182"/>
      <c r="O55" s="182"/>
      <c r="P55" s="182"/>
      <c r="Q55" s="182"/>
      <c r="R55" s="182"/>
      <c r="S55" s="182"/>
      <c r="T55" s="182"/>
      <c r="U55" s="182"/>
      <c r="V55" s="182"/>
      <c r="W55" s="182"/>
      <c r="X55" s="182"/>
      <c r="Y55" s="182"/>
      <c r="Z55" s="182"/>
      <c r="AA55" s="182"/>
      <c r="AB55" s="182"/>
    </row>
    <row r="56" spans="2:28" ht="14" x14ac:dyDescent="0.2">
      <c r="B56" s="209" t="s">
        <v>343</v>
      </c>
      <c r="C56" s="226">
        <f>-Tax_Equity_Investment_Share*Project_Sale_Price</f>
        <v>-1655274.4039789138</v>
      </c>
      <c r="D56" s="226">
        <f t="shared" ref="D56:V56" si="22">D48</f>
        <v>73758.149022210258</v>
      </c>
      <c r="E56" s="226">
        <f t="shared" si="22"/>
        <v>74186.119002403371</v>
      </c>
      <c r="F56" s="226">
        <f t="shared" si="22"/>
        <v>74622.584554956324</v>
      </c>
      <c r="G56" s="226">
        <f t="shared" si="22"/>
        <v>75067.714322749816</v>
      </c>
      <c r="H56" s="226">
        <f t="shared" si="22"/>
        <v>75521.680296309467</v>
      </c>
      <c r="I56" s="226">
        <f t="shared" si="22"/>
        <v>11151.059678694703</v>
      </c>
      <c r="J56" s="226">
        <f t="shared" si="22"/>
        <v>9436.6313703265114</v>
      </c>
      <c r="K56" s="226">
        <f t="shared" si="22"/>
        <v>9623.9581213065958</v>
      </c>
      <c r="L56" s="226">
        <f t="shared" si="22"/>
        <v>9815.0034655123054</v>
      </c>
      <c r="M56" s="226">
        <f t="shared" si="22"/>
        <v>10009.841219464995</v>
      </c>
      <c r="N56" s="226">
        <f t="shared" si="22"/>
        <v>10208.546664979012</v>
      </c>
      <c r="O56" s="226">
        <f t="shared" si="22"/>
        <v>10411.196578248166</v>
      </c>
      <c r="P56" s="226">
        <f t="shared" si="22"/>
        <v>10617.869259509589</v>
      </c>
      <c r="Q56" s="226">
        <f t="shared" si="22"/>
        <v>10828.644563296466</v>
      </c>
      <c r="R56" s="226">
        <f t="shared" si="22"/>
        <v>11043.603929291183</v>
      </c>
      <c r="S56" s="226">
        <f t="shared" si="22"/>
        <v>11262.830413791035</v>
      </c>
      <c r="T56" s="226">
        <f t="shared" si="22"/>
        <v>11486.40872179842</v>
      </c>
      <c r="U56" s="226">
        <f t="shared" si="22"/>
        <v>11714.42523974812</v>
      </c>
      <c r="V56" s="226">
        <f t="shared" si="22"/>
        <v>11946.968068884149</v>
      </c>
      <c r="W56" s="226">
        <f t="shared" ref="W56:AB56" si="23">W48</f>
        <v>12184.127059299179</v>
      </c>
      <c r="X56" s="226">
        <f t="shared" si="23"/>
        <v>12425.993844649623</v>
      </c>
      <c r="Y56" s="226">
        <f t="shared" si="23"/>
        <v>12672.661877559847</v>
      </c>
      <c r="Z56" s="226">
        <f t="shared" si="23"/>
        <v>12924.226465729116</v>
      </c>
      <c r="AA56" s="226">
        <f t="shared" si="23"/>
        <v>13180.784808755312</v>
      </c>
      <c r="AB56" s="226">
        <f t="shared" si="23"/>
        <v>41005.841963402359</v>
      </c>
    </row>
    <row r="57" spans="2:28" ht="15" thickBot="1" x14ac:dyDescent="0.25">
      <c r="B57" s="209" t="s">
        <v>344</v>
      </c>
      <c r="C57" s="226"/>
      <c r="D57" s="183">
        <f t="shared" ref="D57:AB57" si="24">IF(D54&gt;Time_Based_Flip_Target_Year,Tax_Equity_Post_Flip_Share,Tax_Equity_Pre_Flip_Share)*D31</f>
        <v>1083292.787067598</v>
      </c>
      <c r="E57" s="183">
        <f t="shared" si="24"/>
        <v>158276.74709979913</v>
      </c>
      <c r="F57" s="183">
        <f t="shared" si="24"/>
        <v>73757.178274467966</v>
      </c>
      <c r="G57" s="183">
        <f t="shared" si="24"/>
        <v>22624.419101957901</v>
      </c>
      <c r="H57" s="183">
        <f t="shared" si="24"/>
        <v>21581.432277704596</v>
      </c>
      <c r="I57" s="183">
        <f t="shared" si="24"/>
        <v>0</v>
      </c>
      <c r="J57" s="183">
        <f t="shared" si="24"/>
        <v>0</v>
      </c>
      <c r="K57" s="183">
        <f t="shared" si="24"/>
        <v>0</v>
      </c>
      <c r="L57" s="183">
        <f t="shared" si="24"/>
        <v>0</v>
      </c>
      <c r="M57" s="183">
        <f t="shared" si="24"/>
        <v>0</v>
      </c>
      <c r="N57" s="183">
        <f t="shared" si="24"/>
        <v>0</v>
      </c>
      <c r="O57" s="183">
        <f t="shared" si="24"/>
        <v>0</v>
      </c>
      <c r="P57" s="183">
        <f t="shared" si="24"/>
        <v>0</v>
      </c>
      <c r="Q57" s="183">
        <f t="shared" si="24"/>
        <v>0</v>
      </c>
      <c r="R57" s="183">
        <f t="shared" si="24"/>
        <v>0</v>
      </c>
      <c r="S57" s="183">
        <f t="shared" si="24"/>
        <v>0</v>
      </c>
      <c r="T57" s="183">
        <f t="shared" si="24"/>
        <v>0</v>
      </c>
      <c r="U57" s="183">
        <f t="shared" si="24"/>
        <v>0</v>
      </c>
      <c r="V57" s="183">
        <f t="shared" si="24"/>
        <v>0</v>
      </c>
      <c r="W57" s="183">
        <f t="shared" si="24"/>
        <v>0</v>
      </c>
      <c r="X57" s="183">
        <f t="shared" si="24"/>
        <v>0</v>
      </c>
      <c r="Y57" s="183">
        <f t="shared" si="24"/>
        <v>0</v>
      </c>
      <c r="Z57" s="183">
        <f t="shared" si="24"/>
        <v>0</v>
      </c>
      <c r="AA57" s="183">
        <f t="shared" si="24"/>
        <v>0</v>
      </c>
      <c r="AB57" s="183">
        <f t="shared" si="24"/>
        <v>0</v>
      </c>
    </row>
    <row r="58" spans="2:28" ht="15" thickTop="1" x14ac:dyDescent="0.2">
      <c r="B58" s="209" t="s">
        <v>345</v>
      </c>
      <c r="C58" s="226">
        <f>C56</f>
        <v>-1655274.4039789138</v>
      </c>
      <c r="D58" s="226">
        <f>D56+D57</f>
        <v>1157050.9360898081</v>
      </c>
      <c r="E58" s="226">
        <f t="shared" ref="E58:R58" si="25">E56+E57</f>
        <v>232462.8661022025</v>
      </c>
      <c r="F58" s="226">
        <f t="shared" si="25"/>
        <v>148379.76282942429</v>
      </c>
      <c r="G58" s="226">
        <f t="shared" si="25"/>
        <v>97692.133424707717</v>
      </c>
      <c r="H58" s="226">
        <f t="shared" si="25"/>
        <v>97103.112574014056</v>
      </c>
      <c r="I58" s="226">
        <f t="shared" si="25"/>
        <v>11151.059678694703</v>
      </c>
      <c r="J58" s="226">
        <f t="shared" si="25"/>
        <v>9436.6313703265114</v>
      </c>
      <c r="K58" s="226">
        <f t="shared" si="25"/>
        <v>9623.9581213065958</v>
      </c>
      <c r="L58" s="226">
        <f>L56+L57</f>
        <v>9815.0034655123054</v>
      </c>
      <c r="M58" s="226">
        <f t="shared" si="25"/>
        <v>10009.841219464995</v>
      </c>
      <c r="N58" s="226">
        <f t="shared" si="25"/>
        <v>10208.546664979012</v>
      </c>
      <c r="O58" s="226">
        <f t="shared" si="25"/>
        <v>10411.196578248166</v>
      </c>
      <c r="P58" s="226">
        <f t="shared" si="25"/>
        <v>10617.869259509589</v>
      </c>
      <c r="Q58" s="226">
        <f t="shared" si="25"/>
        <v>10828.644563296466</v>
      </c>
      <c r="R58" s="226">
        <f t="shared" si="25"/>
        <v>11043.603929291183</v>
      </c>
      <c r="S58" s="226">
        <f>S56+S57</f>
        <v>11262.830413791035</v>
      </c>
      <c r="T58" s="226">
        <f>T56+T57</f>
        <v>11486.40872179842</v>
      </c>
      <c r="U58" s="226">
        <f>U56+U57</f>
        <v>11714.42523974812</v>
      </c>
      <c r="V58" s="226">
        <f>V56+V57</f>
        <v>11946.968068884149</v>
      </c>
      <c r="W58" s="226">
        <f t="shared" ref="W58:AB58" si="26">W56+W57</f>
        <v>12184.127059299179</v>
      </c>
      <c r="X58" s="226">
        <f t="shared" si="26"/>
        <v>12425.993844649623</v>
      </c>
      <c r="Y58" s="226">
        <f t="shared" si="26"/>
        <v>12672.661877559847</v>
      </c>
      <c r="Z58" s="226">
        <f t="shared" si="26"/>
        <v>12924.226465729116</v>
      </c>
      <c r="AA58" s="226">
        <f t="shared" si="26"/>
        <v>13180.784808755312</v>
      </c>
      <c r="AB58" s="226">
        <f t="shared" si="26"/>
        <v>41005.841963402359</v>
      </c>
    </row>
    <row r="59" spans="2:28" ht="14" x14ac:dyDescent="0.2">
      <c r="B59" s="209" t="s">
        <v>381</v>
      </c>
      <c r="C59" s="206">
        <v>0</v>
      </c>
      <c r="D59" s="206">
        <f>IFERROR(IRR($C58:D$58),0)</f>
        <v>-0.30099146503533591</v>
      </c>
      <c r="E59" s="206">
        <f>IFERROR(IRR($C58:E$58),0)</f>
        <v>-0.13805949815582741</v>
      </c>
      <c r="F59" s="206">
        <f>IFERROR(IRR($C58:F$58),0)</f>
        <v>-5.280915189374491E-2</v>
      </c>
      <c r="G59" s="206">
        <f>IFERROR(IRR($C58:G$58),0)</f>
        <v>-7.9144552654605294E-3</v>
      </c>
      <c r="H59" s="206">
        <f>IFERROR(IRR($C58:H$58),0)</f>
        <v>2.7578221523871571E-2</v>
      </c>
      <c r="I59" s="206">
        <f>IFERROR(IRR($C58:I$58),0)</f>
        <v>3.1065561700579725E-2</v>
      </c>
      <c r="J59" s="206">
        <f>IFERROR(IRR($C58:J$58),0)</f>
        <v>3.3847451294429565E-2</v>
      </c>
      <c r="K59" s="206">
        <f>IFERROR(IRR($C58:K$58),0)</f>
        <v>3.6510656545931663E-2</v>
      </c>
      <c r="L59" s="206">
        <f>IFERROR(IRR($C58:L$58),0)</f>
        <v>3.9045269640969993E-2</v>
      </c>
      <c r="M59" s="206">
        <f>IFERROR(IRR($C58:M$58),0)</f>
        <v>4.1445184518456024E-2</v>
      </c>
      <c r="N59" s="206">
        <f>IFERROR(IRR($C58:N$58),0)</f>
        <v>4.3707640287664606E-2</v>
      </c>
      <c r="O59" s="206">
        <f>IFERROR(IRR($C58:O$58),0)</f>
        <v>4.583267818975334E-2</v>
      </c>
      <c r="P59" s="206">
        <f>IFERROR(IRR($C58:P$58),0)</f>
        <v>4.7822579616439986E-2</v>
      </c>
      <c r="Q59" s="206">
        <f>IFERROR(IRR($C58:Q$58),0)</f>
        <v>4.9681332959651048E-2</v>
      </c>
      <c r="R59" s="206">
        <f>IFERROR(IRR($C58:R$58),0)</f>
        <v>5.1414158207074179E-2</v>
      </c>
      <c r="S59" s="206">
        <f>IFERROR(IRR($C58:S$58),0)</f>
        <v>5.3027102887250654E-2</v>
      </c>
      <c r="T59" s="206">
        <f>IFERROR(IRR($C58:T$58),0)</f>
        <v>5.4526712012259226E-2</v>
      </c>
      <c r="U59" s="206">
        <f>IFERROR(IRR($C58:U$58),0)</f>
        <v>5.5919767738280113E-2</v>
      </c>
      <c r="V59" s="206">
        <f>IFERROR(IRR($C58:V$58),0)</f>
        <v>5.7213090726479177E-2</v>
      </c>
      <c r="W59" s="206">
        <f>IFERROR(IRR($C58:W$58),0)</f>
        <v>5.8413393703705685E-2</v>
      </c>
      <c r="X59" s="206">
        <f>IFERROR(IRR($C58:X$58),0)</f>
        <v>5.9527177676647947E-2</v>
      </c>
      <c r="Y59" s="206">
        <f>IFERROR(IRR($C58:Y$58),0)</f>
        <v>6.0560662019775169E-2</v>
      </c>
      <c r="Z59" s="206">
        <f>IFERROR(IRR($C58:Z$58),0)</f>
        <v>6.1519740804609535E-2</v>
      </c>
      <c r="AA59" s="206">
        <f>IFERROR(IRR($C58:AA$58),0)</f>
        <v>6.2409958991813008E-2</v>
      </c>
      <c r="AB59" s="206">
        <f>IFERROR(IRR($C58:AB$58),0)</f>
        <v>6.4851561818694892E-2</v>
      </c>
    </row>
    <row r="60" spans="2:28" ht="14" x14ac:dyDescent="0.2">
      <c r="B60" s="209" t="s">
        <v>98</v>
      </c>
      <c r="C60" s="226">
        <f>C58</f>
        <v>-1655274.4039789138</v>
      </c>
      <c r="D60" s="226">
        <f>C60+D58</f>
        <v>-498223.46788910567</v>
      </c>
      <c r="E60" s="226">
        <f t="shared" ref="E60:R60" si="27">D60+E58</f>
        <v>-265760.60178690316</v>
      </c>
      <c r="F60" s="226">
        <f t="shared" si="27"/>
        <v>-117380.83895747887</v>
      </c>
      <c r="G60" s="226">
        <f t="shared" si="27"/>
        <v>-19688.705532771157</v>
      </c>
      <c r="H60" s="226">
        <f t="shared" si="27"/>
        <v>77414.407041242899</v>
      </c>
      <c r="I60" s="226">
        <f t="shared" si="27"/>
        <v>88565.466719937598</v>
      </c>
      <c r="J60" s="226">
        <f t="shared" si="27"/>
        <v>98002.098090264102</v>
      </c>
      <c r="K60" s="226">
        <f t="shared" si="27"/>
        <v>107626.0562115707</v>
      </c>
      <c r="L60" s="226">
        <f t="shared" si="27"/>
        <v>117441.059677083</v>
      </c>
      <c r="M60" s="226">
        <f t="shared" si="27"/>
        <v>127450.900896548</v>
      </c>
      <c r="N60" s="226">
        <f t="shared" si="27"/>
        <v>137659.44756152702</v>
      </c>
      <c r="O60" s="226">
        <f t="shared" si="27"/>
        <v>148070.64413977519</v>
      </c>
      <c r="P60" s="226">
        <f t="shared" si="27"/>
        <v>158688.51339928477</v>
      </c>
      <c r="Q60" s="226">
        <f t="shared" si="27"/>
        <v>169517.15796258123</v>
      </c>
      <c r="R60" s="226">
        <f t="shared" si="27"/>
        <v>180560.76189187242</v>
      </c>
      <c r="S60" s="226">
        <f>R60+S58</f>
        <v>191823.59230566345</v>
      </c>
      <c r="T60" s="226">
        <f>S60+T58</f>
        <v>203310.00102746187</v>
      </c>
      <c r="U60" s="226">
        <f>T60+U58</f>
        <v>215024.42626720999</v>
      </c>
      <c r="V60" s="226">
        <f>U60+V58</f>
        <v>226971.39433609415</v>
      </c>
      <c r="W60" s="226">
        <f t="shared" ref="W60:AB60" si="28">V60+W58</f>
        <v>239155.52139539333</v>
      </c>
      <c r="X60" s="226">
        <f t="shared" si="28"/>
        <v>251581.51524004294</v>
      </c>
      <c r="Y60" s="226">
        <f t="shared" si="28"/>
        <v>264254.17711760278</v>
      </c>
      <c r="Z60" s="226">
        <f t="shared" si="28"/>
        <v>277178.40358333191</v>
      </c>
      <c r="AA60" s="226">
        <f t="shared" si="28"/>
        <v>290359.18839208724</v>
      </c>
      <c r="AB60" s="226">
        <f t="shared" si="28"/>
        <v>331365.03035548958</v>
      </c>
    </row>
    <row r="61" spans="2:28" ht="14" x14ac:dyDescent="0.2">
      <c r="B61" s="209" t="s">
        <v>346</v>
      </c>
      <c r="C61" s="226">
        <f>NPV(Investor_Discount_Rate,D58:AB58)+C58</f>
        <v>-543.04323404631577</v>
      </c>
      <c r="D61" s="226"/>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row>
    <row r="62" spans="2:28" ht="14" x14ac:dyDescent="0.2">
      <c r="B62" s="209" t="s">
        <v>382</v>
      </c>
      <c r="C62" s="206">
        <f>IRR(C58:AB58)</f>
        <v>6.4851561818694892E-2</v>
      </c>
      <c r="D62" s="227"/>
      <c r="E62" s="227"/>
      <c r="F62" s="227"/>
      <c r="G62" s="227"/>
      <c r="H62" s="227"/>
      <c r="I62" s="227"/>
      <c r="J62" s="227"/>
      <c r="K62" s="227"/>
      <c r="L62" s="227"/>
      <c r="M62" s="227"/>
      <c r="N62" s="227"/>
      <c r="O62" s="227"/>
      <c r="P62" s="227"/>
      <c r="Q62" s="227"/>
      <c r="R62" s="227"/>
      <c r="S62" s="227"/>
      <c r="T62" s="227"/>
      <c r="U62" s="227"/>
      <c r="V62" s="227"/>
      <c r="W62" s="227"/>
      <c r="X62" s="227"/>
      <c r="Y62" s="227"/>
      <c r="Z62" s="227"/>
      <c r="AA62" s="227"/>
      <c r="AB62" s="227"/>
    </row>
    <row r="63" spans="2:28" ht="14" x14ac:dyDescent="0.2">
      <c r="B63" s="209" t="s">
        <v>347</v>
      </c>
      <c r="C63" s="226">
        <f>NPV(Investor_Discount_Rate,D56:AB56)+C58</f>
        <v>-1251663.7027249937</v>
      </c>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row>
    <row r="64" spans="2:28" ht="14" x14ac:dyDescent="0.2">
      <c r="B64" s="209" t="s">
        <v>25</v>
      </c>
      <c r="C64" s="192">
        <f>IRR(C56:AB56)</f>
        <v>-7.9413350580202491E-2</v>
      </c>
      <c r="D64" s="227"/>
      <c r="E64" s="227"/>
      <c r="F64" s="227"/>
      <c r="G64" s="227"/>
      <c r="H64" s="227"/>
      <c r="I64" s="227"/>
      <c r="J64" s="227"/>
      <c r="K64" s="227"/>
      <c r="L64" s="227"/>
      <c r="M64" s="227"/>
      <c r="N64" s="227"/>
      <c r="O64" s="227"/>
      <c r="P64" s="227"/>
      <c r="Q64" s="227"/>
      <c r="R64" s="227"/>
      <c r="S64" s="227"/>
      <c r="T64" s="227"/>
      <c r="U64" s="227"/>
      <c r="V64" s="227"/>
      <c r="W64" s="227"/>
      <c r="X64" s="227"/>
      <c r="Y64" s="227"/>
      <c r="Z64" s="227"/>
      <c r="AA64" s="227"/>
      <c r="AB64" s="227"/>
    </row>
    <row r="65" spans="2:28" ht="14" x14ac:dyDescent="0.2">
      <c r="B65" s="209" t="s">
        <v>447</v>
      </c>
      <c r="C65" s="434">
        <f>Time_Based_Flip_Target_Year+1</f>
        <v>6</v>
      </c>
      <c r="D65" s="193"/>
      <c r="E65" s="193"/>
      <c r="F65" s="193"/>
      <c r="G65" s="193"/>
      <c r="H65" s="193"/>
      <c r="I65" s="193"/>
      <c r="J65" s="193"/>
      <c r="K65" s="193"/>
      <c r="L65" s="193"/>
      <c r="M65" s="193"/>
      <c r="N65" s="193"/>
      <c r="O65" s="193"/>
      <c r="P65" s="193"/>
      <c r="Q65" s="206"/>
      <c r="R65" s="193"/>
      <c r="S65" s="193"/>
      <c r="T65" s="193"/>
      <c r="U65" s="193"/>
      <c r="V65" s="193"/>
      <c r="W65" s="193"/>
      <c r="X65" s="193"/>
      <c r="Y65" s="193"/>
      <c r="Z65" s="193"/>
      <c r="AA65" s="193"/>
      <c r="AB65" s="193"/>
    </row>
    <row r="66" spans="2:28" ht="14" x14ac:dyDescent="0.2">
      <c r="B66" s="209" t="s">
        <v>359</v>
      </c>
      <c r="C66" s="207">
        <f>INDEX(C54:AB59,6,MATCH(C65,C35:AB35,0))</f>
        <v>3.1065561700579725E-2</v>
      </c>
      <c r="D66" s="227"/>
      <c r="E66" s="227"/>
      <c r="F66" s="227"/>
      <c r="G66" s="227"/>
      <c r="H66" s="227"/>
      <c r="I66" s="227"/>
      <c r="J66" s="227"/>
      <c r="K66" s="227"/>
      <c r="L66" s="227"/>
      <c r="M66" s="227"/>
      <c r="N66" s="227"/>
      <c r="O66" s="227"/>
      <c r="P66" s="227"/>
      <c r="Q66" s="227"/>
      <c r="R66" s="227"/>
      <c r="S66" s="227"/>
      <c r="T66" s="227"/>
      <c r="U66" s="227"/>
      <c r="V66" s="227"/>
      <c r="W66" s="227"/>
      <c r="X66" s="227"/>
      <c r="Y66" s="227"/>
      <c r="Z66" s="227"/>
      <c r="AA66" s="227"/>
      <c r="AB66" s="227"/>
    </row>
    <row r="67" spans="2:28" ht="14" x14ac:dyDescent="0.2">
      <c r="B67" s="209"/>
      <c r="C67" s="228"/>
      <c r="D67" s="227"/>
      <c r="E67" s="227"/>
      <c r="F67" s="227"/>
      <c r="G67" s="227"/>
      <c r="H67" s="227"/>
      <c r="I67" s="227"/>
      <c r="J67" s="227"/>
      <c r="K67" s="227"/>
      <c r="L67" s="227"/>
      <c r="M67" s="227"/>
      <c r="N67" s="227"/>
      <c r="O67" s="227"/>
      <c r="P67" s="227"/>
      <c r="Q67" s="227"/>
      <c r="R67" s="227"/>
      <c r="S67" s="227"/>
      <c r="T67" s="227"/>
      <c r="U67" s="227"/>
      <c r="V67" s="227"/>
      <c r="W67" s="227"/>
      <c r="X67" s="227"/>
      <c r="Y67" s="227"/>
      <c r="Z67" s="227"/>
      <c r="AA67" s="227"/>
      <c r="AB67" s="227"/>
    </row>
    <row r="68" spans="2:28" ht="14" x14ac:dyDescent="0.2">
      <c r="B68" s="218" t="s">
        <v>349</v>
      </c>
      <c r="C68" s="228"/>
      <c r="D68" s="227"/>
      <c r="E68" s="227"/>
      <c r="F68" s="227"/>
      <c r="G68" s="227"/>
      <c r="H68" s="227"/>
      <c r="I68" s="227"/>
      <c r="J68" s="227"/>
      <c r="K68" s="227"/>
      <c r="L68" s="227"/>
      <c r="M68" s="227"/>
      <c r="N68" s="227"/>
      <c r="O68" s="227"/>
      <c r="P68" s="227"/>
      <c r="Q68" s="227"/>
      <c r="R68" s="227"/>
      <c r="S68" s="227"/>
      <c r="T68" s="227"/>
      <c r="U68" s="227"/>
      <c r="V68" s="227"/>
      <c r="W68" s="227"/>
      <c r="X68" s="227"/>
      <c r="Y68" s="227"/>
      <c r="Z68" s="227"/>
      <c r="AA68" s="227"/>
      <c r="AB68" s="227"/>
    </row>
    <row r="69" spans="2:28" ht="14" x14ac:dyDescent="0.2">
      <c r="B69" s="209" t="s">
        <v>343</v>
      </c>
      <c r="C69" s="226">
        <f>-(Project_Sale_Price*Cash_Equity_Investment_Share)</f>
        <v>-2019846.3863827952</v>
      </c>
      <c r="D69" s="226">
        <f t="shared" ref="D69:AB69" si="29">D49</f>
        <v>144010.24181349899</v>
      </c>
      <c r="E69" s="226">
        <f t="shared" si="29"/>
        <v>147905.20092616565</v>
      </c>
      <c r="F69" s="226">
        <f t="shared" si="29"/>
        <v>151877.47832869287</v>
      </c>
      <c r="G69" s="226">
        <f t="shared" si="29"/>
        <v>155928.60884164186</v>
      </c>
      <c r="H69" s="226">
        <f t="shared" si="29"/>
        <v>160060.1577525232</v>
      </c>
      <c r="I69" s="226">
        <f t="shared" si="29"/>
        <v>211870.13389519934</v>
      </c>
      <c r="J69" s="226">
        <f t="shared" si="29"/>
        <v>179295.99603620372</v>
      </c>
      <c r="K69" s="226">
        <f t="shared" si="29"/>
        <v>182855.20430482531</v>
      </c>
      <c r="L69" s="226">
        <f t="shared" si="29"/>
        <v>186485.06584473379</v>
      </c>
      <c r="M69" s="226">
        <f t="shared" si="29"/>
        <v>190186.98316983492</v>
      </c>
      <c r="N69" s="226">
        <f t="shared" si="29"/>
        <v>193962.38663460122</v>
      </c>
      <c r="O69" s="226">
        <f t="shared" si="29"/>
        <v>197812.73498671514</v>
      </c>
      <c r="P69" s="226">
        <f t="shared" si="29"/>
        <v>201739.51593068219</v>
      </c>
      <c r="Q69" s="226">
        <f t="shared" si="29"/>
        <v>205744.24670263284</v>
      </c>
      <c r="R69" s="226">
        <f t="shared" si="29"/>
        <v>209828.47465653246</v>
      </c>
      <c r="S69" s="226">
        <f t="shared" si="29"/>
        <v>213993.77786202964</v>
      </c>
      <c r="T69" s="226">
        <f t="shared" si="29"/>
        <v>218241.76571416995</v>
      </c>
      <c r="U69" s="226">
        <f t="shared" si="29"/>
        <v>222574.07955521427</v>
      </c>
      <c r="V69" s="226">
        <f t="shared" si="29"/>
        <v>226992.39330879881</v>
      </c>
      <c r="W69" s="226">
        <f t="shared" si="29"/>
        <v>231498.41412668437</v>
      </c>
      <c r="X69" s="226">
        <f t="shared" si="29"/>
        <v>236093.88304834283</v>
      </c>
      <c r="Y69" s="226">
        <f t="shared" si="29"/>
        <v>240780.57567363707</v>
      </c>
      <c r="Z69" s="226">
        <f t="shared" si="29"/>
        <v>245560.30284885317</v>
      </c>
      <c r="AA69" s="226">
        <f t="shared" si="29"/>
        <v>250434.91136635092</v>
      </c>
      <c r="AB69" s="226">
        <f t="shared" si="29"/>
        <v>779110.99730464478</v>
      </c>
    </row>
    <row r="70" spans="2:28" ht="15" thickBot="1" x14ac:dyDescent="0.25">
      <c r="B70" s="209" t="s">
        <v>344</v>
      </c>
      <c r="C70" s="226"/>
      <c r="D70" s="183">
        <f t="shared" ref="D70:AB70" si="30">D31-D57</f>
        <v>10942.351384521229</v>
      </c>
      <c r="E70" s="183">
        <f t="shared" si="30"/>
        <v>1598.7550212100905</v>
      </c>
      <c r="F70" s="183">
        <f t="shared" si="30"/>
        <v>745.02200277239899</v>
      </c>
      <c r="G70" s="183">
        <f t="shared" si="30"/>
        <v>228.52948587836363</v>
      </c>
      <c r="H70" s="183">
        <f t="shared" si="30"/>
        <v>217.99426543135996</v>
      </c>
      <c r="I70" s="183">
        <f t="shared" si="30"/>
        <v>0</v>
      </c>
      <c r="J70" s="183">
        <f t="shared" si="30"/>
        <v>0</v>
      </c>
      <c r="K70" s="183">
        <f t="shared" si="30"/>
        <v>0</v>
      </c>
      <c r="L70" s="183">
        <f t="shared" si="30"/>
        <v>0</v>
      </c>
      <c r="M70" s="183">
        <f t="shared" si="30"/>
        <v>0</v>
      </c>
      <c r="N70" s="183">
        <f t="shared" si="30"/>
        <v>0</v>
      </c>
      <c r="O70" s="183">
        <f t="shared" si="30"/>
        <v>0</v>
      </c>
      <c r="P70" s="183">
        <f t="shared" si="30"/>
        <v>0</v>
      </c>
      <c r="Q70" s="183">
        <f t="shared" si="30"/>
        <v>0</v>
      </c>
      <c r="R70" s="183">
        <f t="shared" si="30"/>
        <v>0</v>
      </c>
      <c r="S70" s="183">
        <f t="shared" si="30"/>
        <v>0</v>
      </c>
      <c r="T70" s="183">
        <f t="shared" si="30"/>
        <v>0</v>
      </c>
      <c r="U70" s="183">
        <f t="shared" si="30"/>
        <v>0</v>
      </c>
      <c r="V70" s="183">
        <f t="shared" si="30"/>
        <v>0</v>
      </c>
      <c r="W70" s="183">
        <f t="shared" si="30"/>
        <v>0</v>
      </c>
      <c r="X70" s="183">
        <f t="shared" si="30"/>
        <v>0</v>
      </c>
      <c r="Y70" s="183">
        <f t="shared" si="30"/>
        <v>0</v>
      </c>
      <c r="Z70" s="183">
        <f t="shared" si="30"/>
        <v>0</v>
      </c>
      <c r="AA70" s="183">
        <f t="shared" si="30"/>
        <v>0</v>
      </c>
      <c r="AB70" s="183">
        <f t="shared" si="30"/>
        <v>0</v>
      </c>
    </row>
    <row r="71" spans="2:28" ht="15" thickTop="1" x14ac:dyDescent="0.2">
      <c r="B71" s="209" t="s">
        <v>345</v>
      </c>
      <c r="C71" s="226">
        <f>C69</f>
        <v>-2019846.3863827952</v>
      </c>
      <c r="D71" s="226">
        <f>D69+D70</f>
        <v>154952.59319802021</v>
      </c>
      <c r="E71" s="226">
        <f t="shared" ref="E71:R71" si="31">E69+E70</f>
        <v>149503.95594737574</v>
      </c>
      <c r="F71" s="226">
        <f t="shared" si="31"/>
        <v>152622.50033146527</v>
      </c>
      <c r="G71" s="226">
        <f t="shared" si="31"/>
        <v>156157.13832752022</v>
      </c>
      <c r="H71" s="226">
        <f t="shared" si="31"/>
        <v>160278.15201795456</v>
      </c>
      <c r="I71" s="226">
        <f t="shared" si="31"/>
        <v>211870.13389519934</v>
      </c>
      <c r="J71" s="226">
        <f t="shared" si="31"/>
        <v>179295.99603620372</v>
      </c>
      <c r="K71" s="226">
        <f t="shared" si="31"/>
        <v>182855.20430482531</v>
      </c>
      <c r="L71" s="226">
        <f t="shared" si="31"/>
        <v>186485.06584473379</v>
      </c>
      <c r="M71" s="226">
        <f t="shared" si="31"/>
        <v>190186.98316983492</v>
      </c>
      <c r="N71" s="226">
        <f t="shared" si="31"/>
        <v>193962.38663460122</v>
      </c>
      <c r="O71" s="226">
        <f t="shared" si="31"/>
        <v>197812.73498671514</v>
      </c>
      <c r="P71" s="226">
        <f t="shared" si="31"/>
        <v>201739.51593068219</v>
      </c>
      <c r="Q71" s="226">
        <f t="shared" si="31"/>
        <v>205744.24670263284</v>
      </c>
      <c r="R71" s="226">
        <f t="shared" si="31"/>
        <v>209828.47465653246</v>
      </c>
      <c r="S71" s="226">
        <f>S69+S70</f>
        <v>213993.77786202964</v>
      </c>
      <c r="T71" s="226">
        <f>T69+T70</f>
        <v>218241.76571416995</v>
      </c>
      <c r="U71" s="226">
        <f>U69+U70</f>
        <v>222574.07955521427</v>
      </c>
      <c r="V71" s="226">
        <f>V69+V70</f>
        <v>226992.39330879881</v>
      </c>
      <c r="W71" s="226">
        <f t="shared" ref="W71:AB71" si="32">W69+W70</f>
        <v>231498.41412668437</v>
      </c>
      <c r="X71" s="226">
        <f t="shared" si="32"/>
        <v>236093.88304834283</v>
      </c>
      <c r="Y71" s="226">
        <f t="shared" si="32"/>
        <v>240780.57567363707</v>
      </c>
      <c r="Z71" s="226">
        <f t="shared" si="32"/>
        <v>245560.30284885317</v>
      </c>
      <c r="AA71" s="226">
        <f t="shared" si="32"/>
        <v>250434.91136635092</v>
      </c>
      <c r="AB71" s="226">
        <f t="shared" si="32"/>
        <v>779110.99730464478</v>
      </c>
    </row>
    <row r="72" spans="2:28" ht="14" x14ac:dyDescent="0.2">
      <c r="B72" s="209" t="s">
        <v>381</v>
      </c>
      <c r="C72" s="206">
        <v>0</v>
      </c>
      <c r="D72" s="206">
        <f>IFERROR(IRR($C71:D$71),0)</f>
        <v>-0.92328496154823225</v>
      </c>
      <c r="E72" s="206">
        <f>IFERROR(IRR($C71:E$71),0)</f>
        <v>-0.68689025162846695</v>
      </c>
      <c r="F72" s="206">
        <f>IFERROR(IRR($C71:F$71),0)</f>
        <v>-0.48902622837417431</v>
      </c>
      <c r="G72" s="206">
        <f>IFERROR(IRR($C71:G$71),0)</f>
        <v>-0.34968642058883492</v>
      </c>
      <c r="H72" s="206">
        <f>IFERROR(IRR($C71:H$71),0)</f>
        <v>-0.25173977958963389</v>
      </c>
      <c r="I72" s="206">
        <f>IFERROR(IRR($C71:I$71),0)</f>
        <v>-0.16662881572554988</v>
      </c>
      <c r="J72" s="206">
        <f>IFERROR(IRR($C71:J$71),0)</f>
        <v>-0.11700696990782278</v>
      </c>
      <c r="K72" s="206">
        <f>IFERROR(IRR($C71:K$71),0)</f>
        <v>-7.9157277304148566E-2</v>
      </c>
      <c r="L72" s="206">
        <f>IFERROR(IRR($C71:L$71),0)</f>
        <v>-4.9807733382372321E-2</v>
      </c>
      <c r="M72" s="206">
        <f>IFERROR(IRR($C71:M$71),0)</f>
        <v>-2.6667511081992279E-2</v>
      </c>
      <c r="N72" s="206">
        <f>IFERROR(IRR($C71:N$71),0)</f>
        <v>-8.142765721563805E-3</v>
      </c>
      <c r="O72" s="206">
        <f>IFERROR(IRR($C71:O$71),0)</f>
        <v>6.8895953405052612E-3</v>
      </c>
      <c r="P72" s="206">
        <f>IFERROR(IRR($C71:P$71),0)</f>
        <v>1.9234944062107795E-2</v>
      </c>
      <c r="Q72" s="206">
        <f>IFERROR(IRR($C71:Q$71),0)</f>
        <v>2.9481340169230208E-2</v>
      </c>
      <c r="R72" s="206">
        <f>IFERROR(IRR($C71:R$71),0)</f>
        <v>3.8065612932038251E-2</v>
      </c>
      <c r="S72" s="206">
        <f>IFERROR(IRR($C71:S$71),0)</f>
        <v>4.531744985201458E-2</v>
      </c>
      <c r="T72" s="206">
        <f>IFERROR(IRR($C71:T$71),0)</f>
        <v>5.1489314671267605E-2</v>
      </c>
      <c r="U72" s="206">
        <f>IFERROR(IRR($C71:U$71),0)</f>
        <v>5.6777107774461433E-2</v>
      </c>
      <c r="V72" s="206">
        <f>IFERROR(IRR($C71:V$71),0)</f>
        <v>6.1334677842695751E-2</v>
      </c>
      <c r="W72" s="206">
        <f>IFERROR(IRR($C71:W$71),0)</f>
        <v>6.5284179419420552E-2</v>
      </c>
      <c r="X72" s="206">
        <f>IFERROR(IRR($C71:X$71),0)</f>
        <v>6.8723576943501952E-2</v>
      </c>
      <c r="Y72" s="206">
        <f>IFERROR(IRR($C71:Y$71),0)</f>
        <v>7.1732157389709839E-2</v>
      </c>
      <c r="Z72" s="206">
        <f>IFERROR(IRR($C71:Z$71),0)</f>
        <v>7.4374632368960247E-2</v>
      </c>
      <c r="AA72" s="206">
        <f>IFERROR(IRR($C71:AA$71),0)</f>
        <v>7.6704227143633119E-2</v>
      </c>
      <c r="AB72" s="206">
        <f>IFERROR(IRR($C71:AB$71),0)</f>
        <v>8.2612936870510856E-2</v>
      </c>
    </row>
    <row r="73" spans="2:28" ht="14" x14ac:dyDescent="0.2">
      <c r="B73" s="209" t="s">
        <v>98</v>
      </c>
      <c r="C73" s="226">
        <f>C71</f>
        <v>-2019846.3863827952</v>
      </c>
      <c r="D73" s="226">
        <f>C73+D71</f>
        <v>-1864893.7931847749</v>
      </c>
      <c r="E73" s="226">
        <f t="shared" ref="E73:R73" si="33">D73+E71</f>
        <v>-1715389.8372373991</v>
      </c>
      <c r="F73" s="226">
        <f t="shared" si="33"/>
        <v>-1562767.3369059339</v>
      </c>
      <c r="G73" s="226">
        <f t="shared" si="33"/>
        <v>-1406610.1985784136</v>
      </c>
      <c r="H73" s="226">
        <f t="shared" si="33"/>
        <v>-1246332.0465604591</v>
      </c>
      <c r="I73" s="226">
        <f t="shared" si="33"/>
        <v>-1034461.9126652598</v>
      </c>
      <c r="J73" s="226">
        <f t="shared" si="33"/>
        <v>-855165.9166290561</v>
      </c>
      <c r="K73" s="226">
        <f t="shared" si="33"/>
        <v>-672310.71232423082</v>
      </c>
      <c r="L73" s="226">
        <f t="shared" si="33"/>
        <v>-485825.64647949702</v>
      </c>
      <c r="M73" s="226">
        <f t="shared" si="33"/>
        <v>-295638.66330966214</v>
      </c>
      <c r="N73" s="226">
        <f t="shared" si="33"/>
        <v>-101676.27667506092</v>
      </c>
      <c r="O73" s="226">
        <f t="shared" si="33"/>
        <v>96136.45831165422</v>
      </c>
      <c r="P73" s="226">
        <f t="shared" si="33"/>
        <v>297875.97424233641</v>
      </c>
      <c r="Q73" s="226">
        <f t="shared" si="33"/>
        <v>503620.22094496922</v>
      </c>
      <c r="R73" s="226">
        <f t="shared" si="33"/>
        <v>713448.69560150173</v>
      </c>
      <c r="S73" s="226">
        <f>R73+S71</f>
        <v>927442.47346353135</v>
      </c>
      <c r="T73" s="226">
        <f>S73+T71</f>
        <v>1145684.2391777013</v>
      </c>
      <c r="U73" s="226">
        <f>T73+U71</f>
        <v>1368258.3187329154</v>
      </c>
      <c r="V73" s="226">
        <f>U73+V71</f>
        <v>1595250.7120417142</v>
      </c>
      <c r="W73" s="226">
        <f t="shared" ref="W73:AB73" si="34">V73+W71</f>
        <v>1826749.1261683987</v>
      </c>
      <c r="X73" s="226">
        <f t="shared" si="34"/>
        <v>2062843.0092167414</v>
      </c>
      <c r="Y73" s="226">
        <f t="shared" si="34"/>
        <v>2303623.5848903786</v>
      </c>
      <c r="Z73" s="226">
        <f t="shared" si="34"/>
        <v>2549183.8877392318</v>
      </c>
      <c r="AA73" s="226">
        <f t="shared" si="34"/>
        <v>2799618.7991055828</v>
      </c>
      <c r="AB73" s="226">
        <f t="shared" si="34"/>
        <v>3578729.7964102277</v>
      </c>
    </row>
    <row r="74" spans="2:28" ht="14" x14ac:dyDescent="0.2">
      <c r="B74" s="209" t="s">
        <v>346</v>
      </c>
      <c r="C74" s="226">
        <f>NPV(Investor_Discount_Rate,D71:AB71)+C71</f>
        <v>402428.22842863924</v>
      </c>
      <c r="D74" s="226"/>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row>
    <row r="75" spans="2:28" ht="14" x14ac:dyDescent="0.2">
      <c r="B75" s="209" t="s">
        <v>382</v>
      </c>
      <c r="C75" s="192">
        <f>IRR(C71:AB71)</f>
        <v>8.2612936870510856E-2</v>
      </c>
      <c r="D75" s="227"/>
      <c r="E75" s="227"/>
      <c r="F75" s="227"/>
      <c r="G75" s="227"/>
      <c r="H75" s="227"/>
      <c r="I75" s="227"/>
      <c r="J75" s="227"/>
      <c r="K75" s="227"/>
      <c r="L75" s="227"/>
      <c r="M75" s="227"/>
      <c r="N75" s="227"/>
      <c r="O75" s="227"/>
      <c r="P75" s="227"/>
      <c r="Q75" s="227"/>
      <c r="R75" s="227"/>
      <c r="S75" s="227"/>
      <c r="T75" s="227"/>
      <c r="U75" s="227"/>
      <c r="V75" s="227"/>
      <c r="W75" s="227"/>
      <c r="X75" s="227"/>
      <c r="Y75" s="227"/>
      <c r="Z75" s="227"/>
      <c r="AA75" s="227"/>
      <c r="AB75" s="227"/>
    </row>
    <row r="76" spans="2:28" ht="14" x14ac:dyDescent="0.2">
      <c r="B76" s="209" t="s">
        <v>24</v>
      </c>
      <c r="C76" s="226">
        <f>NPV(Investor_Discount_Rate,D69:AB69)+C71</f>
        <v>389790.64600953809</v>
      </c>
      <c r="D76" s="227"/>
      <c r="E76" s="227"/>
      <c r="F76" s="227"/>
      <c r="G76" s="227"/>
      <c r="H76" s="227"/>
      <c r="I76" s="227"/>
      <c r="J76" s="227"/>
      <c r="K76" s="227"/>
      <c r="L76" s="227"/>
      <c r="M76" s="227"/>
      <c r="N76" s="227"/>
      <c r="O76" s="227"/>
      <c r="P76" s="227"/>
      <c r="Q76" s="227"/>
      <c r="R76" s="227"/>
      <c r="S76" s="227"/>
      <c r="T76" s="227"/>
      <c r="U76" s="227"/>
      <c r="V76" s="227"/>
      <c r="W76" s="227"/>
      <c r="X76" s="227"/>
      <c r="Y76" s="227"/>
      <c r="Z76" s="227"/>
      <c r="AA76" s="227"/>
      <c r="AB76" s="227"/>
    </row>
    <row r="77" spans="2:28" ht="14" x14ac:dyDescent="0.2">
      <c r="B77" s="219" t="s">
        <v>25</v>
      </c>
      <c r="C77" s="194">
        <f>IRR(C69:AB69)</f>
        <v>8.1992233514778468E-2</v>
      </c>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c r="AB77" s="195"/>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6"/>
      <c r="C81" s="196"/>
      <c r="D81" s="196"/>
      <c r="E81" s="196"/>
      <c r="F81" s="196"/>
      <c r="G81" s="196"/>
      <c r="H81" s="196"/>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350</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84" t="s">
        <v>351</v>
      </c>
      <c r="C86" s="584"/>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2" t="s">
        <v>285</v>
      </c>
      <c r="C87" s="203">
        <v>0</v>
      </c>
      <c r="D87" s="204">
        <v>1</v>
      </c>
      <c r="E87" s="205">
        <v>2</v>
      </c>
      <c r="F87" s="205">
        <v>3</v>
      </c>
      <c r="G87" s="204">
        <v>4</v>
      </c>
      <c r="H87" s="205">
        <v>5</v>
      </c>
      <c r="I87" s="205">
        <v>6</v>
      </c>
      <c r="J87" s="204">
        <v>7</v>
      </c>
      <c r="K87" s="205">
        <v>8</v>
      </c>
      <c r="L87" s="205">
        <v>9</v>
      </c>
      <c r="M87" s="204">
        <v>10</v>
      </c>
      <c r="N87" s="205">
        <v>11</v>
      </c>
      <c r="O87" s="205">
        <v>12</v>
      </c>
      <c r="P87" s="204">
        <v>13</v>
      </c>
      <c r="Q87" s="205">
        <v>14</v>
      </c>
      <c r="R87" s="205">
        <v>15</v>
      </c>
      <c r="S87" s="205">
        <v>16</v>
      </c>
      <c r="T87" s="205">
        <v>17</v>
      </c>
      <c r="U87" s="205">
        <v>18</v>
      </c>
      <c r="V87" s="205">
        <v>19</v>
      </c>
      <c r="W87" s="205">
        <v>20</v>
      </c>
      <c r="X87" s="205">
        <v>21</v>
      </c>
      <c r="Y87" s="205">
        <v>22</v>
      </c>
      <c r="Z87" s="205">
        <v>23</v>
      </c>
      <c r="AA87" s="205">
        <v>24</v>
      </c>
      <c r="AB87" s="205">
        <v>25</v>
      </c>
    </row>
    <row r="88" spans="2:28" ht="14" x14ac:dyDescent="0.2">
      <c r="B88" s="220" t="s">
        <v>352</v>
      </c>
      <c r="C88" s="222">
        <f t="shared" ref="C88:AB88" si="35">C60</f>
        <v>-1655274.4039789138</v>
      </c>
      <c r="D88" s="222">
        <f t="shared" si="35"/>
        <v>-498223.46788910567</v>
      </c>
      <c r="E88" s="222">
        <f t="shared" si="35"/>
        <v>-265760.60178690316</v>
      </c>
      <c r="F88" s="222">
        <f t="shared" si="35"/>
        <v>-117380.83895747887</v>
      </c>
      <c r="G88" s="222">
        <f t="shared" si="35"/>
        <v>-19688.705532771157</v>
      </c>
      <c r="H88" s="222">
        <f t="shared" si="35"/>
        <v>77414.407041242899</v>
      </c>
      <c r="I88" s="222">
        <f t="shared" si="35"/>
        <v>88565.466719937598</v>
      </c>
      <c r="J88" s="222">
        <f t="shared" si="35"/>
        <v>98002.098090264102</v>
      </c>
      <c r="K88" s="222">
        <f t="shared" si="35"/>
        <v>107626.0562115707</v>
      </c>
      <c r="L88" s="222">
        <f t="shared" si="35"/>
        <v>117441.059677083</v>
      </c>
      <c r="M88" s="222">
        <f t="shared" si="35"/>
        <v>127450.900896548</v>
      </c>
      <c r="N88" s="222">
        <f t="shared" si="35"/>
        <v>137659.44756152702</v>
      </c>
      <c r="O88" s="222">
        <f t="shared" si="35"/>
        <v>148070.64413977519</v>
      </c>
      <c r="P88" s="222">
        <f t="shared" si="35"/>
        <v>158688.51339928477</v>
      </c>
      <c r="Q88" s="222">
        <f t="shared" si="35"/>
        <v>169517.15796258123</v>
      </c>
      <c r="R88" s="222">
        <f t="shared" si="35"/>
        <v>180560.76189187242</v>
      </c>
      <c r="S88" s="222">
        <f t="shared" si="35"/>
        <v>191823.59230566345</v>
      </c>
      <c r="T88" s="222">
        <f t="shared" si="35"/>
        <v>203310.00102746187</v>
      </c>
      <c r="U88" s="222">
        <f t="shared" si="35"/>
        <v>215024.42626720999</v>
      </c>
      <c r="V88" s="222">
        <f t="shared" si="35"/>
        <v>226971.39433609415</v>
      </c>
      <c r="W88" s="222">
        <f t="shared" si="35"/>
        <v>239155.52139539333</v>
      </c>
      <c r="X88" s="222">
        <f t="shared" si="35"/>
        <v>251581.51524004294</v>
      </c>
      <c r="Y88" s="222">
        <f t="shared" si="35"/>
        <v>264254.17711760278</v>
      </c>
      <c r="Z88" s="222">
        <f t="shared" si="35"/>
        <v>277178.40358333191</v>
      </c>
      <c r="AA88" s="222">
        <f t="shared" si="35"/>
        <v>290359.18839208724</v>
      </c>
      <c r="AB88" s="222">
        <f t="shared" si="35"/>
        <v>331365.03035548958</v>
      </c>
    </row>
    <row r="89" spans="2:28" ht="14" x14ac:dyDescent="0.2">
      <c r="B89" s="221" t="s">
        <v>339</v>
      </c>
      <c r="C89" s="224">
        <f>C73</f>
        <v>-2019846.3863827952</v>
      </c>
      <c r="D89" s="224">
        <f t="shared" ref="D89:R89" si="36">D73</f>
        <v>-1864893.7931847749</v>
      </c>
      <c r="E89" s="224">
        <f t="shared" si="36"/>
        <v>-1715389.8372373991</v>
      </c>
      <c r="F89" s="224">
        <f t="shared" si="36"/>
        <v>-1562767.3369059339</v>
      </c>
      <c r="G89" s="224">
        <f t="shared" si="36"/>
        <v>-1406610.1985784136</v>
      </c>
      <c r="H89" s="224">
        <f t="shared" si="36"/>
        <v>-1246332.0465604591</v>
      </c>
      <c r="I89" s="224">
        <f t="shared" si="36"/>
        <v>-1034461.9126652598</v>
      </c>
      <c r="J89" s="224">
        <f t="shared" si="36"/>
        <v>-855165.9166290561</v>
      </c>
      <c r="K89" s="224">
        <f t="shared" si="36"/>
        <v>-672310.71232423082</v>
      </c>
      <c r="L89" s="224">
        <f t="shared" si="36"/>
        <v>-485825.64647949702</v>
      </c>
      <c r="M89" s="224">
        <f t="shared" si="36"/>
        <v>-295638.66330966214</v>
      </c>
      <c r="N89" s="224">
        <f t="shared" si="36"/>
        <v>-101676.27667506092</v>
      </c>
      <c r="O89" s="224">
        <f t="shared" si="36"/>
        <v>96136.45831165422</v>
      </c>
      <c r="P89" s="224">
        <f t="shared" si="36"/>
        <v>297875.97424233641</v>
      </c>
      <c r="Q89" s="224">
        <f t="shared" si="36"/>
        <v>503620.22094496922</v>
      </c>
      <c r="R89" s="224">
        <f t="shared" si="36"/>
        <v>713448.69560150173</v>
      </c>
      <c r="S89" s="224">
        <f>S73</f>
        <v>927442.47346353135</v>
      </c>
      <c r="T89" s="224">
        <f>T73</f>
        <v>1145684.2391777013</v>
      </c>
      <c r="U89" s="224">
        <f>U73</f>
        <v>1368258.3187329154</v>
      </c>
      <c r="V89" s="224">
        <f>V73</f>
        <v>1595250.7120417142</v>
      </c>
      <c r="W89" s="224">
        <f t="shared" ref="W89:AB89" si="37">W73</f>
        <v>1826749.1261683987</v>
      </c>
      <c r="X89" s="224">
        <f t="shared" si="37"/>
        <v>2062843.0092167414</v>
      </c>
      <c r="Y89" s="224">
        <f t="shared" si="37"/>
        <v>2303623.5848903786</v>
      </c>
      <c r="Z89" s="224">
        <f t="shared" si="37"/>
        <v>2549183.8877392318</v>
      </c>
      <c r="AA89" s="224">
        <f t="shared" si="37"/>
        <v>2799618.7991055828</v>
      </c>
      <c r="AB89" s="224">
        <f t="shared" si="37"/>
        <v>3578729.7964102277</v>
      </c>
    </row>
    <row r="91" spans="2:28" ht="16" x14ac:dyDescent="0.15">
      <c r="B91" s="586" t="s">
        <v>353</v>
      </c>
      <c r="C91" s="587"/>
    </row>
    <row r="92" spans="2:28" ht="14" x14ac:dyDescent="0.2">
      <c r="B92" s="220" t="s">
        <v>352</v>
      </c>
      <c r="C92" s="223">
        <f>-C56</f>
        <v>1655274.4039789138</v>
      </c>
    </row>
    <row r="93" spans="2:28" ht="14" x14ac:dyDescent="0.2">
      <c r="B93" s="221" t="s">
        <v>339</v>
      </c>
      <c r="C93" s="225">
        <f>-C69</f>
        <v>2019846.3863827952</v>
      </c>
    </row>
    <row r="95" spans="2:28" ht="16" x14ac:dyDescent="0.2">
      <c r="B95" s="584" t="s">
        <v>351</v>
      </c>
      <c r="C95" s="584"/>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2" t="s">
        <v>285</v>
      </c>
      <c r="C96" s="203">
        <v>0</v>
      </c>
      <c r="D96" s="204">
        <v>1</v>
      </c>
      <c r="E96" s="205">
        <v>2</v>
      </c>
      <c r="F96" s="205">
        <v>3</v>
      </c>
      <c r="G96" s="204">
        <v>4</v>
      </c>
      <c r="H96" s="205">
        <v>5</v>
      </c>
      <c r="I96" s="205">
        <v>6</v>
      </c>
      <c r="J96" s="204">
        <v>7</v>
      </c>
      <c r="K96" s="205">
        <v>8</v>
      </c>
      <c r="L96" s="205">
        <v>9</v>
      </c>
      <c r="M96" s="204">
        <v>10</v>
      </c>
      <c r="N96" s="205">
        <v>11</v>
      </c>
      <c r="O96" s="205">
        <v>12</v>
      </c>
      <c r="P96" s="204">
        <v>13</v>
      </c>
      <c r="Q96" s="205">
        <v>14</v>
      </c>
      <c r="R96" s="205">
        <v>15</v>
      </c>
      <c r="S96" s="205">
        <v>16</v>
      </c>
      <c r="T96" s="205">
        <v>17</v>
      </c>
      <c r="U96" s="205">
        <v>18</v>
      </c>
      <c r="V96" s="205">
        <v>19</v>
      </c>
      <c r="W96" s="205">
        <v>20</v>
      </c>
      <c r="X96" s="205">
        <v>21</v>
      </c>
      <c r="Y96" s="205">
        <v>22</v>
      </c>
      <c r="Z96" s="205">
        <v>23</v>
      </c>
      <c r="AA96" s="205">
        <v>24</v>
      </c>
      <c r="AB96" s="205">
        <v>25</v>
      </c>
    </row>
    <row r="97" spans="2:28" ht="14" x14ac:dyDescent="0.2">
      <c r="B97" s="220" t="s">
        <v>352</v>
      </c>
      <c r="C97" s="258">
        <f t="shared" ref="C97:AB97" si="38">C58</f>
        <v>-1655274.4039789138</v>
      </c>
      <c r="D97" s="258">
        <f t="shared" si="38"/>
        <v>1157050.9360898081</v>
      </c>
      <c r="E97" s="258">
        <f t="shared" si="38"/>
        <v>232462.8661022025</v>
      </c>
      <c r="F97" s="258">
        <f t="shared" si="38"/>
        <v>148379.76282942429</v>
      </c>
      <c r="G97" s="258">
        <f t="shared" si="38"/>
        <v>97692.133424707717</v>
      </c>
      <c r="H97" s="258">
        <f t="shared" si="38"/>
        <v>97103.112574014056</v>
      </c>
      <c r="I97" s="258">
        <f t="shared" si="38"/>
        <v>11151.059678694703</v>
      </c>
      <c r="J97" s="258">
        <f t="shared" si="38"/>
        <v>9436.6313703265114</v>
      </c>
      <c r="K97" s="258">
        <f t="shared" si="38"/>
        <v>9623.9581213065958</v>
      </c>
      <c r="L97" s="258">
        <f t="shared" si="38"/>
        <v>9815.0034655123054</v>
      </c>
      <c r="M97" s="258">
        <f t="shared" si="38"/>
        <v>10009.841219464995</v>
      </c>
      <c r="N97" s="258">
        <f t="shared" si="38"/>
        <v>10208.546664979012</v>
      </c>
      <c r="O97" s="258">
        <f t="shared" si="38"/>
        <v>10411.196578248166</v>
      </c>
      <c r="P97" s="258">
        <f t="shared" si="38"/>
        <v>10617.869259509589</v>
      </c>
      <c r="Q97" s="258">
        <f t="shared" si="38"/>
        <v>10828.644563296466</v>
      </c>
      <c r="R97" s="258">
        <f t="shared" si="38"/>
        <v>11043.603929291183</v>
      </c>
      <c r="S97" s="258">
        <f t="shared" si="38"/>
        <v>11262.830413791035</v>
      </c>
      <c r="T97" s="258">
        <f t="shared" si="38"/>
        <v>11486.40872179842</v>
      </c>
      <c r="U97" s="258">
        <f t="shared" si="38"/>
        <v>11714.42523974812</v>
      </c>
      <c r="V97" s="258">
        <f t="shared" si="38"/>
        <v>11946.968068884149</v>
      </c>
      <c r="W97" s="258">
        <f t="shared" si="38"/>
        <v>12184.127059299179</v>
      </c>
      <c r="X97" s="258">
        <f t="shared" si="38"/>
        <v>12425.993844649623</v>
      </c>
      <c r="Y97" s="258">
        <f t="shared" si="38"/>
        <v>12672.661877559847</v>
      </c>
      <c r="Z97" s="258">
        <f t="shared" si="38"/>
        <v>12924.226465729116</v>
      </c>
      <c r="AA97" s="258">
        <f t="shared" si="38"/>
        <v>13180.784808755312</v>
      </c>
      <c r="AB97" s="258">
        <f t="shared" si="38"/>
        <v>41005.841963402359</v>
      </c>
    </row>
    <row r="98" spans="2:28" ht="14" x14ac:dyDescent="0.2">
      <c r="B98" s="221" t="s">
        <v>339</v>
      </c>
      <c r="C98" s="259">
        <f>C71</f>
        <v>-2019846.3863827952</v>
      </c>
      <c r="D98" s="259">
        <f t="shared" ref="D98:V98" si="39">D71</f>
        <v>154952.59319802021</v>
      </c>
      <c r="E98" s="259">
        <f t="shared" si="39"/>
        <v>149503.95594737574</v>
      </c>
      <c r="F98" s="259">
        <f t="shared" si="39"/>
        <v>152622.50033146527</v>
      </c>
      <c r="G98" s="259">
        <f t="shared" si="39"/>
        <v>156157.13832752022</v>
      </c>
      <c r="H98" s="259">
        <f t="shared" si="39"/>
        <v>160278.15201795456</v>
      </c>
      <c r="I98" s="259">
        <f t="shared" si="39"/>
        <v>211870.13389519934</v>
      </c>
      <c r="J98" s="259">
        <f t="shared" si="39"/>
        <v>179295.99603620372</v>
      </c>
      <c r="K98" s="259">
        <f t="shared" si="39"/>
        <v>182855.20430482531</v>
      </c>
      <c r="L98" s="259">
        <f t="shared" si="39"/>
        <v>186485.06584473379</v>
      </c>
      <c r="M98" s="259">
        <f t="shared" si="39"/>
        <v>190186.98316983492</v>
      </c>
      <c r="N98" s="259">
        <f t="shared" si="39"/>
        <v>193962.38663460122</v>
      </c>
      <c r="O98" s="259">
        <f t="shared" si="39"/>
        <v>197812.73498671514</v>
      </c>
      <c r="P98" s="259">
        <f t="shared" si="39"/>
        <v>201739.51593068219</v>
      </c>
      <c r="Q98" s="259">
        <f t="shared" si="39"/>
        <v>205744.24670263284</v>
      </c>
      <c r="R98" s="259">
        <f t="shared" si="39"/>
        <v>209828.47465653246</v>
      </c>
      <c r="S98" s="259">
        <f t="shared" si="39"/>
        <v>213993.77786202964</v>
      </c>
      <c r="T98" s="259">
        <f t="shared" si="39"/>
        <v>218241.76571416995</v>
      </c>
      <c r="U98" s="259">
        <f t="shared" si="39"/>
        <v>222574.07955521427</v>
      </c>
      <c r="V98" s="259">
        <f t="shared" si="39"/>
        <v>226992.39330879881</v>
      </c>
      <c r="W98" s="259">
        <f t="shared" ref="W98:AB98" si="40">W71</f>
        <v>231498.41412668437</v>
      </c>
      <c r="X98" s="259">
        <f t="shared" si="40"/>
        <v>236093.88304834283</v>
      </c>
      <c r="Y98" s="259">
        <f t="shared" si="40"/>
        <v>240780.57567363707</v>
      </c>
      <c r="Z98" s="259">
        <f t="shared" si="40"/>
        <v>245560.30284885317</v>
      </c>
      <c r="AA98" s="259">
        <f t="shared" si="40"/>
        <v>250434.91136635092</v>
      </c>
      <c r="AB98" s="259">
        <f t="shared" si="40"/>
        <v>779110.99730464478</v>
      </c>
    </row>
    <row r="113" spans="5:5" x14ac:dyDescent="0.15">
      <c r="E113" t="s">
        <v>348</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27"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406</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62" t="s">
        <v>0</v>
      </c>
      <c r="P4" s="563"/>
      <c r="Q4" s="563"/>
      <c r="R4" s="563"/>
      <c r="S4" s="563"/>
      <c r="T4" s="563"/>
      <c r="U4" s="563"/>
      <c r="V4" s="563"/>
      <c r="W4" s="563"/>
      <c r="X4" s="563"/>
      <c r="Y4" s="563"/>
      <c r="Z4" s="563"/>
      <c r="AA4" s="34"/>
    </row>
    <row r="5" spans="1:61" ht="25" customHeight="1" x14ac:dyDescent="0.15">
      <c r="I5" s="473" t="s">
        <v>463</v>
      </c>
      <c r="J5" s="473"/>
      <c r="K5" s="473"/>
      <c r="L5" s="473"/>
      <c r="M5" s="473"/>
      <c r="O5" s="564" t="s">
        <v>134</v>
      </c>
      <c r="P5" s="565"/>
      <c r="Q5" s="565"/>
      <c r="R5" s="565"/>
      <c r="S5" s="565"/>
      <c r="T5" s="565"/>
      <c r="U5" s="565"/>
      <c r="V5" s="565"/>
      <c r="W5" s="565"/>
      <c r="X5" s="565"/>
      <c r="Y5" s="565"/>
      <c r="Z5" s="566"/>
      <c r="AA5" s="34"/>
    </row>
    <row r="6" spans="1:61" ht="25" customHeight="1" x14ac:dyDescent="0.15">
      <c r="I6" s="473"/>
      <c r="J6" s="473"/>
      <c r="K6" s="473"/>
      <c r="L6" s="473"/>
      <c r="M6" s="473"/>
      <c r="O6" s="567"/>
      <c r="P6" s="568"/>
      <c r="Q6" s="568"/>
      <c r="R6" s="568"/>
      <c r="S6" s="568"/>
      <c r="T6" s="568"/>
      <c r="U6" s="568"/>
      <c r="V6" s="568"/>
      <c r="W6" s="568"/>
      <c r="X6" s="568"/>
      <c r="Y6" s="568"/>
      <c r="Z6" s="569"/>
      <c r="AA6" s="34"/>
    </row>
    <row r="7" spans="1:61" ht="25" customHeight="1" thickBot="1" x14ac:dyDescent="0.2">
      <c r="O7" s="567"/>
      <c r="P7" s="568"/>
      <c r="Q7" s="568"/>
      <c r="R7" s="568"/>
      <c r="S7" s="568"/>
      <c r="T7" s="568"/>
      <c r="U7" s="568"/>
      <c r="V7" s="568"/>
      <c r="W7" s="568"/>
      <c r="X7" s="568"/>
      <c r="Y7" s="568"/>
      <c r="Z7" s="569"/>
      <c r="AA7" s="34"/>
    </row>
    <row r="8" spans="1:61" ht="16" x14ac:dyDescent="0.2">
      <c r="A8" s="34"/>
      <c r="B8" s="34"/>
      <c r="C8" s="34"/>
      <c r="D8" s="34"/>
      <c r="E8" s="34"/>
      <c r="F8" s="34"/>
      <c r="G8" s="34"/>
      <c r="H8" s="34"/>
      <c r="I8" s="486" t="s">
        <v>214</v>
      </c>
      <c r="J8" s="487"/>
      <c r="K8" s="580"/>
      <c r="L8" s="581"/>
      <c r="M8" s="34"/>
      <c r="O8" s="567"/>
      <c r="P8" s="568"/>
      <c r="Q8" s="568"/>
      <c r="R8" s="568"/>
      <c r="S8" s="568"/>
      <c r="T8" s="568"/>
      <c r="U8" s="568"/>
      <c r="V8" s="568"/>
      <c r="W8" s="568"/>
      <c r="X8" s="568"/>
      <c r="Y8" s="568"/>
      <c r="Z8" s="569"/>
      <c r="AA8" s="34"/>
    </row>
    <row r="9" spans="1:61" ht="17" thickBot="1" x14ac:dyDescent="0.25">
      <c r="A9" s="34"/>
      <c r="B9" s="34"/>
      <c r="C9" s="34"/>
      <c r="D9" s="34"/>
      <c r="E9" s="34"/>
      <c r="F9" s="34"/>
      <c r="G9" s="34"/>
      <c r="H9" s="34"/>
      <c r="I9" s="557" t="s">
        <v>216</v>
      </c>
      <c r="J9" s="558"/>
      <c r="K9" s="582"/>
      <c r="L9" s="583"/>
      <c r="M9" s="34"/>
      <c r="O9" s="567"/>
      <c r="P9" s="568"/>
      <c r="Q9" s="568"/>
      <c r="R9" s="568"/>
      <c r="S9" s="568"/>
      <c r="T9" s="568"/>
      <c r="U9" s="568"/>
      <c r="V9" s="568"/>
      <c r="W9" s="568"/>
      <c r="X9" s="568"/>
      <c r="Y9" s="568"/>
      <c r="Z9" s="569"/>
      <c r="AA9" s="35"/>
    </row>
    <row r="10" spans="1:61" ht="14" x14ac:dyDescent="0.2">
      <c r="A10" s="34"/>
      <c r="B10" s="34"/>
      <c r="C10" s="34"/>
      <c r="D10" s="34"/>
      <c r="E10" s="34"/>
      <c r="F10" s="34"/>
      <c r="G10" s="34"/>
      <c r="H10" s="34"/>
      <c r="L10" s="34"/>
      <c r="M10" s="34"/>
      <c r="N10" s="34"/>
      <c r="O10" s="567"/>
      <c r="P10" s="568"/>
      <c r="Q10" s="568"/>
      <c r="R10" s="568"/>
      <c r="S10" s="568"/>
      <c r="T10" s="568"/>
      <c r="U10" s="568"/>
      <c r="V10" s="568"/>
      <c r="W10" s="568"/>
      <c r="X10" s="568"/>
      <c r="Y10" s="568"/>
      <c r="Z10" s="569"/>
      <c r="AA10" s="35"/>
    </row>
    <row r="11" spans="1:61" ht="14" x14ac:dyDescent="0.2">
      <c r="A11" s="34"/>
      <c r="B11" s="34"/>
      <c r="C11" s="34"/>
      <c r="D11" s="34"/>
      <c r="E11" s="34"/>
      <c r="F11" s="34"/>
      <c r="G11" s="34"/>
      <c r="H11" s="34"/>
      <c r="I11" s="34"/>
      <c r="J11" s="34"/>
      <c r="K11" s="34"/>
      <c r="L11" s="34"/>
      <c r="M11" s="34"/>
      <c r="N11" s="34"/>
      <c r="O11" s="570"/>
      <c r="P11" s="571"/>
      <c r="Q11" s="571"/>
      <c r="R11" s="571"/>
      <c r="S11" s="571"/>
      <c r="T11" s="571"/>
      <c r="U11" s="571"/>
      <c r="V11" s="571"/>
      <c r="W11" s="571"/>
      <c r="X11" s="571"/>
      <c r="Y11" s="571"/>
      <c r="Z11" s="572"/>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4" t="s">
        <v>277</v>
      </c>
      <c r="C13" s="345"/>
      <c r="D13" s="345"/>
      <c r="E13" s="345"/>
      <c r="F13" s="345"/>
      <c r="G13" s="345"/>
      <c r="H13" s="345"/>
      <c r="I13" s="345"/>
      <c r="J13" s="345"/>
      <c r="K13" s="345"/>
      <c r="L13" s="345"/>
      <c r="M13" s="345"/>
      <c r="N13" s="345"/>
      <c r="O13" s="345"/>
      <c r="P13" s="345"/>
      <c r="Q13" s="345"/>
      <c r="R13" s="345"/>
      <c r="S13" s="345"/>
      <c r="T13" s="345"/>
      <c r="U13" s="345"/>
      <c r="V13" s="345"/>
      <c r="W13" s="346"/>
      <c r="X13" s="346"/>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4" t="s">
        <v>278</v>
      </c>
      <c r="C14" s="345"/>
      <c r="D14" s="345"/>
      <c r="E14" s="345"/>
      <c r="F14" s="345"/>
      <c r="G14" s="345"/>
      <c r="H14" s="345"/>
      <c r="I14" s="345"/>
      <c r="J14" s="345"/>
      <c r="K14" s="345"/>
      <c r="L14" s="345"/>
      <c r="M14" s="345"/>
      <c r="N14" s="345"/>
      <c r="O14" s="345"/>
      <c r="P14" s="345"/>
      <c r="Q14" s="345"/>
      <c r="R14" s="345"/>
      <c r="S14" s="345"/>
      <c r="T14" s="345"/>
      <c r="U14" s="345"/>
      <c r="V14" s="345"/>
      <c r="W14" s="346"/>
      <c r="X14" s="346"/>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4"/>
      <c r="C15" s="345"/>
      <c r="D15" s="345"/>
      <c r="E15" s="345"/>
      <c r="F15" s="345"/>
      <c r="G15" s="345"/>
      <c r="H15" s="345"/>
      <c r="I15" s="345"/>
      <c r="J15" s="345"/>
      <c r="K15" s="345"/>
      <c r="L15" s="345"/>
      <c r="M15" s="345"/>
      <c r="N15" s="345"/>
      <c r="O15" s="345"/>
      <c r="P15" s="345"/>
      <c r="Q15" s="345"/>
      <c r="R15" s="345"/>
      <c r="S15" s="345"/>
      <c r="T15" s="345"/>
      <c r="U15" s="345"/>
      <c r="V15" s="345"/>
      <c r="W15" s="345"/>
      <c r="X15" s="345"/>
    </row>
    <row r="16" spans="1:61" ht="17" thickBot="1" x14ac:dyDescent="0.25">
      <c r="A16" s="34"/>
      <c r="B16" s="600" t="s">
        <v>387</v>
      </c>
      <c r="C16" s="600"/>
      <c r="D16" s="600"/>
      <c r="E16" s="345"/>
      <c r="F16" s="345"/>
      <c r="G16" s="345"/>
      <c r="H16" s="345"/>
      <c r="I16" s="345"/>
      <c r="J16" s="345"/>
      <c r="K16" s="345"/>
      <c r="L16" s="345"/>
      <c r="M16" s="345"/>
      <c r="N16" s="345"/>
      <c r="O16" s="345"/>
      <c r="P16" s="345"/>
      <c r="Q16" s="345"/>
      <c r="R16" s="345"/>
      <c r="S16" s="345"/>
      <c r="T16" s="345"/>
      <c r="U16" s="345"/>
      <c r="V16" s="345"/>
      <c r="W16" s="346"/>
      <c r="X16" s="346"/>
      <c r="Y16" s="2"/>
    </row>
    <row r="17" spans="1:28" ht="14" x14ac:dyDescent="0.2">
      <c r="A17" s="34"/>
      <c r="B17" s="347" t="s">
        <v>285</v>
      </c>
      <c r="C17" s="348">
        <v>0</v>
      </c>
      <c r="D17" s="349">
        <v>1</v>
      </c>
      <c r="E17" s="349">
        <v>2</v>
      </c>
      <c r="F17" s="349">
        <v>3</v>
      </c>
      <c r="G17" s="349">
        <v>4</v>
      </c>
      <c r="H17" s="349">
        <v>5</v>
      </c>
      <c r="I17" s="349">
        <v>6</v>
      </c>
      <c r="J17" s="349">
        <v>7</v>
      </c>
      <c r="K17" s="349">
        <v>8</v>
      </c>
      <c r="L17" s="349">
        <v>9</v>
      </c>
      <c r="M17" s="349">
        <v>10</v>
      </c>
      <c r="N17" s="349">
        <v>11</v>
      </c>
      <c r="O17" s="349">
        <v>12</v>
      </c>
      <c r="P17" s="349">
        <v>13</v>
      </c>
      <c r="Q17" s="349">
        <v>14</v>
      </c>
      <c r="R17" s="349">
        <v>15</v>
      </c>
      <c r="S17" s="349">
        <v>16</v>
      </c>
      <c r="T17" s="349">
        <v>17</v>
      </c>
      <c r="U17" s="349">
        <v>18</v>
      </c>
      <c r="V17" s="349">
        <v>19</v>
      </c>
      <c r="W17" s="349">
        <v>20</v>
      </c>
      <c r="X17" s="349">
        <v>21</v>
      </c>
      <c r="Y17" s="349">
        <v>22</v>
      </c>
      <c r="Z17" s="349">
        <v>23</v>
      </c>
      <c r="AA17" s="349">
        <v>24</v>
      </c>
      <c r="AB17" s="349">
        <v>25</v>
      </c>
    </row>
    <row r="18" spans="1:28" ht="14" x14ac:dyDescent="0.2">
      <c r="A18" s="34"/>
      <c r="B18" s="350" t="s">
        <v>275</v>
      </c>
      <c r="C18" s="351"/>
      <c r="D18" s="352">
        <f>Customer_Monthly_kWh_Usage*12</f>
        <v>96272250</v>
      </c>
      <c r="E18" s="353">
        <f>D18</f>
        <v>96272250</v>
      </c>
      <c r="F18" s="353">
        <f t="shared" ref="F18:V18" si="0">E18</f>
        <v>96272250</v>
      </c>
      <c r="G18" s="353">
        <f t="shared" si="0"/>
        <v>96272250</v>
      </c>
      <c r="H18" s="353">
        <f t="shared" si="0"/>
        <v>96272250</v>
      </c>
      <c r="I18" s="353">
        <f t="shared" si="0"/>
        <v>96272250</v>
      </c>
      <c r="J18" s="353">
        <f t="shared" si="0"/>
        <v>96272250</v>
      </c>
      <c r="K18" s="353">
        <f t="shared" si="0"/>
        <v>96272250</v>
      </c>
      <c r="L18" s="353">
        <f t="shared" si="0"/>
        <v>96272250</v>
      </c>
      <c r="M18" s="353">
        <f t="shared" si="0"/>
        <v>96272250</v>
      </c>
      <c r="N18" s="353">
        <f t="shared" si="0"/>
        <v>96272250</v>
      </c>
      <c r="O18" s="353">
        <f t="shared" si="0"/>
        <v>96272250</v>
      </c>
      <c r="P18" s="353">
        <f t="shared" si="0"/>
        <v>96272250</v>
      </c>
      <c r="Q18" s="353">
        <f t="shared" si="0"/>
        <v>96272250</v>
      </c>
      <c r="R18" s="353">
        <f t="shared" si="0"/>
        <v>96272250</v>
      </c>
      <c r="S18" s="353">
        <f t="shared" si="0"/>
        <v>96272250</v>
      </c>
      <c r="T18" s="353">
        <f t="shared" si="0"/>
        <v>96272250</v>
      </c>
      <c r="U18" s="353">
        <f t="shared" si="0"/>
        <v>96272250</v>
      </c>
      <c r="V18" s="353">
        <f t="shared" si="0"/>
        <v>96272250</v>
      </c>
      <c r="W18" s="353">
        <f t="shared" ref="W18:AB18" si="1">V18</f>
        <v>96272250</v>
      </c>
      <c r="X18" s="353">
        <f t="shared" si="1"/>
        <v>96272250</v>
      </c>
      <c r="Y18" s="353">
        <f t="shared" si="1"/>
        <v>96272250</v>
      </c>
      <c r="Z18" s="353">
        <f t="shared" si="1"/>
        <v>96272250</v>
      </c>
      <c r="AA18" s="353">
        <f t="shared" si="1"/>
        <v>96272250</v>
      </c>
      <c r="AB18" s="353">
        <f t="shared" si="1"/>
        <v>96272250</v>
      </c>
    </row>
    <row r="19" spans="1:28" ht="14" x14ac:dyDescent="0.2">
      <c r="A19" s="34"/>
      <c r="B19" s="350" t="s">
        <v>276</v>
      </c>
      <c r="C19" s="351"/>
      <c r="D19" s="352">
        <f>D18-D21</f>
        <v>92451399.003700003</v>
      </c>
      <c r="E19" s="352">
        <f>E18-E21</f>
        <v>92470503.258681506</v>
      </c>
      <c r="F19" s="352">
        <f t="shared" ref="F19:V19" si="2">F18-F21</f>
        <v>92489511.992388099</v>
      </c>
      <c r="G19" s="352">
        <f t="shared" si="2"/>
        <v>92508425.682426155</v>
      </c>
      <c r="H19" s="352">
        <f t="shared" si="2"/>
        <v>92527244.804014027</v>
      </c>
      <c r="I19" s="352">
        <f t="shared" si="2"/>
        <v>92545969.829993963</v>
      </c>
      <c r="J19" s="352">
        <f t="shared" si="2"/>
        <v>92564601.230843991</v>
      </c>
      <c r="K19" s="352">
        <f t="shared" si="2"/>
        <v>92583139.474689767</v>
      </c>
      <c r="L19" s="352">
        <f t="shared" si="2"/>
        <v>92601585.027316317</v>
      </c>
      <c r="M19" s="352">
        <f t="shared" si="2"/>
        <v>92619938.352179736</v>
      </c>
      <c r="N19" s="352">
        <f t="shared" si="2"/>
        <v>92638199.910418838</v>
      </c>
      <c r="O19" s="352">
        <f t="shared" si="2"/>
        <v>92656370.160866737</v>
      </c>
      <c r="P19" s="352">
        <f t="shared" si="2"/>
        <v>92674449.560062408</v>
      </c>
      <c r="Q19" s="352">
        <f t="shared" si="2"/>
        <v>92692438.562262103</v>
      </c>
      <c r="R19" s="352">
        <f t="shared" si="2"/>
        <v>92710337.619450793</v>
      </c>
      <c r="S19" s="352">
        <f t="shared" si="2"/>
        <v>92728147.181353539</v>
      </c>
      <c r="T19" s="352">
        <f t="shared" si="2"/>
        <v>92745867.695446759</v>
      </c>
      <c r="U19" s="352">
        <f t="shared" si="2"/>
        <v>92763499.606969535</v>
      </c>
      <c r="V19" s="352">
        <f t="shared" si="2"/>
        <v>92781043.358934686</v>
      </c>
      <c r="W19" s="352">
        <f t="shared" ref="W19:AB19" si="3">W18-W21</f>
        <v>92798499.392140016</v>
      </c>
      <c r="X19" s="352">
        <f t="shared" si="3"/>
        <v>92815868.145179316</v>
      </c>
      <c r="Y19" s="352">
        <f t="shared" si="3"/>
        <v>92833150.054453418</v>
      </c>
      <c r="Z19" s="352">
        <f t="shared" si="3"/>
        <v>92850345.554181144</v>
      </c>
      <c r="AA19" s="352">
        <f t="shared" si="3"/>
        <v>92867455.076410249</v>
      </c>
      <c r="AB19" s="352">
        <f t="shared" si="3"/>
        <v>92884479.051028192</v>
      </c>
    </row>
    <row r="20" spans="1:28" ht="14" x14ac:dyDescent="0.2">
      <c r="A20" s="34"/>
      <c r="B20" s="350"/>
      <c r="C20" s="351"/>
      <c r="D20" s="353"/>
      <c r="E20" s="353"/>
      <c r="F20" s="353"/>
      <c r="G20" s="353"/>
      <c r="H20" s="353"/>
      <c r="I20" s="353"/>
      <c r="J20" s="353"/>
      <c r="K20" s="353"/>
      <c r="L20" s="353"/>
      <c r="M20" s="353"/>
      <c r="N20" s="353"/>
      <c r="O20" s="353"/>
      <c r="P20" s="353"/>
      <c r="Q20" s="353"/>
      <c r="R20" s="353"/>
      <c r="S20" s="353"/>
      <c r="T20" s="353"/>
      <c r="U20" s="353"/>
      <c r="V20" s="353"/>
      <c r="W20" s="353"/>
      <c r="X20" s="353"/>
      <c r="Y20" s="353"/>
      <c r="Z20" s="353"/>
      <c r="AA20" s="353"/>
      <c r="AB20" s="353"/>
    </row>
    <row r="21" spans="1:28" ht="14" x14ac:dyDescent="0.2">
      <c r="A21" s="34"/>
      <c r="B21" s="354" t="s">
        <v>240</v>
      </c>
      <c r="C21" s="351"/>
      <c r="D21" s="353">
        <f>Unstructured!D21</f>
        <v>3820850.9962999937</v>
      </c>
      <c r="E21" s="353">
        <f>Unstructured!E21</f>
        <v>3801746.7413184936</v>
      </c>
      <c r="F21" s="353">
        <f>Unstructured!F21</f>
        <v>3782738.007611901</v>
      </c>
      <c r="G21" s="353">
        <f>Unstructured!G21</f>
        <v>3763824.3175738417</v>
      </c>
      <c r="H21" s="353">
        <f>Unstructured!H21</f>
        <v>3745005.1959859724</v>
      </c>
      <c r="I21" s="353">
        <f>Unstructured!I21</f>
        <v>3726280.1700060423</v>
      </c>
      <c r="J21" s="353">
        <f>Unstructured!J21</f>
        <v>3707648.7691560122</v>
      </c>
      <c r="K21" s="353">
        <f>Unstructured!K21</f>
        <v>3689110.5253102323</v>
      </c>
      <c r="L21" s="353">
        <f>Unstructured!L21</f>
        <v>3670664.9726836812</v>
      </c>
      <c r="M21" s="353">
        <f>Unstructured!M21</f>
        <v>3652311.6478202627</v>
      </c>
      <c r="N21" s="353">
        <f>Unstructured!N21</f>
        <v>3634050.0895811613</v>
      </c>
      <c r="O21" s="353">
        <f>Unstructured!O21</f>
        <v>3615879.8391332556</v>
      </c>
      <c r="P21" s="353">
        <f>Unstructured!P21</f>
        <v>3597800.4399375892</v>
      </c>
      <c r="Q21" s="353">
        <f>Unstructured!Q21</f>
        <v>3579811.4377379012</v>
      </c>
      <c r="R21" s="353">
        <f>Unstructured!R21</f>
        <v>3561912.3805492115</v>
      </c>
      <c r="S21" s="353">
        <f>Unstructured!S21</f>
        <v>3544102.8186464654</v>
      </c>
      <c r="T21" s="353">
        <f>Unstructured!T21</f>
        <v>3526382.3045532331</v>
      </c>
      <c r="U21" s="353">
        <f>Unstructured!U21</f>
        <v>3508750.393030467</v>
      </c>
      <c r="V21" s="353">
        <f>Unstructured!V21</f>
        <v>3491206.6410653144</v>
      </c>
      <c r="W21" s="353">
        <f>Unstructured!W21</f>
        <v>3473750.6078599878</v>
      </c>
      <c r="X21" s="353">
        <f>Unstructured!X21</f>
        <v>3456381.8548206878</v>
      </c>
      <c r="Y21" s="353">
        <f>Unstructured!Y21</f>
        <v>3439099.9455465842</v>
      </c>
      <c r="Z21" s="353">
        <f>Unstructured!Z21</f>
        <v>3421904.4458188512</v>
      </c>
      <c r="AA21" s="353">
        <f>Unstructured!AA21</f>
        <v>3404794.9235897572</v>
      </c>
      <c r="AB21" s="353">
        <f>Unstructured!AB21</f>
        <v>3387770.9489718084</v>
      </c>
    </row>
    <row r="22" spans="1:28" ht="14" x14ac:dyDescent="0.2">
      <c r="A22" s="34"/>
      <c r="B22" s="354" t="s">
        <v>386</v>
      </c>
      <c r="C22" s="351"/>
      <c r="D22" s="355">
        <f>Customer_Utility_Charge_kWh</f>
        <v>7.3648296020305801E-2</v>
      </c>
      <c r="E22" s="355">
        <f>D22*(1+Customer_Utility_Charge_Escalator)</f>
        <v>7.5489503420813439E-2</v>
      </c>
      <c r="F22" s="355">
        <f t="shared" ref="F22:V22" si="4">E22*(1+Customer_Utility_Charge_Escalator)</f>
        <v>7.7376741006333766E-2</v>
      </c>
      <c r="G22" s="355">
        <f t="shared" si="4"/>
        <v>7.9311159531492106E-2</v>
      </c>
      <c r="H22" s="355">
        <f t="shared" si="4"/>
        <v>8.1293938519779396E-2</v>
      </c>
      <c r="I22" s="355">
        <f t="shared" si="4"/>
        <v>8.3326286982773876E-2</v>
      </c>
      <c r="J22" s="355">
        <f t="shared" si="4"/>
        <v>8.5409444157343209E-2</v>
      </c>
      <c r="K22" s="355">
        <f t="shared" si="4"/>
        <v>8.7544680261276778E-2</v>
      </c>
      <c r="L22" s="355">
        <f t="shared" si="4"/>
        <v>8.9733297267808695E-2</v>
      </c>
      <c r="M22" s="355">
        <f t="shared" si="4"/>
        <v>9.1976629699503903E-2</v>
      </c>
      <c r="N22" s="355">
        <f t="shared" si="4"/>
        <v>9.4276045441991488E-2</v>
      </c>
      <c r="O22" s="355">
        <f t="shared" si="4"/>
        <v>9.6632946578041265E-2</v>
      </c>
      <c r="P22" s="355">
        <f t="shared" si="4"/>
        <v>9.9048770242492284E-2</v>
      </c>
      <c r="Q22" s="355">
        <f t="shared" si="4"/>
        <v>0.10152498949855458</v>
      </c>
      <c r="R22" s="355">
        <f t="shared" si="4"/>
        <v>0.10406311423601844</v>
      </c>
      <c r="S22" s="355">
        <f t="shared" si="4"/>
        <v>0.10666469209191889</v>
      </c>
      <c r="T22" s="355">
        <f t="shared" si="4"/>
        <v>0.10933130939421686</v>
      </c>
      <c r="U22" s="355">
        <f t="shared" si="4"/>
        <v>0.11206459212907227</v>
      </c>
      <c r="V22" s="355">
        <f t="shared" si="4"/>
        <v>0.11486620693229907</v>
      </c>
      <c r="W22" s="355">
        <f t="shared" ref="W22:AB22" si="5">V22*(1+Customer_Utility_Charge_Escalator)</f>
        <v>0.11773786210560654</v>
      </c>
      <c r="X22" s="355">
        <f t="shared" si="5"/>
        <v>0.12068130865824669</v>
      </c>
      <c r="Y22" s="355">
        <f t="shared" si="5"/>
        <v>0.12369834137470286</v>
      </c>
      <c r="Z22" s="355">
        <f t="shared" si="5"/>
        <v>0.12679079990907041</v>
      </c>
      <c r="AA22" s="355">
        <f t="shared" si="5"/>
        <v>0.12996056990679716</v>
      </c>
      <c r="AB22" s="355">
        <f t="shared" si="5"/>
        <v>0.13320958415446707</v>
      </c>
    </row>
    <row r="23" spans="1:28" ht="14" x14ac:dyDescent="0.2">
      <c r="A23" s="34"/>
      <c r="B23" s="354" t="s">
        <v>247</v>
      </c>
      <c r="C23" s="351"/>
      <c r="D23" s="355">
        <f>D22*Customer_Dem_Charge_Percent</f>
        <v>0</v>
      </c>
      <c r="E23" s="355">
        <f>E22*Customer_Dem_Charge_Percent</f>
        <v>0</v>
      </c>
      <c r="F23" s="355">
        <f t="shared" ref="F23:V23" si="6">F22*Customer_Dem_Charge_Percent</f>
        <v>0</v>
      </c>
      <c r="G23" s="355">
        <f t="shared" si="6"/>
        <v>0</v>
      </c>
      <c r="H23" s="355">
        <f t="shared" si="6"/>
        <v>0</v>
      </c>
      <c r="I23" s="355">
        <f t="shared" si="6"/>
        <v>0</v>
      </c>
      <c r="J23" s="355">
        <f t="shared" si="6"/>
        <v>0</v>
      </c>
      <c r="K23" s="355">
        <f t="shared" si="6"/>
        <v>0</v>
      </c>
      <c r="L23" s="355">
        <f t="shared" si="6"/>
        <v>0</v>
      </c>
      <c r="M23" s="355">
        <f t="shared" si="6"/>
        <v>0</v>
      </c>
      <c r="N23" s="355">
        <f t="shared" si="6"/>
        <v>0</v>
      </c>
      <c r="O23" s="355">
        <f t="shared" si="6"/>
        <v>0</v>
      </c>
      <c r="P23" s="355">
        <f t="shared" si="6"/>
        <v>0</v>
      </c>
      <c r="Q23" s="355">
        <f t="shared" si="6"/>
        <v>0</v>
      </c>
      <c r="R23" s="355">
        <f t="shared" si="6"/>
        <v>0</v>
      </c>
      <c r="S23" s="355">
        <f t="shared" si="6"/>
        <v>0</v>
      </c>
      <c r="T23" s="355">
        <f t="shared" si="6"/>
        <v>0</v>
      </c>
      <c r="U23" s="355">
        <f t="shared" si="6"/>
        <v>0</v>
      </c>
      <c r="V23" s="355">
        <f t="shared" si="6"/>
        <v>0</v>
      </c>
      <c r="W23" s="355">
        <f t="shared" ref="W23:AB23" si="7">W22*Customer_Dem_Charge_Percent</f>
        <v>0</v>
      </c>
      <c r="X23" s="355">
        <f t="shared" si="7"/>
        <v>0</v>
      </c>
      <c r="Y23" s="355">
        <f t="shared" si="7"/>
        <v>0</v>
      </c>
      <c r="Z23" s="355">
        <f t="shared" si="7"/>
        <v>0</v>
      </c>
      <c r="AA23" s="355">
        <f t="shared" si="7"/>
        <v>0</v>
      </c>
      <c r="AB23" s="355">
        <f t="shared" si="7"/>
        <v>0</v>
      </c>
    </row>
    <row r="24" spans="1:28" ht="14" x14ac:dyDescent="0.2">
      <c r="A24" s="34"/>
      <c r="B24" s="354" t="s">
        <v>118</v>
      </c>
      <c r="C24" s="351"/>
      <c r="D24" s="355">
        <f>Unstructured!D19</f>
        <v>7.3031580167629145E-2</v>
      </c>
      <c r="E24" s="355">
        <f>Unstructured!E19</f>
        <v>7.4857369671819871E-2</v>
      </c>
      <c r="F24" s="355">
        <f>Unstructured!F19</f>
        <v>7.6728803913615362E-2</v>
      </c>
      <c r="G24" s="355">
        <f>Unstructured!G19</f>
        <v>7.8647024011455735E-2</v>
      </c>
      <c r="H24" s="355">
        <f>Unstructured!H19</f>
        <v>8.0613199611742126E-2</v>
      </c>
      <c r="I24" s="355">
        <f>Unstructured!I19</f>
        <v>8.2628529602035677E-2</v>
      </c>
      <c r="J24" s="355">
        <f>Unstructured!J19</f>
        <v>8.4694242842086556E-2</v>
      </c>
      <c r="K24" s="355">
        <f>Unstructured!K19</f>
        <v>8.6811598913138707E-2</v>
      </c>
      <c r="L24" s="355">
        <f>Unstructured!L19</f>
        <v>8.898188888596717E-2</v>
      </c>
      <c r="M24" s="355">
        <f>Unstructured!M19</f>
        <v>9.1206436108116337E-2</v>
      </c>
      <c r="N24" s="355">
        <f>Unstructured!N19</f>
        <v>9.3486597010819239E-2</v>
      </c>
      <c r="O24" s="355">
        <f>Unstructured!O19</f>
        <v>9.5823761936089713E-2</v>
      </c>
      <c r="P24" s="355">
        <f>Unstructured!P19</f>
        <v>9.8219355984491941E-2</v>
      </c>
      <c r="Q24" s="355">
        <f>Unstructured!Q19</f>
        <v>0.10067483988410424</v>
      </c>
      <c r="R24" s="355">
        <f>Unstructured!R19</f>
        <v>0.10319171088120684</v>
      </c>
      <c r="S24" s="355">
        <f>Unstructured!S19</f>
        <v>0.105771503653237</v>
      </c>
      <c r="T24" s="355">
        <f>Unstructured!T19</f>
        <v>0.10841579124456791</v>
      </c>
      <c r="U24" s="355">
        <f>Unstructured!U19</f>
        <v>0.1111261860256821</v>
      </c>
      <c r="V24" s="355">
        <f>Unstructured!V19</f>
        <v>0.11390434067632414</v>
      </c>
      <c r="W24" s="355">
        <f>Unstructured!W19</f>
        <v>0.11675194919323223</v>
      </c>
      <c r="X24" s="355">
        <f>Unstructured!X19</f>
        <v>0.11967074792306302</v>
      </c>
      <c r="Y24" s="355">
        <f>Unstructured!Y19</f>
        <v>0.12266251662113958</v>
      </c>
      <c r="Z24" s="355">
        <f>Unstructured!Z19</f>
        <v>0.12572907953666806</v>
      </c>
      <c r="AA24" s="355">
        <f>Unstructured!AA19</f>
        <v>0.12887230652508475</v>
      </c>
      <c r="AB24" s="355">
        <f>Unstructured!AB19</f>
        <v>0.13209411418821185</v>
      </c>
    </row>
    <row r="25" spans="1:28" ht="14" x14ac:dyDescent="0.2">
      <c r="A25" s="34"/>
      <c r="B25" s="350" t="s">
        <v>400</v>
      </c>
      <c r="C25" s="351"/>
      <c r="D25" s="356">
        <f t="shared" ref="D25:V25" si="8">D21*(D22+D23)</f>
        <v>281399.16522498231</v>
      </c>
      <c r="E25" s="356">
        <f t="shared" si="8"/>
        <v>286991.97363382875</v>
      </c>
      <c r="F25" s="356">
        <f t="shared" si="8"/>
        <v>292695.93910980108</v>
      </c>
      <c r="G25" s="356">
        <f t="shared" si="8"/>
        <v>298513.27089960838</v>
      </c>
      <c r="H25" s="356">
        <f t="shared" si="8"/>
        <v>304446.222158738</v>
      </c>
      <c r="I25" s="356">
        <f t="shared" si="8"/>
        <v>310497.09082414291</v>
      </c>
      <c r="J25" s="356">
        <f t="shared" si="8"/>
        <v>316668.22050427273</v>
      </c>
      <c r="K25" s="356">
        <f t="shared" si="8"/>
        <v>322962.00138679508</v>
      </c>
      <c r="L25" s="356">
        <f t="shared" si="8"/>
        <v>329380.87116435764</v>
      </c>
      <c r="M25" s="356">
        <f t="shared" si="8"/>
        <v>335927.31597874919</v>
      </c>
      <c r="N25" s="356">
        <f t="shared" si="8"/>
        <v>342603.87138382677</v>
      </c>
      <c r="O25" s="356">
        <f t="shared" si="8"/>
        <v>349413.12332758034</v>
      </c>
      <c r="P25" s="356">
        <f t="shared" si="8"/>
        <v>356357.70915371593</v>
      </c>
      <c r="Q25" s="356">
        <f t="shared" si="8"/>
        <v>363440.31862314598</v>
      </c>
      <c r="R25" s="356">
        <f t="shared" si="8"/>
        <v>370663.69495578099</v>
      </c>
      <c r="S25" s="356">
        <f t="shared" si="8"/>
        <v>378030.63589302712</v>
      </c>
      <c r="T25" s="356">
        <f t="shared" si="8"/>
        <v>385543.99478140095</v>
      </c>
      <c r="U25" s="356">
        <f t="shared" si="8"/>
        <v>393206.68167768134</v>
      </c>
      <c r="V25" s="356">
        <f t="shared" si="8"/>
        <v>401021.66447602515</v>
      </c>
      <c r="W25" s="356">
        <f t="shared" ref="W25:AB25" si="9">W21*(W22+W23)</f>
        <v>408991.97005748615</v>
      </c>
      <c r="X25" s="356">
        <f t="shared" si="9"/>
        <v>417120.68546237866</v>
      </c>
      <c r="Y25" s="356">
        <f t="shared" si="9"/>
        <v>425410.95908594335</v>
      </c>
      <c r="Z25" s="356">
        <f t="shared" si="9"/>
        <v>433866.00189777644</v>
      </c>
      <c r="AA25" s="356">
        <f t="shared" si="9"/>
        <v>442489.08868549473</v>
      </c>
      <c r="AB25" s="356">
        <f t="shared" si="9"/>
        <v>451283.55932311888</v>
      </c>
    </row>
    <row r="26" spans="1:28" ht="14" x14ac:dyDescent="0.2">
      <c r="A26" s="34"/>
      <c r="B26" s="350" t="s">
        <v>383</v>
      </c>
      <c r="C26" s="351"/>
      <c r="D26" s="357">
        <f>D21*D24</f>
        <v>279042.78584484867</v>
      </c>
      <c r="E26" s="357">
        <f t="shared" ref="E26:V26" si="10">E21*E24</f>
        <v>284588.76121351501</v>
      </c>
      <c r="F26" s="357">
        <f t="shared" si="10"/>
        <v>290244.9628426336</v>
      </c>
      <c r="G26" s="357">
        <f t="shared" si="10"/>
        <v>296013.58147913089</v>
      </c>
      <c r="H26" s="357">
        <f t="shared" si="10"/>
        <v>301896.85141102865</v>
      </c>
      <c r="I26" s="357">
        <f t="shared" si="10"/>
        <v>307897.05133282283</v>
      </c>
      <c r="J26" s="357">
        <f t="shared" si="10"/>
        <v>314016.50522806263</v>
      </c>
      <c r="K26" s="357">
        <f t="shared" si="10"/>
        <v>320257.58326947031</v>
      </c>
      <c r="L26" s="357">
        <f t="shared" si="10"/>
        <v>326622.70273695106</v>
      </c>
      <c r="M26" s="357">
        <f t="shared" si="10"/>
        <v>333114.32895384787</v>
      </c>
      <c r="N26" s="357">
        <f t="shared" si="10"/>
        <v>339734.97624180559</v>
      </c>
      <c r="O26" s="357">
        <f t="shared" si="10"/>
        <v>346487.20889461145</v>
      </c>
      <c r="P26" s="357">
        <f t="shared" si="10"/>
        <v>353373.64217139181</v>
      </c>
      <c r="Q26" s="357">
        <f t="shared" si="10"/>
        <v>360396.94330954819</v>
      </c>
      <c r="R26" s="357">
        <f t="shared" si="10"/>
        <v>367559.83255782543</v>
      </c>
      <c r="S26" s="357">
        <f t="shared" si="10"/>
        <v>374865.08422991214</v>
      </c>
      <c r="T26" s="357">
        <f t="shared" si="10"/>
        <v>382315.5277789816</v>
      </c>
      <c r="U26" s="357">
        <f t="shared" si="10"/>
        <v>389914.04889358883</v>
      </c>
      <c r="V26" s="357">
        <f t="shared" si="10"/>
        <v>397663.59061534889</v>
      </c>
      <c r="W26" s="357">
        <f t="shared" ref="W26:AB26" si="11">W21*W24</f>
        <v>405567.15447882889</v>
      </c>
      <c r="X26" s="357">
        <f t="shared" si="11"/>
        <v>413627.80167409556</v>
      </c>
      <c r="Y26" s="357">
        <f t="shared" si="11"/>
        <v>421848.65423236811</v>
      </c>
      <c r="Z26" s="357">
        <f t="shared" si="11"/>
        <v>430232.89623523637</v>
      </c>
      <c r="AA26" s="357">
        <f t="shared" si="11"/>
        <v>438783.77504791168</v>
      </c>
      <c r="AB26" s="357">
        <f t="shared" si="11"/>
        <v>447504.60257698887</v>
      </c>
    </row>
    <row r="27" spans="1:28" ht="14" x14ac:dyDescent="0.2">
      <c r="A27" s="34"/>
      <c r="B27" s="350" t="s">
        <v>401</v>
      </c>
      <c r="C27" s="351"/>
      <c r="D27" s="356">
        <f t="shared" ref="D27:V27" si="12">D25-D26</f>
        <v>2356.3793801336433</v>
      </c>
      <c r="E27" s="356">
        <f t="shared" si="12"/>
        <v>2403.2124203137355</v>
      </c>
      <c r="F27" s="356">
        <f t="shared" si="12"/>
        <v>2450.9762671674835</v>
      </c>
      <c r="G27" s="356">
        <f t="shared" si="12"/>
        <v>2499.6894204774871</v>
      </c>
      <c r="H27" s="356">
        <f t="shared" si="12"/>
        <v>2549.3707477093558</v>
      </c>
      <c r="I27" s="356">
        <f t="shared" si="12"/>
        <v>2600.0394913200871</v>
      </c>
      <c r="J27" s="356">
        <f t="shared" si="12"/>
        <v>2651.7152762101032</v>
      </c>
      <c r="K27" s="356">
        <f t="shared" si="12"/>
        <v>2704.4181173247634</v>
      </c>
      <c r="L27" s="356">
        <f t="shared" si="12"/>
        <v>2758.1684274065774</v>
      </c>
      <c r="M27" s="356">
        <f t="shared" si="12"/>
        <v>2812.9870249013184</v>
      </c>
      <c r="N27" s="356">
        <f t="shared" si="12"/>
        <v>2868.8951420211815</v>
      </c>
      <c r="O27" s="356">
        <f t="shared" si="12"/>
        <v>2925.9144329688861</v>
      </c>
      <c r="P27" s="356">
        <f t="shared" si="12"/>
        <v>2984.0669823241187</v>
      </c>
      <c r="Q27" s="356">
        <f t="shared" si="12"/>
        <v>3043.3753135977895</v>
      </c>
      <c r="R27" s="356">
        <f t="shared" si="12"/>
        <v>3103.8623979555559</v>
      </c>
      <c r="S27" s="356">
        <f t="shared" si="12"/>
        <v>3165.5516631149803</v>
      </c>
      <c r="T27" s="356">
        <f t="shared" si="12"/>
        <v>3228.4670024193474</v>
      </c>
      <c r="U27" s="356">
        <f t="shared" si="12"/>
        <v>3292.6327840925078</v>
      </c>
      <c r="V27" s="356">
        <f t="shared" si="12"/>
        <v>3358.0738606762607</v>
      </c>
      <c r="W27" s="356">
        <f t="shared" ref="W27:AB27" si="13">W25-W26</f>
        <v>3424.8155786572606</v>
      </c>
      <c r="X27" s="356">
        <f t="shared" si="13"/>
        <v>3492.8837882830994</v>
      </c>
      <c r="Y27" s="356">
        <f t="shared" si="13"/>
        <v>3562.3048535752459</v>
      </c>
      <c r="Z27" s="356">
        <f t="shared" si="13"/>
        <v>3633.105662540067</v>
      </c>
      <c r="AA27" s="356">
        <f t="shared" si="13"/>
        <v>3705.3136375830509</v>
      </c>
      <c r="AB27" s="356">
        <f t="shared" si="13"/>
        <v>3778.9567461300176</v>
      </c>
    </row>
    <row r="28" spans="1:28" ht="14" x14ac:dyDescent="0.2">
      <c r="A28" s="34"/>
      <c r="B28" s="350" t="s">
        <v>450</v>
      </c>
      <c r="C28" s="351"/>
      <c r="D28" s="356">
        <f>NPV(Customer_Discount_Rate,D27:AB27)</f>
        <v>36346.114893171791</v>
      </c>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row>
    <row r="29" spans="1:28" ht="14" x14ac:dyDescent="0.2">
      <c r="A29" s="34"/>
      <c r="B29" s="350"/>
      <c r="C29" s="351"/>
      <c r="D29" s="356"/>
      <c r="E29" s="356"/>
      <c r="F29" s="356"/>
      <c r="G29" s="356"/>
      <c r="H29" s="356"/>
      <c r="I29" s="356"/>
      <c r="J29" s="356"/>
      <c r="K29" s="356"/>
      <c r="L29" s="356"/>
      <c r="M29" s="356"/>
      <c r="N29" s="356"/>
      <c r="O29" s="356"/>
      <c r="P29" s="356"/>
      <c r="Q29" s="356"/>
      <c r="R29" s="356"/>
      <c r="S29" s="356"/>
      <c r="T29" s="356"/>
      <c r="U29" s="356"/>
      <c r="V29" s="356"/>
      <c r="W29" s="356"/>
      <c r="X29" s="356"/>
      <c r="Y29" s="356"/>
      <c r="Z29" s="356"/>
      <c r="AA29" s="356"/>
      <c r="AB29" s="356"/>
    </row>
    <row r="30" spans="1:28" ht="14" x14ac:dyDescent="0.2">
      <c r="A30" s="34"/>
      <c r="B30" s="396" t="s">
        <v>140</v>
      </c>
      <c r="C30" s="351"/>
      <c r="D30" s="356"/>
      <c r="E30" s="356"/>
      <c r="F30" s="356"/>
      <c r="G30" s="356"/>
      <c r="H30" s="356"/>
      <c r="I30" s="356"/>
      <c r="J30" s="356"/>
      <c r="K30" s="356"/>
      <c r="L30" s="356"/>
      <c r="M30" s="356"/>
      <c r="N30" s="356"/>
      <c r="O30" s="356"/>
      <c r="P30" s="356"/>
      <c r="Q30" s="356"/>
      <c r="R30" s="356"/>
      <c r="S30" s="356"/>
      <c r="T30" s="356"/>
      <c r="U30" s="356"/>
      <c r="V30" s="356"/>
      <c r="W30" s="356"/>
      <c r="X30" s="356"/>
      <c r="Y30" s="356"/>
      <c r="Z30" s="356"/>
      <c r="AA30" s="356"/>
      <c r="AB30" s="356"/>
    </row>
    <row r="31" spans="1:28" ht="14" x14ac:dyDescent="0.2">
      <c r="A31" s="34"/>
      <c r="B31" s="354" t="s">
        <v>393</v>
      </c>
      <c r="C31" s="351"/>
      <c r="D31" s="358"/>
      <c r="E31" s="358"/>
      <c r="F31" s="358"/>
      <c r="G31" s="358"/>
      <c r="H31" s="358"/>
      <c r="I31" s="358"/>
      <c r="J31" s="356">
        <f>NPV(Customer_Discount_Rate,Unstructured!K87:$AB$87)</f>
        <v>2594685.2331689806</v>
      </c>
      <c r="K31" s="356">
        <f>NPV(Customer_Discount_Rate,Unstructured!L87:$AB$87)</f>
        <v>2557887.1847329866</v>
      </c>
      <c r="L31" s="356">
        <f>NPV(Customer_Discount_Rate,Unstructured!M87:$AB$87)</f>
        <v>2515060.3465067199</v>
      </c>
      <c r="M31" s="356">
        <f>NPV(Customer_Discount_Rate,Unstructured!N87:$AB$87)</f>
        <v>2465767.1429078234</v>
      </c>
      <c r="N31" s="356">
        <f>NPV(Customer_Discount_Rate,Unstructured!O87:$AB$87)</f>
        <v>2409542.2381827128</v>
      </c>
      <c r="O31" s="356">
        <f>NPV(Customer_Discount_Rate,Unstructured!P87:$AB$87)</f>
        <v>2345890.8409087122</v>
      </c>
      <c r="P31" s="356">
        <f>NPV(Customer_Discount_Rate,Unstructured!Q87:$AB$87)</f>
        <v>2274286.9061730439</v>
      </c>
      <c r="Q31" s="356">
        <f>NPV(Customer_Discount_Rate,Unstructured!R87:$AB$87)</f>
        <v>2194171.2292774976</v>
      </c>
      <c r="R31" s="356">
        <f>NPV(Customer_Discount_Rate,Unstructured!S87:$AB$87)</f>
        <v>2104949.4244483239</v>
      </c>
      <c r="S31" s="356">
        <f>NPV(Customer_Discount_Rate,Unstructured!T87:$AB$87)</f>
        <v>2005989.781639402</v>
      </c>
      <c r="T31" s="356">
        <f>NPV(Customer_Discount_Rate,Unstructured!U87:$AB$87)</f>
        <v>1896620.9941017986</v>
      </c>
      <c r="U31" s="356">
        <f>NPV(Customer_Discount_Rate,Unstructured!V87:$AB$87)</f>
        <v>1776129.7489529441</v>
      </c>
      <c r="V31" s="356">
        <f>NPV(Customer_Discount_Rate,Unstructured!W87:$AB$87)</f>
        <v>1643758.1725124377</v>
      </c>
      <c r="W31" s="356">
        <f>NPV(Customer_Discount_Rate,Unstructured!X87:$AB$87)</f>
        <v>1498701.1216772005</v>
      </c>
      <c r="X31" s="356">
        <f>NPV(Customer_Discount_Rate,Unstructured!Y87:$AB$87)</f>
        <v>1340103.3120848404</v>
      </c>
      <c r="Y31" s="356">
        <f>NPV(Customer_Discount_Rate,Unstructured!Z87:$AB$87)</f>
        <v>1167056.273258734</v>
      </c>
      <c r="Z31" s="356">
        <f>NPV(Customer_Discount_Rate,Unstructured!AA87:$AB$87)</f>
        <v>978595.12033967581</v>
      </c>
      <c r="AA31" s="356">
        <f>NPV(Customer_Discount_Rate,Unstructured!AB87:$AB$87)</f>
        <v>773695.13138495013</v>
      </c>
      <c r="AB31" s="356">
        <f>NPV(Customer_Discount_Rate,Unstructured!$AB87:AC$87)</f>
        <v>773695.13138495013</v>
      </c>
    </row>
    <row r="32" spans="1:28" ht="14" x14ac:dyDescent="0.2">
      <c r="A32" s="34"/>
      <c r="B32" s="354" t="s">
        <v>394</v>
      </c>
      <c r="C32" s="351"/>
      <c r="D32" s="358"/>
      <c r="E32" s="358"/>
      <c r="F32" s="358"/>
      <c r="G32" s="358"/>
      <c r="H32" s="358"/>
      <c r="I32" s="358"/>
      <c r="J32" s="356">
        <v>0</v>
      </c>
      <c r="K32" s="356">
        <v>0</v>
      </c>
      <c r="L32" s="356">
        <v>0</v>
      </c>
      <c r="M32" s="356">
        <v>0</v>
      </c>
      <c r="N32" s="356">
        <v>0</v>
      </c>
      <c r="O32" s="356">
        <v>0</v>
      </c>
      <c r="P32" s="356">
        <v>0</v>
      </c>
      <c r="Q32" s="356">
        <v>0</v>
      </c>
      <c r="R32" s="356">
        <v>0</v>
      </c>
      <c r="S32" s="356">
        <v>0</v>
      </c>
      <c r="T32" s="356">
        <v>0</v>
      </c>
      <c r="U32" s="356">
        <v>0</v>
      </c>
      <c r="V32" s="356">
        <v>0</v>
      </c>
      <c r="W32" s="356">
        <v>0</v>
      </c>
      <c r="X32" s="356">
        <v>0</v>
      </c>
      <c r="Y32" s="356">
        <v>0</v>
      </c>
      <c r="Z32" s="356">
        <v>0</v>
      </c>
      <c r="AA32" s="356">
        <v>0</v>
      </c>
      <c r="AB32" s="356">
        <v>0</v>
      </c>
    </row>
    <row r="33" spans="1:28" ht="14" x14ac:dyDescent="0.2">
      <c r="A33" s="34"/>
      <c r="B33" s="354" t="s">
        <v>392</v>
      </c>
      <c r="C33" s="351"/>
      <c r="D33" s="358"/>
      <c r="E33" s="358"/>
      <c r="F33" s="358"/>
      <c r="G33" s="358"/>
      <c r="H33" s="358"/>
      <c r="I33" s="358"/>
      <c r="J33" s="357">
        <f t="shared" ref="J33:V33" si="14">NPV(Customer_Discount_Rate,J32:W32)</f>
        <v>0</v>
      </c>
      <c r="K33" s="357">
        <f>NPV(Customer_Discount_Rate,K32:AB32)</f>
        <v>0</v>
      </c>
      <c r="L33" s="357">
        <f t="shared" si="14"/>
        <v>0</v>
      </c>
      <c r="M33" s="357">
        <f t="shared" si="14"/>
        <v>0</v>
      </c>
      <c r="N33" s="357">
        <f t="shared" si="14"/>
        <v>0</v>
      </c>
      <c r="O33" s="357">
        <f t="shared" si="14"/>
        <v>0</v>
      </c>
      <c r="P33" s="357">
        <f t="shared" si="14"/>
        <v>0</v>
      </c>
      <c r="Q33" s="357">
        <f t="shared" si="14"/>
        <v>0</v>
      </c>
      <c r="R33" s="357">
        <f t="shared" si="14"/>
        <v>0</v>
      </c>
      <c r="S33" s="357">
        <f t="shared" si="14"/>
        <v>0</v>
      </c>
      <c r="T33" s="357">
        <f t="shared" si="14"/>
        <v>0</v>
      </c>
      <c r="U33" s="357">
        <f t="shared" si="14"/>
        <v>0</v>
      </c>
      <c r="V33" s="357">
        <f t="shared" si="14"/>
        <v>0</v>
      </c>
      <c r="W33" s="357">
        <f t="shared" ref="W33:AB33" si="15">NPV(Customer_Discount_Rate,W32:AJ32)</f>
        <v>0</v>
      </c>
      <c r="X33" s="357">
        <f t="shared" si="15"/>
        <v>0</v>
      </c>
      <c r="Y33" s="357">
        <f t="shared" si="15"/>
        <v>0</v>
      </c>
      <c r="Z33" s="357">
        <f t="shared" si="15"/>
        <v>0</v>
      </c>
      <c r="AA33" s="357">
        <f t="shared" si="15"/>
        <v>0</v>
      </c>
      <c r="AB33" s="357">
        <f t="shared" si="15"/>
        <v>0</v>
      </c>
    </row>
    <row r="34" spans="1:28" ht="14" x14ac:dyDescent="0.2">
      <c r="A34" s="34"/>
      <c r="B34" s="360" t="s">
        <v>210</v>
      </c>
      <c r="C34" s="351"/>
      <c r="D34" s="358"/>
      <c r="E34" s="358"/>
      <c r="F34" s="358"/>
      <c r="G34" s="358"/>
      <c r="H34" s="358"/>
      <c r="I34" s="358"/>
      <c r="J34" s="356">
        <f>SUM(J31+J33)</f>
        <v>2594685.2331689806</v>
      </c>
      <c r="K34" s="356">
        <f t="shared" ref="K34:V34" si="16">SUM(K31+K33)</f>
        <v>2557887.1847329866</v>
      </c>
      <c r="L34" s="356">
        <f t="shared" si="16"/>
        <v>2515060.3465067199</v>
      </c>
      <c r="M34" s="356">
        <f t="shared" si="16"/>
        <v>2465767.1429078234</v>
      </c>
      <c r="N34" s="356">
        <f t="shared" si="16"/>
        <v>2409542.2381827128</v>
      </c>
      <c r="O34" s="356">
        <f t="shared" si="16"/>
        <v>2345890.8409087122</v>
      </c>
      <c r="P34" s="356">
        <f t="shared" si="16"/>
        <v>2274286.9061730439</v>
      </c>
      <c r="Q34" s="356">
        <f t="shared" si="16"/>
        <v>2194171.2292774976</v>
      </c>
      <c r="R34" s="356">
        <f t="shared" si="16"/>
        <v>2104949.4244483239</v>
      </c>
      <c r="S34" s="356">
        <f t="shared" si="16"/>
        <v>2005989.781639402</v>
      </c>
      <c r="T34" s="356">
        <f t="shared" si="16"/>
        <v>1896620.9941017986</v>
      </c>
      <c r="U34" s="356">
        <f t="shared" si="16"/>
        <v>1776129.7489529441</v>
      </c>
      <c r="V34" s="356">
        <f t="shared" si="16"/>
        <v>1643758.1725124377</v>
      </c>
      <c r="W34" s="356">
        <f t="shared" ref="W34:AB34" si="17">SUM(W31+W33)</f>
        <v>1498701.1216772005</v>
      </c>
      <c r="X34" s="356">
        <f t="shared" si="17"/>
        <v>1340103.3120848404</v>
      </c>
      <c r="Y34" s="356">
        <f t="shared" si="17"/>
        <v>1167056.273258734</v>
      </c>
      <c r="Z34" s="356">
        <f t="shared" si="17"/>
        <v>978595.12033967581</v>
      </c>
      <c r="AA34" s="356">
        <f t="shared" si="17"/>
        <v>773695.13138495013</v>
      </c>
      <c r="AB34" s="356">
        <f t="shared" si="17"/>
        <v>773695.13138495013</v>
      </c>
    </row>
    <row r="35" spans="1:28" ht="14" x14ac:dyDescent="0.2">
      <c r="A35" s="34"/>
      <c r="B35" s="359"/>
      <c r="C35" s="351"/>
      <c r="D35" s="356"/>
      <c r="E35" s="356"/>
      <c r="F35" s="356"/>
      <c r="G35" s="356"/>
      <c r="H35" s="356"/>
      <c r="I35" s="356"/>
      <c r="J35" s="356"/>
      <c r="K35" s="356"/>
      <c r="L35" s="356"/>
      <c r="M35" s="356"/>
      <c r="N35" s="356"/>
      <c r="O35" s="356"/>
      <c r="P35" s="356"/>
      <c r="Q35" s="356"/>
      <c r="R35" s="356"/>
      <c r="S35" s="356"/>
      <c r="T35" s="356"/>
      <c r="U35" s="356"/>
      <c r="V35" s="356"/>
      <c r="W35" s="356"/>
      <c r="X35" s="356"/>
      <c r="Y35" s="356"/>
      <c r="Z35" s="356"/>
      <c r="AA35" s="356"/>
      <c r="AB35" s="356"/>
    </row>
    <row r="36" spans="1:28" ht="14" x14ac:dyDescent="0.2">
      <c r="A36" s="34"/>
      <c r="B36" s="360" t="s">
        <v>390</v>
      </c>
      <c r="C36" s="351"/>
      <c r="D36" s="356"/>
      <c r="E36" s="356"/>
      <c r="F36" s="356"/>
      <c r="G36" s="356"/>
      <c r="H36" s="356"/>
      <c r="I36" s="356"/>
      <c r="J36" s="356"/>
      <c r="K36" s="356"/>
      <c r="L36" s="356"/>
      <c r="M36" s="356"/>
      <c r="N36" s="356"/>
      <c r="O36" s="356"/>
      <c r="P36" s="356"/>
      <c r="Q36" s="356"/>
      <c r="R36" s="356"/>
      <c r="S36" s="356"/>
      <c r="T36" s="356"/>
      <c r="U36" s="356"/>
      <c r="V36" s="356"/>
      <c r="W36" s="356"/>
      <c r="X36" s="356"/>
      <c r="Y36" s="356"/>
      <c r="Z36" s="356"/>
      <c r="AA36" s="356"/>
      <c r="AB36" s="356"/>
    </row>
    <row r="37" spans="1:28" ht="14" x14ac:dyDescent="0.2">
      <c r="A37" s="34"/>
      <c r="B37" s="360" t="s">
        <v>471</v>
      </c>
      <c r="C37" s="351"/>
      <c r="D37" s="356"/>
      <c r="E37" s="356"/>
      <c r="F37" s="356"/>
      <c r="G37" s="356"/>
      <c r="H37" s="356"/>
      <c r="I37" s="356"/>
      <c r="J37" s="356"/>
      <c r="K37" s="356"/>
      <c r="L37" s="356"/>
      <c r="M37" s="356"/>
      <c r="N37" s="356"/>
      <c r="O37" s="356"/>
      <c r="P37" s="356"/>
      <c r="Q37" s="356"/>
      <c r="R37" s="356"/>
      <c r="S37" s="356"/>
      <c r="T37" s="356"/>
      <c r="U37" s="356"/>
      <c r="V37" s="356"/>
      <c r="W37" s="356"/>
      <c r="X37" s="356"/>
      <c r="Y37" s="356"/>
      <c r="Z37" s="356"/>
      <c r="AA37" s="356"/>
      <c r="AB37" s="356"/>
    </row>
    <row r="38" spans="1:28" ht="14" x14ac:dyDescent="0.2">
      <c r="A38" s="34"/>
      <c r="B38" s="354" t="s">
        <v>395</v>
      </c>
      <c r="C38" s="351"/>
      <c r="D38" s="353">
        <f>SUM(D21:AB21)</f>
        <v>90003780.414608702</v>
      </c>
      <c r="E38" s="356"/>
      <c r="F38" s="356"/>
      <c r="G38" s="356"/>
      <c r="H38" s="356"/>
      <c r="I38" s="356"/>
      <c r="J38" s="356"/>
      <c r="K38" s="356"/>
      <c r="L38" s="356"/>
      <c r="M38" s="356"/>
      <c r="N38" s="356"/>
      <c r="O38" s="356"/>
      <c r="P38" s="356"/>
      <c r="Q38" s="356"/>
      <c r="R38" s="356"/>
      <c r="S38" s="356"/>
      <c r="T38" s="356"/>
      <c r="U38" s="356"/>
      <c r="V38" s="356"/>
      <c r="W38" s="356"/>
      <c r="X38" s="356"/>
      <c r="Y38" s="356"/>
      <c r="Z38" s="356"/>
      <c r="AA38" s="356"/>
      <c r="AB38" s="356"/>
    </row>
    <row r="39" spans="1:28" ht="14" x14ac:dyDescent="0.2">
      <c r="A39" s="34"/>
      <c r="B39" s="354" t="s">
        <v>472</v>
      </c>
      <c r="C39" s="351"/>
      <c r="D39" s="356">
        <f>SUM(D25:AB25)</f>
        <v>8998926.0296696592</v>
      </c>
      <c r="E39" s="356"/>
      <c r="F39" s="356"/>
      <c r="G39" s="356"/>
      <c r="H39" s="356"/>
      <c r="I39" s="356"/>
      <c r="J39" s="356"/>
      <c r="K39" s="356"/>
      <c r="L39" s="356"/>
      <c r="M39" s="356"/>
      <c r="N39" s="356"/>
      <c r="O39" s="356"/>
      <c r="P39" s="356"/>
      <c r="Q39" s="356"/>
      <c r="R39" s="356"/>
      <c r="S39" s="356"/>
      <c r="T39" s="356"/>
      <c r="U39" s="356"/>
      <c r="V39" s="356"/>
      <c r="W39" s="356"/>
      <c r="X39" s="356"/>
      <c r="Y39" s="356"/>
      <c r="Z39" s="356"/>
      <c r="AA39" s="356"/>
      <c r="AB39" s="356"/>
    </row>
    <row r="40" spans="1:28" ht="14" x14ac:dyDescent="0.2">
      <c r="A40" s="34"/>
      <c r="B40" s="360" t="s">
        <v>397</v>
      </c>
      <c r="C40" s="351"/>
      <c r="D40" s="355">
        <f>D39/D38</f>
        <v>9.9983867213304572E-2</v>
      </c>
      <c r="E40" s="356"/>
      <c r="F40" s="356"/>
      <c r="G40" s="356"/>
      <c r="H40" s="356"/>
      <c r="I40" s="356"/>
      <c r="J40" s="356"/>
      <c r="K40" s="356"/>
      <c r="L40" s="356"/>
      <c r="M40" s="356"/>
      <c r="N40" s="356"/>
      <c r="O40" s="356"/>
      <c r="P40" s="356"/>
      <c r="Q40" s="356"/>
      <c r="R40" s="356"/>
      <c r="S40" s="356"/>
      <c r="T40" s="356"/>
      <c r="U40" s="356"/>
      <c r="V40" s="356"/>
      <c r="W40" s="356"/>
      <c r="X40" s="356"/>
      <c r="Y40" s="356"/>
      <c r="Z40" s="356"/>
      <c r="AA40" s="356"/>
      <c r="AB40" s="356"/>
    </row>
    <row r="41" spans="1:28" ht="14" x14ac:dyDescent="0.2">
      <c r="A41" s="34"/>
      <c r="B41" s="360"/>
      <c r="C41" s="351"/>
      <c r="D41" s="356"/>
      <c r="E41" s="356"/>
      <c r="F41" s="356"/>
      <c r="G41" s="356"/>
      <c r="H41" s="356"/>
      <c r="I41" s="356"/>
      <c r="J41" s="356"/>
      <c r="K41" s="356"/>
      <c r="L41" s="356"/>
      <c r="M41" s="356"/>
      <c r="N41" s="356"/>
      <c r="O41" s="356"/>
      <c r="P41" s="356"/>
      <c r="Q41" s="356"/>
      <c r="R41" s="356"/>
      <c r="S41" s="356"/>
      <c r="T41" s="356"/>
      <c r="U41" s="356"/>
      <c r="V41" s="356"/>
      <c r="W41" s="356"/>
      <c r="X41" s="356"/>
      <c r="Y41" s="356"/>
      <c r="Z41" s="356"/>
      <c r="AA41" s="356"/>
      <c r="AB41" s="356"/>
    </row>
    <row r="42" spans="1:28" ht="14" x14ac:dyDescent="0.2">
      <c r="A42" s="34"/>
      <c r="B42" s="360" t="s">
        <v>399</v>
      </c>
      <c r="C42" s="351"/>
      <c r="D42" s="356"/>
      <c r="E42" s="356"/>
      <c r="F42" s="356"/>
      <c r="G42" s="356"/>
      <c r="H42" s="356"/>
      <c r="I42" s="356"/>
      <c r="J42" s="356"/>
      <c r="K42" s="356"/>
      <c r="L42" s="356"/>
      <c r="M42" s="356"/>
      <c r="N42" s="356"/>
      <c r="O42" s="356"/>
      <c r="P42" s="356"/>
      <c r="Q42" s="356"/>
      <c r="R42" s="356"/>
      <c r="S42" s="356"/>
      <c r="T42" s="356"/>
      <c r="U42" s="356"/>
      <c r="V42" s="356"/>
      <c r="W42" s="356"/>
      <c r="X42" s="356"/>
      <c r="Y42" s="356"/>
      <c r="Z42" s="356"/>
      <c r="AA42" s="356"/>
      <c r="AB42" s="356"/>
    </row>
    <row r="43" spans="1:28" ht="14" x14ac:dyDescent="0.2">
      <c r="A43" s="34"/>
      <c r="B43" s="354" t="s">
        <v>384</v>
      </c>
      <c r="C43" s="351"/>
      <c r="D43" s="353">
        <f>SUM(D21:AB21)</f>
        <v>90003780.414608702</v>
      </c>
      <c r="E43" s="356"/>
      <c r="F43" s="356"/>
      <c r="G43" s="356"/>
      <c r="H43" s="356"/>
      <c r="I43" s="356"/>
      <c r="J43" s="356"/>
      <c r="K43" s="356"/>
      <c r="L43" s="356"/>
      <c r="M43" s="356"/>
      <c r="N43" s="356"/>
      <c r="O43" s="356"/>
      <c r="P43" s="356"/>
      <c r="Q43" s="356"/>
      <c r="R43" s="356"/>
      <c r="S43" s="356"/>
      <c r="T43" s="356"/>
      <c r="U43" s="356"/>
      <c r="V43" s="356"/>
      <c r="W43" s="356"/>
      <c r="X43" s="356"/>
      <c r="Y43" s="356"/>
      <c r="Z43" s="356"/>
      <c r="AA43" s="356"/>
      <c r="AB43" s="356"/>
    </row>
    <row r="44" spans="1:28" ht="14" x14ac:dyDescent="0.2">
      <c r="A44" s="34"/>
      <c r="B44" s="354" t="s">
        <v>385</v>
      </c>
      <c r="C44" s="351"/>
      <c r="D44" s="356">
        <f>SUM(D26:AB26)</f>
        <v>8923570.853250755</v>
      </c>
      <c r="E44" s="356"/>
      <c r="F44" s="356"/>
      <c r="G44" s="356"/>
      <c r="H44" s="356"/>
      <c r="I44" s="356"/>
      <c r="J44" s="356"/>
      <c r="K44" s="356"/>
      <c r="L44" s="356"/>
      <c r="M44" s="356"/>
      <c r="N44" s="356"/>
      <c r="O44" s="356"/>
      <c r="P44" s="356"/>
      <c r="Q44" s="356"/>
      <c r="R44" s="356"/>
      <c r="S44" s="356"/>
      <c r="T44" s="356"/>
      <c r="U44" s="356"/>
      <c r="V44" s="356"/>
      <c r="W44" s="356"/>
      <c r="X44" s="356"/>
      <c r="Y44" s="356"/>
      <c r="Z44" s="356"/>
      <c r="AA44" s="356"/>
      <c r="AB44" s="356"/>
    </row>
    <row r="45" spans="1:28" ht="14" x14ac:dyDescent="0.2">
      <c r="A45" s="34"/>
      <c r="B45" s="360" t="s">
        <v>396</v>
      </c>
      <c r="C45" s="351"/>
      <c r="D45" s="361">
        <f>D44/D43</f>
        <v>9.9146622643445675E-2</v>
      </c>
      <c r="E45" s="356"/>
      <c r="F45" s="356"/>
      <c r="G45" s="356"/>
      <c r="H45" s="356"/>
      <c r="I45" s="356"/>
      <c r="J45" s="356"/>
      <c r="K45" s="356"/>
      <c r="L45" s="356"/>
      <c r="M45" s="356"/>
      <c r="N45" s="356"/>
      <c r="O45" s="356"/>
      <c r="P45" s="356"/>
      <c r="Q45" s="356"/>
      <c r="R45" s="356"/>
      <c r="S45" s="356"/>
      <c r="T45" s="356"/>
      <c r="U45" s="356"/>
      <c r="V45" s="356"/>
      <c r="W45" s="356"/>
      <c r="X45" s="356"/>
      <c r="Y45" s="356"/>
      <c r="Z45" s="356"/>
      <c r="AA45" s="356"/>
      <c r="AB45" s="356"/>
    </row>
    <row r="46" spans="1:28" ht="14" x14ac:dyDescent="0.2">
      <c r="A46" s="34"/>
      <c r="B46" s="360"/>
      <c r="C46" s="351"/>
      <c r="D46" s="356"/>
      <c r="E46" s="356"/>
      <c r="F46" s="356"/>
      <c r="G46" s="356"/>
      <c r="H46" s="356"/>
      <c r="I46" s="356"/>
      <c r="J46" s="356"/>
      <c r="K46" s="356"/>
      <c r="L46" s="356"/>
      <c r="M46" s="356"/>
      <c r="N46" s="356"/>
      <c r="O46" s="356"/>
      <c r="P46" s="356"/>
      <c r="Q46" s="356"/>
      <c r="R46" s="356"/>
      <c r="S46" s="356"/>
      <c r="T46" s="356"/>
      <c r="U46" s="356"/>
      <c r="V46" s="356"/>
      <c r="W46" s="356"/>
      <c r="X46" s="356"/>
      <c r="Y46" s="356"/>
      <c r="Z46" s="356"/>
      <c r="AA46" s="356"/>
      <c r="AB46" s="356"/>
    </row>
    <row r="47" spans="1:28" ht="14" x14ac:dyDescent="0.2">
      <c r="A47" s="34"/>
      <c r="B47" s="603" t="s">
        <v>403</v>
      </c>
      <c r="C47" s="351"/>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row>
    <row r="48" spans="1:28" ht="14" x14ac:dyDescent="0.2">
      <c r="A48" s="34"/>
      <c r="B48" s="603"/>
      <c r="C48" s="351"/>
      <c r="D48" s="356"/>
      <c r="E48" s="356"/>
      <c r="F48" s="356"/>
      <c r="G48" s="356"/>
      <c r="H48" s="356"/>
      <c r="I48" s="356"/>
      <c r="J48" s="356"/>
      <c r="K48" s="356"/>
      <c r="L48" s="356"/>
      <c r="M48" s="356"/>
      <c r="N48" s="356"/>
      <c r="O48" s="356"/>
      <c r="P48" s="356"/>
      <c r="Q48" s="356"/>
      <c r="R48" s="356"/>
      <c r="S48" s="356"/>
      <c r="T48" s="356"/>
      <c r="U48" s="356"/>
      <c r="V48" s="356"/>
      <c r="W48" s="356"/>
      <c r="X48" s="356"/>
      <c r="Y48" s="356"/>
      <c r="Z48" s="356"/>
      <c r="AA48" s="356"/>
      <c r="AB48" s="356"/>
    </row>
    <row r="49" spans="1:28" ht="14" x14ac:dyDescent="0.2">
      <c r="A49" s="34"/>
      <c r="B49" s="354" t="s">
        <v>294</v>
      </c>
      <c r="C49" s="356">
        <f>-Unstructured!C80</f>
        <v>3675120.790361709</v>
      </c>
      <c r="D49" s="362"/>
      <c r="E49" s="358"/>
      <c r="F49" s="358"/>
      <c r="G49" s="358"/>
      <c r="H49" s="358"/>
      <c r="I49" s="358"/>
      <c r="J49" s="358"/>
      <c r="K49" s="358"/>
      <c r="L49" s="358"/>
      <c r="M49" s="358"/>
      <c r="N49" s="358"/>
      <c r="O49" s="358"/>
      <c r="P49" s="358"/>
      <c r="Q49" s="358"/>
      <c r="R49" s="358"/>
      <c r="S49" s="358"/>
      <c r="T49" s="358"/>
      <c r="U49" s="358"/>
      <c r="V49" s="358"/>
      <c r="W49" s="358"/>
      <c r="X49" s="358"/>
      <c r="Y49" s="358"/>
      <c r="Z49" s="358"/>
      <c r="AA49" s="358"/>
      <c r="AB49" s="358"/>
    </row>
    <row r="50" spans="1:28" ht="14" x14ac:dyDescent="0.2">
      <c r="A50" s="34"/>
      <c r="B50" s="354" t="s">
        <v>295</v>
      </c>
      <c r="C50" s="363"/>
      <c r="D50" s="358"/>
      <c r="E50" s="358"/>
      <c r="F50" s="358"/>
      <c r="G50" s="358"/>
      <c r="H50" s="358"/>
      <c r="I50" s="358"/>
      <c r="J50" s="356">
        <f t="shared" ref="J50:V50" si="18">J31</f>
        <v>2594685.2331689806</v>
      </c>
      <c r="K50" s="356">
        <f t="shared" si="18"/>
        <v>2557887.1847329866</v>
      </c>
      <c r="L50" s="356">
        <f t="shared" si="18"/>
        <v>2515060.3465067199</v>
      </c>
      <c r="M50" s="356">
        <f t="shared" si="18"/>
        <v>2465767.1429078234</v>
      </c>
      <c r="N50" s="356">
        <f t="shared" si="18"/>
        <v>2409542.2381827128</v>
      </c>
      <c r="O50" s="356">
        <f t="shared" si="18"/>
        <v>2345890.8409087122</v>
      </c>
      <c r="P50" s="356">
        <f t="shared" si="18"/>
        <v>2274286.9061730439</v>
      </c>
      <c r="Q50" s="356">
        <f t="shared" si="18"/>
        <v>2194171.2292774976</v>
      </c>
      <c r="R50" s="356">
        <f t="shared" si="18"/>
        <v>2104949.4244483239</v>
      </c>
      <c r="S50" s="356">
        <f t="shared" si="18"/>
        <v>2005989.781639402</v>
      </c>
      <c r="T50" s="356">
        <f t="shared" si="18"/>
        <v>1896620.9941017986</v>
      </c>
      <c r="U50" s="356">
        <f t="shared" si="18"/>
        <v>1776129.7489529441</v>
      </c>
      <c r="V50" s="356">
        <f t="shared" si="18"/>
        <v>1643758.1725124377</v>
      </c>
      <c r="W50" s="356">
        <f t="shared" ref="W50:AB50" si="19">W31</f>
        <v>1498701.1216772005</v>
      </c>
      <c r="X50" s="356">
        <f t="shared" si="19"/>
        <v>1340103.3120848404</v>
      </c>
      <c r="Y50" s="356">
        <f t="shared" si="19"/>
        <v>1167056.273258734</v>
      </c>
      <c r="Z50" s="356">
        <f t="shared" si="19"/>
        <v>978595.12033967581</v>
      </c>
      <c r="AA50" s="356">
        <f t="shared" si="19"/>
        <v>773695.13138495013</v>
      </c>
      <c r="AB50" s="356">
        <f t="shared" si="19"/>
        <v>773695.13138495013</v>
      </c>
    </row>
    <row r="51" spans="1:28" ht="14" x14ac:dyDescent="0.2">
      <c r="A51" s="34"/>
      <c r="B51" s="354" t="s">
        <v>388</v>
      </c>
      <c r="C51" s="356">
        <v>0</v>
      </c>
      <c r="D51" s="356">
        <v>0</v>
      </c>
      <c r="E51" s="356">
        <f>SUM($D$26:E26)</f>
        <v>563631.54705836368</v>
      </c>
      <c r="F51" s="356">
        <f>SUM($D$26:F26)</f>
        <v>853876.50990099728</v>
      </c>
      <c r="G51" s="356">
        <f>SUM($D$26:G26)</f>
        <v>1149890.0913801282</v>
      </c>
      <c r="H51" s="356">
        <f>SUM($D$26:H26)</f>
        <v>1451786.9427911569</v>
      </c>
      <c r="I51" s="356">
        <f>SUM($D$26:I26)</f>
        <v>1759683.9941239797</v>
      </c>
      <c r="J51" s="356">
        <f>SUM($D$26:J26)</f>
        <v>2073700.4993520423</v>
      </c>
      <c r="K51" s="356">
        <f>SUM($D$26:K26)</f>
        <v>2393958.0826215125</v>
      </c>
      <c r="L51" s="356">
        <f>SUM($D$26:L26)</f>
        <v>2720580.7853584634</v>
      </c>
      <c r="M51" s="356">
        <f>SUM($D$26:M26)</f>
        <v>3053695.1143123112</v>
      </c>
      <c r="N51" s="356">
        <f>SUM($D$26:N26)</f>
        <v>3393430.0905541168</v>
      </c>
      <c r="O51" s="356">
        <f>SUM($D$26:O26)</f>
        <v>3739917.2994487281</v>
      </c>
      <c r="P51" s="356">
        <f>SUM($D$26:P26)</f>
        <v>4093290.9416201198</v>
      </c>
      <c r="Q51" s="356">
        <f>SUM($D$26:Q26)</f>
        <v>4453687.8849296682</v>
      </c>
      <c r="R51" s="356">
        <f>SUM($D$26:R26)</f>
        <v>4821247.7174874935</v>
      </c>
      <c r="S51" s="356">
        <f>SUM($D$26:S26)</f>
        <v>5196112.8017174061</v>
      </c>
      <c r="T51" s="356">
        <f>SUM($D$26:T26)</f>
        <v>5578428.3294963874</v>
      </c>
      <c r="U51" s="356">
        <f>SUM($D$26:U26)</f>
        <v>5968342.378389976</v>
      </c>
      <c r="V51" s="356">
        <f>SUM($D$26:V26)</f>
        <v>6366005.9690053249</v>
      </c>
      <c r="W51" s="356">
        <f>SUM($D$26:W26)</f>
        <v>6771573.1234841533</v>
      </c>
      <c r="X51" s="356">
        <f>SUM($D$26:X26)</f>
        <v>7185200.9251582492</v>
      </c>
      <c r="Y51" s="356">
        <f>SUM($D$26:Y26)</f>
        <v>7607049.5793906171</v>
      </c>
      <c r="Z51" s="356">
        <f>SUM($D$26:Z26)</f>
        <v>8037282.4756258531</v>
      </c>
      <c r="AA51" s="356">
        <f>SUM($D$26:AA26)</f>
        <v>8476066.2506737653</v>
      </c>
      <c r="AB51" s="356">
        <f>SUM($D$26:AB26)</f>
        <v>8923570.853250755</v>
      </c>
    </row>
    <row r="52" spans="1:28" ht="14" x14ac:dyDescent="0.2">
      <c r="A52" s="34"/>
      <c r="B52" s="354" t="s">
        <v>181</v>
      </c>
      <c r="C52" s="356">
        <f>NPV(Customer_Discount_Rate,Unstructured!D38:$AB$38)</f>
        <v>644634.40670904482</v>
      </c>
      <c r="D52" s="356">
        <f>NPV(Customer_Discount_Rate,Unstructured!E38:$AB$38)</f>
        <v>641571.07111158781</v>
      </c>
      <c r="E52" s="356">
        <f>NPV(Customer_Discount_Rate,Unstructured!F38:$AB$38)</f>
        <v>637489.10737828305</v>
      </c>
      <c r="F52" s="356">
        <f>NPV(Customer_Discount_Rate,Unstructured!G38:$AB$38)</f>
        <v>632310.70126097999</v>
      </c>
      <c r="G52" s="356">
        <f>NPV(Customer_Discount_Rate,Unstructured!H38:$AB$38)</f>
        <v>625953.03572543885</v>
      </c>
      <c r="H52" s="356">
        <f>NPV(Customer_Discount_Rate,Unstructured!I38:$AB$38)</f>
        <v>618327.98410554114</v>
      </c>
      <c r="I52" s="356">
        <f>NPV(Customer_Discount_Rate,Unstructured!J38:$AB$38)</f>
        <v>609341.78471318108</v>
      </c>
      <c r="J52" s="356">
        <f>NPV(Customer_Discount_Rate,Unstructured!K38:$AB$38)</f>
        <v>598894.69578850595</v>
      </c>
      <c r="K52" s="356">
        <f>NPV(Customer_Discount_Rate,Unstructured!L38:$AB$38)</f>
        <v>586880.62960820051</v>
      </c>
      <c r="L52" s="356">
        <f>NPV(Customer_Discount_Rate,Unstructured!M38:$AB$38)</f>
        <v>573186.76449852472</v>
      </c>
      <c r="M52" s="356">
        <f>NPV(Customer_Discount_Rate,Unstructured!N38:$AB$38)</f>
        <v>557693.13342454494</v>
      </c>
      <c r="N52" s="356">
        <f>NPV(Customer_Discount_Rate,Unstructured!O38:$AB$38)</f>
        <v>540272.18774724845</v>
      </c>
      <c r="O52" s="356">
        <f>NPV(Customer_Discount_Rate,Unstructured!P38:$AB$38)</f>
        <v>520788.33465565881</v>
      </c>
      <c r="P52" s="356">
        <f>NPV(Customer_Discount_Rate,Unstructured!Q38:$AB$38)</f>
        <v>499097.44669144537</v>
      </c>
      <c r="Q52" s="356">
        <f>NPV(Customer_Discount_Rate,Unstructured!R38:$AB$38)</f>
        <v>475046.34168850794</v>
      </c>
      <c r="R52" s="356">
        <f>NPV(Customer_Discount_Rate,Unstructured!S38:$AB$38)</f>
        <v>448472.23134930583</v>
      </c>
      <c r="S52" s="356">
        <f>NPV(Customer_Discount_Rate,Unstructured!T38:$AB$38)</f>
        <v>419202.13657294138</v>
      </c>
      <c r="T52" s="356">
        <f>NPV(Customer_Discount_Rate,Unstructured!U38:$AB$38)</f>
        <v>387052.26753684861</v>
      </c>
      <c r="U52" s="356">
        <f>NPV(Customer_Discount_Rate,Unstructured!V38:$AB$38)</f>
        <v>351827.3664139809</v>
      </c>
      <c r="V52" s="356">
        <f>NPV(Customer_Discount_Rate,Unstructured!W38:$AB$38)</f>
        <v>313320.01048023958</v>
      </c>
      <c r="W52" s="356">
        <f>NPV(Customer_Discount_Rate,Unstructured!X38:$AB$38)</f>
        <v>271309.87323210214</v>
      </c>
      <c r="X52" s="356">
        <f>NPV(Customer_Discount_Rate,Unstructured!Y38:$AB$38)</f>
        <v>225562.94099153741</v>
      </c>
      <c r="Y52" s="356">
        <f>NPV(Customer_Discount_Rate,Unstructured!Z38:$AB$38)</f>
        <v>175830.68232384895</v>
      </c>
      <c r="Z52" s="356">
        <f>NPV(Customer_Discount_Rate,Unstructured!AA38:$AB$38)</f>
        <v>121849.16743355559</v>
      </c>
      <c r="AA52" s="356">
        <f>NPV(Customer_Discount_Rate,Unstructured!AB38:$AB$38)</f>
        <v>63338.134533250159</v>
      </c>
      <c r="AB52" s="356">
        <f>NPV(Customer_Discount_Rate,Unstructured!$AB38:AC$38)</f>
        <v>63338.134533250159</v>
      </c>
    </row>
    <row r="53" spans="1:28" ht="14" x14ac:dyDescent="0.2">
      <c r="A53" s="34"/>
      <c r="B53" s="359" t="s">
        <v>182</v>
      </c>
      <c r="C53" s="343">
        <f>SUM(C49:C52)</f>
        <v>4319755.1970707541</v>
      </c>
      <c r="D53" s="356">
        <f>SUM(D49:D52)</f>
        <v>641571.07111158781</v>
      </c>
      <c r="E53" s="356">
        <f t="shared" ref="E53:V53" si="20">SUM(E49:E52)</f>
        <v>1201120.6544366467</v>
      </c>
      <c r="F53" s="356">
        <f t="shared" si="20"/>
        <v>1486187.2111619771</v>
      </c>
      <c r="G53" s="356">
        <f t="shared" si="20"/>
        <v>1775843.1271055671</v>
      </c>
      <c r="H53" s="356">
        <f t="shared" si="20"/>
        <v>2070114.9268966981</v>
      </c>
      <c r="I53" s="356">
        <f t="shared" si="20"/>
        <v>2369025.7788371607</v>
      </c>
      <c r="J53" s="356">
        <f t="shared" si="20"/>
        <v>5267280.4283095282</v>
      </c>
      <c r="K53" s="356">
        <f t="shared" si="20"/>
        <v>5538725.8969627004</v>
      </c>
      <c r="L53" s="356">
        <f t="shared" si="20"/>
        <v>5808827.8963637073</v>
      </c>
      <c r="M53" s="356">
        <f t="shared" si="20"/>
        <v>6077155.3906446788</v>
      </c>
      <c r="N53" s="356">
        <f t="shared" si="20"/>
        <v>6343244.516484078</v>
      </c>
      <c r="O53" s="356">
        <f t="shared" si="20"/>
        <v>6606596.4750130996</v>
      </c>
      <c r="P53" s="356">
        <f t="shared" si="20"/>
        <v>6866675.2944846088</v>
      </c>
      <c r="Q53" s="356">
        <f t="shared" si="20"/>
        <v>7122905.4558956735</v>
      </c>
      <c r="R53" s="356">
        <f t="shared" si="20"/>
        <v>7374669.3732851241</v>
      </c>
      <c r="S53" s="356">
        <f t="shared" si="20"/>
        <v>7621304.7199297491</v>
      </c>
      <c r="T53" s="356">
        <f t="shared" si="20"/>
        <v>7862101.5911350343</v>
      </c>
      <c r="U53" s="356">
        <f t="shared" si="20"/>
        <v>8096299.4937569005</v>
      </c>
      <c r="V53" s="356">
        <f t="shared" si="20"/>
        <v>8323084.1519980021</v>
      </c>
      <c r="W53" s="356">
        <f t="shared" ref="W53:AB53" si="21">SUM(W49:W52)</f>
        <v>8541584.1183934566</v>
      </c>
      <c r="X53" s="356">
        <f t="shared" si="21"/>
        <v>8750867.1782346275</v>
      </c>
      <c r="Y53" s="356">
        <f t="shared" si="21"/>
        <v>8949936.5349732004</v>
      </c>
      <c r="Z53" s="356">
        <f t="shared" si="21"/>
        <v>9137726.763399085</v>
      </c>
      <c r="AA53" s="356">
        <f t="shared" si="21"/>
        <v>9313099.5165919662</v>
      </c>
      <c r="AB53" s="356">
        <f t="shared" si="21"/>
        <v>9760604.1191689558</v>
      </c>
    </row>
    <row r="54" spans="1:28" ht="14" x14ac:dyDescent="0.2">
      <c r="A54" s="34"/>
      <c r="B54" s="365"/>
      <c r="C54" s="604" t="s">
        <v>402</v>
      </c>
      <c r="D54" s="604"/>
      <c r="E54" s="366"/>
      <c r="F54" s="366"/>
      <c r="G54" s="366"/>
      <c r="H54" s="366"/>
      <c r="I54" s="366"/>
      <c r="J54" s="366"/>
      <c r="K54" s="366"/>
      <c r="L54" s="366"/>
      <c r="M54" s="366"/>
      <c r="N54" s="366"/>
      <c r="O54" s="366"/>
      <c r="P54" s="366"/>
      <c r="Q54" s="366"/>
      <c r="R54" s="366"/>
      <c r="S54" s="366"/>
      <c r="T54" s="366"/>
      <c r="U54" s="366"/>
      <c r="V54" s="366"/>
      <c r="W54" s="366"/>
      <c r="X54" s="366"/>
      <c r="Y54" s="366"/>
      <c r="Z54" s="366"/>
      <c r="AA54" s="366"/>
      <c r="AB54" s="366"/>
    </row>
    <row r="55" spans="1:28" ht="14" customHeight="1" x14ac:dyDescent="0.2">
      <c r="A55" s="34"/>
      <c r="B55" s="367" t="s">
        <v>389</v>
      </c>
      <c r="C55" s="604"/>
      <c r="D55" s="604"/>
      <c r="E55" s="366"/>
      <c r="F55" s="366"/>
      <c r="G55" s="366"/>
      <c r="H55" s="366"/>
      <c r="I55" s="366"/>
      <c r="J55" s="366"/>
      <c r="K55" s="366"/>
      <c r="L55" s="366"/>
      <c r="M55" s="366"/>
      <c r="N55" s="366"/>
      <c r="O55" s="366"/>
      <c r="P55" s="366"/>
      <c r="Q55" s="366"/>
      <c r="R55" s="366"/>
      <c r="S55" s="366"/>
      <c r="T55" s="366"/>
      <c r="U55" s="366"/>
      <c r="V55" s="366"/>
      <c r="W55" s="366"/>
      <c r="X55" s="366"/>
      <c r="Y55" s="366"/>
      <c r="Z55" s="366"/>
      <c r="AA55" s="366"/>
      <c r="AB55" s="366"/>
    </row>
    <row r="56" spans="1:28" ht="15" x14ac:dyDescent="0.2">
      <c r="A56" s="34"/>
      <c r="B56" s="354" t="s">
        <v>404</v>
      </c>
      <c r="C56" s="355">
        <f>$C$53/$D$43</f>
        <v>4.7995263945264301E-2</v>
      </c>
      <c r="D56" s="368" t="s">
        <v>398</v>
      </c>
      <c r="E56" s="369"/>
      <c r="F56" s="366"/>
      <c r="G56" s="366"/>
      <c r="H56" s="366"/>
      <c r="I56" s="366"/>
      <c r="J56" s="366"/>
      <c r="K56" s="366"/>
      <c r="L56" s="366"/>
      <c r="M56" s="366"/>
      <c r="N56" s="366"/>
      <c r="O56" s="366"/>
      <c r="P56" s="366"/>
      <c r="Q56" s="366"/>
      <c r="R56" s="366"/>
      <c r="S56" s="366"/>
      <c r="T56" s="366"/>
      <c r="U56" s="366"/>
      <c r="V56" s="366"/>
      <c r="W56" s="366"/>
      <c r="X56" s="366"/>
      <c r="Y56" s="366"/>
      <c r="Z56" s="366"/>
      <c r="AA56" s="366"/>
      <c r="AB56" s="366"/>
    </row>
    <row r="57" spans="1:28" ht="15" x14ac:dyDescent="0.2">
      <c r="A57" s="34"/>
      <c r="B57" s="354" t="s">
        <v>124</v>
      </c>
      <c r="C57" s="355">
        <f>$J$53/$D$43</f>
        <v>5.852287986177284E-2</v>
      </c>
      <c r="D57" s="368" t="s">
        <v>398</v>
      </c>
      <c r="E57" s="369"/>
      <c r="F57" s="366"/>
      <c r="G57" s="366"/>
      <c r="H57" s="366"/>
      <c r="I57" s="366"/>
      <c r="J57" s="366"/>
      <c r="K57" s="366"/>
      <c r="L57" s="366"/>
      <c r="M57" s="366"/>
      <c r="N57" s="366"/>
      <c r="O57" s="366"/>
      <c r="P57" s="366"/>
      <c r="Q57" s="366"/>
      <c r="R57" s="366"/>
      <c r="S57" s="366"/>
      <c r="T57" s="366"/>
      <c r="U57" s="366"/>
      <c r="V57" s="366"/>
      <c r="W57" s="366"/>
      <c r="X57" s="366"/>
      <c r="Y57" s="366"/>
      <c r="Z57" s="366"/>
      <c r="AA57" s="366"/>
      <c r="AB57" s="366"/>
    </row>
    <row r="58" spans="1:28" ht="15" x14ac:dyDescent="0.2">
      <c r="A58" s="34"/>
      <c r="B58" s="354" t="s">
        <v>191</v>
      </c>
      <c r="C58" s="355">
        <f>$M$53/$D$43</f>
        <v>6.7521112587158427E-2</v>
      </c>
      <c r="D58" s="368" t="s">
        <v>398</v>
      </c>
      <c r="E58" s="369"/>
      <c r="F58" s="366"/>
      <c r="G58" s="366"/>
      <c r="H58" s="366"/>
      <c r="I58" s="366"/>
      <c r="J58" s="366"/>
      <c r="K58" s="366"/>
      <c r="L58" s="366"/>
      <c r="M58" s="366"/>
      <c r="N58" s="366"/>
      <c r="O58" s="366"/>
      <c r="P58" s="366"/>
      <c r="Q58" s="366"/>
      <c r="R58" s="366"/>
      <c r="S58" s="366"/>
      <c r="T58" s="366"/>
      <c r="U58" s="366"/>
      <c r="V58" s="366"/>
      <c r="W58" s="366"/>
      <c r="X58" s="366"/>
      <c r="Y58" s="366"/>
      <c r="Z58" s="366"/>
      <c r="AA58" s="366"/>
      <c r="AB58" s="366"/>
    </row>
    <row r="59" spans="1:28" ht="15" x14ac:dyDescent="0.2">
      <c r="A59" s="34"/>
      <c r="B59" s="354" t="s">
        <v>174</v>
      </c>
      <c r="C59" s="355">
        <f>$R$53/$D$43</f>
        <v>8.1937329068992371E-2</v>
      </c>
      <c r="D59" s="368" t="s">
        <v>398</v>
      </c>
      <c r="E59" s="369"/>
      <c r="F59" s="366"/>
      <c r="G59" s="366"/>
      <c r="H59" s="366"/>
      <c r="I59" s="366"/>
      <c r="J59" s="366"/>
      <c r="K59" s="366"/>
      <c r="L59" s="366"/>
      <c r="M59" s="366"/>
      <c r="N59" s="366"/>
      <c r="O59" s="366"/>
      <c r="P59" s="366"/>
      <c r="Q59" s="366"/>
      <c r="R59" s="366"/>
      <c r="S59" s="366"/>
      <c r="T59" s="366"/>
      <c r="U59" s="366"/>
      <c r="V59" s="366"/>
      <c r="W59" s="366"/>
      <c r="X59" s="366"/>
      <c r="Y59" s="366"/>
      <c r="Z59" s="366"/>
      <c r="AA59" s="366"/>
      <c r="AB59" s="366"/>
    </row>
    <row r="60" spans="1:28" ht="15" x14ac:dyDescent="0.2">
      <c r="A60" s="34"/>
      <c r="B60" s="354" t="s">
        <v>91</v>
      </c>
      <c r="C60" s="355">
        <f>$W$53/$D$43</f>
        <v>9.4902503862016152E-2</v>
      </c>
      <c r="D60" s="368" t="s">
        <v>398</v>
      </c>
      <c r="E60" s="369"/>
      <c r="F60" s="366"/>
      <c r="G60" s="366"/>
      <c r="H60" s="366"/>
      <c r="I60" s="366"/>
      <c r="J60" s="366"/>
      <c r="K60" s="366"/>
      <c r="L60" s="366"/>
      <c r="M60" s="366"/>
      <c r="N60" s="366"/>
      <c r="O60" s="366"/>
      <c r="P60" s="366"/>
      <c r="Q60" s="366"/>
      <c r="R60" s="366"/>
      <c r="S60" s="366"/>
      <c r="T60" s="366"/>
      <c r="U60" s="366"/>
      <c r="V60" s="366"/>
      <c r="W60" s="366"/>
      <c r="X60" s="366"/>
      <c r="Y60" s="366"/>
      <c r="Z60" s="366"/>
      <c r="AA60" s="366"/>
      <c r="AB60" s="366"/>
    </row>
    <row r="61" spans="1:28" ht="16" thickBot="1" x14ac:dyDescent="0.25">
      <c r="A61" s="34"/>
      <c r="B61" s="370" t="s">
        <v>448</v>
      </c>
      <c r="C61" s="371">
        <f>$AB$53/$D$43</f>
        <v>0.10844660162279908</v>
      </c>
      <c r="D61" s="372" t="s">
        <v>398</v>
      </c>
      <c r="E61" s="373"/>
      <c r="F61" s="374"/>
      <c r="G61" s="374"/>
      <c r="H61" s="374"/>
      <c r="I61" s="374"/>
      <c r="J61" s="374"/>
      <c r="K61" s="374"/>
      <c r="L61" s="374"/>
      <c r="M61" s="374"/>
      <c r="N61" s="374"/>
      <c r="O61" s="374"/>
      <c r="P61" s="374"/>
      <c r="Q61" s="374"/>
      <c r="R61" s="374"/>
      <c r="S61" s="374"/>
      <c r="T61" s="374"/>
      <c r="U61" s="374"/>
      <c r="V61" s="374"/>
      <c r="W61" s="374"/>
      <c r="X61" s="374"/>
      <c r="Y61" s="374"/>
      <c r="Z61" s="374"/>
      <c r="AA61" s="374"/>
      <c r="AB61" s="374"/>
    </row>
    <row r="62" spans="1:28" ht="14" x14ac:dyDescent="0.2">
      <c r="A62" s="34"/>
      <c r="B62" s="375"/>
      <c r="C62" s="376"/>
      <c r="D62" s="364"/>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row>
    <row r="63" spans="1:28" ht="15" thickBot="1" x14ac:dyDescent="0.25">
      <c r="A63" s="34"/>
      <c r="B63" s="346"/>
      <c r="C63" s="376"/>
      <c r="D63" s="364"/>
      <c r="E63" s="364"/>
      <c r="F63" s="364"/>
      <c r="G63" s="364"/>
      <c r="H63" s="364"/>
      <c r="I63" s="364"/>
      <c r="J63" s="364"/>
      <c r="K63" s="364"/>
      <c r="L63" s="364"/>
      <c r="M63" s="364"/>
      <c r="N63" s="364"/>
      <c r="O63" s="364"/>
      <c r="P63" s="364"/>
      <c r="Q63" s="364"/>
      <c r="R63" s="364"/>
      <c r="S63" s="364"/>
      <c r="T63" s="364"/>
      <c r="U63" s="364"/>
      <c r="V63" s="364"/>
      <c r="W63" s="364"/>
      <c r="X63" s="364"/>
      <c r="Y63" s="364"/>
      <c r="Z63" s="364"/>
      <c r="AA63" s="364"/>
      <c r="AB63" s="364"/>
    </row>
    <row r="64" spans="1:28" ht="17" customHeight="1" thickBot="1" x14ac:dyDescent="0.25">
      <c r="A64" s="34"/>
      <c r="B64" s="600" t="s">
        <v>265</v>
      </c>
      <c r="C64" s="600"/>
      <c r="D64" s="600">
        <v>1</v>
      </c>
      <c r="E64" s="605" t="s">
        <v>473</v>
      </c>
      <c r="F64" s="606"/>
      <c r="G64" s="606"/>
      <c r="H64" s="606"/>
      <c r="I64" s="606"/>
      <c r="J64" s="606"/>
      <c r="K64" s="606"/>
      <c r="L64" s="606"/>
      <c r="M64" s="606"/>
      <c r="N64" s="606"/>
      <c r="O64" s="607"/>
      <c r="P64" s="345"/>
      <c r="Q64" s="345"/>
      <c r="R64" s="345"/>
      <c r="S64" s="345"/>
      <c r="T64" s="345"/>
      <c r="U64" s="345"/>
      <c r="V64" s="345"/>
      <c r="W64" s="345"/>
      <c r="X64" s="345"/>
      <c r="Y64" s="345"/>
      <c r="Z64" s="345"/>
      <c r="AA64" s="345"/>
      <c r="AB64" s="345"/>
    </row>
    <row r="65" spans="1:28" ht="14" x14ac:dyDescent="0.2">
      <c r="A65" s="34"/>
      <c r="B65" s="347" t="s">
        <v>285</v>
      </c>
      <c r="C65" s="348">
        <v>0</v>
      </c>
      <c r="D65" s="349">
        <v>1</v>
      </c>
      <c r="E65" s="349">
        <v>2</v>
      </c>
      <c r="F65" s="349">
        <v>3</v>
      </c>
      <c r="G65" s="349">
        <v>4</v>
      </c>
      <c r="H65" s="349">
        <v>5</v>
      </c>
      <c r="I65" s="349">
        <v>6</v>
      </c>
      <c r="J65" s="349">
        <v>7</v>
      </c>
      <c r="K65" s="349">
        <v>8</v>
      </c>
      <c r="L65" s="349">
        <v>9</v>
      </c>
      <c r="M65" s="349">
        <v>10</v>
      </c>
      <c r="N65" s="349">
        <v>11</v>
      </c>
      <c r="O65" s="349">
        <v>12</v>
      </c>
      <c r="P65" s="349">
        <v>13</v>
      </c>
      <c r="Q65" s="349">
        <v>14</v>
      </c>
      <c r="R65" s="349">
        <v>15</v>
      </c>
      <c r="S65" s="349">
        <v>16</v>
      </c>
      <c r="T65" s="349">
        <v>17</v>
      </c>
      <c r="U65" s="349">
        <v>18</v>
      </c>
      <c r="V65" s="349">
        <v>19</v>
      </c>
      <c r="W65" s="349">
        <v>20</v>
      </c>
      <c r="X65" s="349">
        <v>21</v>
      </c>
      <c r="Y65" s="349">
        <v>22</v>
      </c>
      <c r="Z65" s="349">
        <v>23</v>
      </c>
      <c r="AA65" s="349">
        <v>24</v>
      </c>
      <c r="AB65" s="349">
        <v>25</v>
      </c>
    </row>
    <row r="66" spans="1:28" ht="14" x14ac:dyDescent="0.2">
      <c r="A66" s="34"/>
      <c r="B66" s="350" t="s">
        <v>266</v>
      </c>
      <c r="C66" s="377"/>
      <c r="D66" s="356">
        <f t="shared" ref="D66:V66" si="22">D25</f>
        <v>281399.16522498231</v>
      </c>
      <c r="E66" s="356">
        <f t="shared" si="22"/>
        <v>286991.97363382875</v>
      </c>
      <c r="F66" s="356">
        <f t="shared" si="22"/>
        <v>292695.93910980108</v>
      </c>
      <c r="G66" s="356">
        <f t="shared" si="22"/>
        <v>298513.27089960838</v>
      </c>
      <c r="H66" s="356">
        <f t="shared" si="22"/>
        <v>304446.222158738</v>
      </c>
      <c r="I66" s="356">
        <f t="shared" si="22"/>
        <v>310497.09082414291</v>
      </c>
      <c r="J66" s="356">
        <f t="shared" si="22"/>
        <v>316668.22050427273</v>
      </c>
      <c r="K66" s="356">
        <f t="shared" si="22"/>
        <v>322962.00138679508</v>
      </c>
      <c r="L66" s="356">
        <f t="shared" si="22"/>
        <v>329380.87116435764</v>
      </c>
      <c r="M66" s="356">
        <f t="shared" si="22"/>
        <v>335927.31597874919</v>
      </c>
      <c r="N66" s="356">
        <f t="shared" si="22"/>
        <v>342603.87138382677</v>
      </c>
      <c r="O66" s="356">
        <f t="shared" si="22"/>
        <v>349413.12332758034</v>
      </c>
      <c r="P66" s="356">
        <f t="shared" si="22"/>
        <v>356357.70915371593</v>
      </c>
      <c r="Q66" s="356">
        <f t="shared" si="22"/>
        <v>363440.31862314598</v>
      </c>
      <c r="R66" s="356">
        <f t="shared" si="22"/>
        <v>370663.69495578099</v>
      </c>
      <c r="S66" s="356">
        <f t="shared" si="22"/>
        <v>378030.63589302712</v>
      </c>
      <c r="T66" s="356">
        <f t="shared" si="22"/>
        <v>385543.99478140095</v>
      </c>
      <c r="U66" s="356">
        <f t="shared" si="22"/>
        <v>393206.68167768134</v>
      </c>
      <c r="V66" s="356">
        <f t="shared" si="22"/>
        <v>401021.66447602515</v>
      </c>
      <c r="W66" s="356">
        <f t="shared" ref="W66:AB66" si="23">W25</f>
        <v>408991.97005748615</v>
      </c>
      <c r="X66" s="356">
        <f t="shared" si="23"/>
        <v>417120.68546237866</v>
      </c>
      <c r="Y66" s="356">
        <f t="shared" si="23"/>
        <v>425410.95908594335</v>
      </c>
      <c r="Z66" s="356">
        <f t="shared" si="23"/>
        <v>433866.00189777644</v>
      </c>
      <c r="AA66" s="356">
        <f t="shared" si="23"/>
        <v>442489.08868549473</v>
      </c>
      <c r="AB66" s="356">
        <f t="shared" si="23"/>
        <v>451283.55932311888</v>
      </c>
    </row>
    <row r="67" spans="1:28" ht="14" x14ac:dyDescent="0.2">
      <c r="A67" s="34"/>
      <c r="B67" s="350" t="s">
        <v>296</v>
      </c>
      <c r="C67" s="377"/>
      <c r="D67" s="356">
        <f>D66*(Taxpayer_Marginal_Rate+IF(Tax_Efficient_Status?="State &amp; Federal",State_Income_Tax_Rate,0))</f>
        <v>66128.803827870841</v>
      </c>
      <c r="E67" s="356">
        <f t="shared" ref="E67:V67" si="24">E66*(Taxpayer_Marginal_Rate+IF(Tax_Efficient_Status?="State &amp; Federal",State_Income_Tax_Rate,0))</f>
        <v>67443.113803949745</v>
      </c>
      <c r="F67" s="356">
        <f t="shared" si="24"/>
        <v>68783.54569080325</v>
      </c>
      <c r="G67" s="356">
        <f t="shared" si="24"/>
        <v>70150.618661407963</v>
      </c>
      <c r="H67" s="356">
        <f t="shared" si="24"/>
        <v>71544.86220730342</v>
      </c>
      <c r="I67" s="356">
        <f t="shared" si="24"/>
        <v>72966.816343673578</v>
      </c>
      <c r="J67" s="356">
        <f t="shared" si="24"/>
        <v>74417.031818504081</v>
      </c>
      <c r="K67" s="356">
        <f t="shared" si="24"/>
        <v>75896.070325896842</v>
      </c>
      <c r="L67" s="356">
        <f t="shared" si="24"/>
        <v>77404.504723624035</v>
      </c>
      <c r="M67" s="356">
        <f t="shared" si="24"/>
        <v>78942.919255006054</v>
      </c>
      <c r="N67" s="356">
        <f t="shared" si="24"/>
        <v>80511.909775199281</v>
      </c>
      <c r="O67" s="356">
        <f t="shared" si="24"/>
        <v>82112.08398198137</v>
      </c>
      <c r="P67" s="356">
        <f t="shared" si="24"/>
        <v>83744.061651123237</v>
      </c>
      <c r="Q67" s="356">
        <f t="shared" si="24"/>
        <v>85408.474876439301</v>
      </c>
      <c r="R67" s="356">
        <f t="shared" si="24"/>
        <v>87105.96831460853</v>
      </c>
      <c r="S67" s="356">
        <f t="shared" si="24"/>
        <v>88837.199434861366</v>
      </c>
      <c r="T67" s="356">
        <f t="shared" si="24"/>
        <v>90602.838773629221</v>
      </c>
      <c r="U67" s="356">
        <f t="shared" si="24"/>
        <v>92403.57019425511</v>
      </c>
      <c r="V67" s="356">
        <f t="shared" si="24"/>
        <v>94240.091151865912</v>
      </c>
      <c r="W67" s="356">
        <f t="shared" ref="W67:AB67" si="25">W66*(Taxpayer_Marginal_Rate+IF(Tax_Efficient_Status?="State &amp; Federal",State_Income_Tax_Rate,0))</f>
        <v>96113.112963509237</v>
      </c>
      <c r="X67" s="356">
        <f t="shared" si="25"/>
        <v>98023.36108365898</v>
      </c>
      <c r="Y67" s="356">
        <f t="shared" si="25"/>
        <v>99971.575385196687</v>
      </c>
      <c r="Z67" s="356">
        <f t="shared" si="25"/>
        <v>101958.51044597746</v>
      </c>
      <c r="AA67" s="356">
        <f t="shared" si="25"/>
        <v>103984.93584109125</v>
      </c>
      <c r="AB67" s="356">
        <f t="shared" si="25"/>
        <v>106051.63644093293</v>
      </c>
    </row>
    <row r="68" spans="1:28" ht="14" x14ac:dyDescent="0.2">
      <c r="B68" s="350" t="s">
        <v>298</v>
      </c>
      <c r="C68" s="356">
        <f>Unstructured!C87</f>
        <v>-3675120.790361709</v>
      </c>
      <c r="D68" s="356">
        <f>Unstructured!D87</f>
        <v>1312003.5292878286</v>
      </c>
      <c r="E68" s="356">
        <f>Unstructured!E87</f>
        <v>381966.82204957824</v>
      </c>
      <c r="F68" s="356">
        <f>Unstructured!F87</f>
        <v>301002.26316088956</v>
      </c>
      <c r="G68" s="356">
        <f>Unstructured!G87</f>
        <v>253849.27175222794</v>
      </c>
      <c r="H68" s="356">
        <f>Unstructured!H87</f>
        <v>257381.26459196862</v>
      </c>
      <c r="I68" s="356">
        <f>Unstructured!I87</f>
        <v>223021.19357389404</v>
      </c>
      <c r="J68" s="356">
        <f>Unstructured!J87</f>
        <v>188732.62740653023</v>
      </c>
      <c r="K68" s="356">
        <f>Unstructured!K87</f>
        <v>192479.16242613189</v>
      </c>
      <c r="L68" s="356">
        <f>Unstructured!L87</f>
        <v>196300.06931024609</v>
      </c>
      <c r="M68" s="356">
        <f>Unstructured!M87</f>
        <v>200196.8243892999</v>
      </c>
      <c r="N68" s="356">
        <f>Unstructured!N87</f>
        <v>204170.93329958024</v>
      </c>
      <c r="O68" s="356">
        <f>Unstructured!O87</f>
        <v>208223.93156496331</v>
      </c>
      <c r="P68" s="356">
        <f>Unstructured!P87</f>
        <v>212357.38519019177</v>
      </c>
      <c r="Q68" s="356">
        <f>Unstructured!Q87</f>
        <v>216572.8912659293</v>
      </c>
      <c r="R68" s="356">
        <f>Unstructured!R87</f>
        <v>220872.07858582365</v>
      </c>
      <c r="S68" s="356">
        <f>Unstructured!S87</f>
        <v>225256.60827582068</v>
      </c>
      <c r="T68" s="356">
        <f>Unstructured!T87</f>
        <v>229728.17443596837</v>
      </c>
      <c r="U68" s="356">
        <f>Unstructured!U87</f>
        <v>234288.50479496238</v>
      </c>
      <c r="V68" s="356">
        <f>Unstructured!V87</f>
        <v>238939.36137768297</v>
      </c>
      <c r="W68" s="356">
        <f>Unstructured!W87</f>
        <v>243682.54118598354</v>
      </c>
      <c r="X68" s="356">
        <f>Unstructured!X87</f>
        <v>248519.87689299247</v>
      </c>
      <c r="Y68" s="356">
        <f>Unstructured!Y87</f>
        <v>253453.23755119691</v>
      </c>
      <c r="Z68" s="356">
        <f>Unstructured!Z87</f>
        <v>258484.52931458229</v>
      </c>
      <c r="AA68" s="356">
        <f>Unstructured!AA87</f>
        <v>263615.69617510622</v>
      </c>
      <c r="AB68" s="356">
        <f>Unstructured!AB87</f>
        <v>820116.83926804713</v>
      </c>
    </row>
    <row r="69" spans="1:28" ht="14" x14ac:dyDescent="0.2">
      <c r="A69" s="34"/>
      <c r="B69" s="350" t="s">
        <v>243</v>
      </c>
      <c r="C69" s="356">
        <f t="shared" ref="C69:V69" si="26">C68+C67</f>
        <v>-3675120.790361709</v>
      </c>
      <c r="D69" s="356">
        <f t="shared" si="26"/>
        <v>1378132.3331156995</v>
      </c>
      <c r="E69" s="356">
        <f t="shared" si="26"/>
        <v>449409.93585352798</v>
      </c>
      <c r="F69" s="356">
        <f t="shared" si="26"/>
        <v>369785.80885169283</v>
      </c>
      <c r="G69" s="356">
        <f t="shared" si="26"/>
        <v>323999.89041363588</v>
      </c>
      <c r="H69" s="356">
        <f t="shared" si="26"/>
        <v>328926.12679927202</v>
      </c>
      <c r="I69" s="356">
        <f t="shared" si="26"/>
        <v>295988.0099175676</v>
      </c>
      <c r="J69" s="356">
        <f t="shared" si="26"/>
        <v>263149.65922503429</v>
      </c>
      <c r="K69" s="356">
        <f t="shared" si="26"/>
        <v>268375.23275202874</v>
      </c>
      <c r="L69" s="356">
        <f t="shared" si="26"/>
        <v>273704.57403387013</v>
      </c>
      <c r="M69" s="356">
        <f t="shared" si="26"/>
        <v>279139.74364430597</v>
      </c>
      <c r="N69" s="356">
        <f t="shared" si="26"/>
        <v>284682.84307477949</v>
      </c>
      <c r="O69" s="356">
        <f t="shared" si="26"/>
        <v>290336.01554694469</v>
      </c>
      <c r="P69" s="356">
        <f t="shared" si="26"/>
        <v>296101.44684131502</v>
      </c>
      <c r="Q69" s="356">
        <f t="shared" si="26"/>
        <v>301981.36614236858</v>
      </c>
      <c r="R69" s="356">
        <f t="shared" si="26"/>
        <v>307978.04690043221</v>
      </c>
      <c r="S69" s="356">
        <f t="shared" si="26"/>
        <v>314093.80771068204</v>
      </c>
      <c r="T69" s="356">
        <f t="shared" si="26"/>
        <v>320331.01320959756</v>
      </c>
      <c r="U69" s="356">
        <f t="shared" si="26"/>
        <v>326692.07498921751</v>
      </c>
      <c r="V69" s="356">
        <f t="shared" si="26"/>
        <v>333179.4525295489</v>
      </c>
      <c r="W69" s="356">
        <f t="shared" ref="W69:AB69" si="27">W68+W67</f>
        <v>339795.6541494928</v>
      </c>
      <c r="X69" s="356">
        <f t="shared" si="27"/>
        <v>346543.23797665146</v>
      </c>
      <c r="Y69" s="356">
        <f t="shared" si="27"/>
        <v>353424.8129363936</v>
      </c>
      <c r="Z69" s="356">
        <f t="shared" si="27"/>
        <v>360443.03976055974</v>
      </c>
      <c r="AA69" s="356">
        <f t="shared" si="27"/>
        <v>367600.63201619749</v>
      </c>
      <c r="AB69" s="356">
        <f t="shared" si="27"/>
        <v>926168.47570898011</v>
      </c>
    </row>
    <row r="70" spans="1:28" ht="14" x14ac:dyDescent="0.2">
      <c r="A70" s="34"/>
      <c r="B70" s="350" t="s">
        <v>244</v>
      </c>
      <c r="C70" s="356">
        <f>NPV(Customer_Discount_Rate,C68:AB68)</f>
        <v>525519.28963931499</v>
      </c>
      <c r="D70" s="356"/>
      <c r="E70" s="356"/>
      <c r="F70" s="356"/>
      <c r="G70" s="356"/>
      <c r="H70" s="356"/>
      <c r="I70" s="356"/>
      <c r="J70" s="356"/>
      <c r="K70" s="356"/>
      <c r="L70" s="356"/>
      <c r="M70" s="356"/>
      <c r="N70" s="356"/>
      <c r="O70" s="356"/>
      <c r="P70" s="356"/>
      <c r="Q70" s="356"/>
      <c r="R70" s="356"/>
      <c r="S70" s="356"/>
      <c r="T70" s="356"/>
      <c r="U70" s="356"/>
      <c r="V70" s="356"/>
      <c r="W70" s="356"/>
      <c r="X70" s="356"/>
      <c r="Y70" s="356"/>
      <c r="Z70" s="356"/>
      <c r="AA70" s="356"/>
      <c r="AB70" s="356"/>
    </row>
    <row r="71" spans="1:28" ht="15" thickBot="1" x14ac:dyDescent="0.25">
      <c r="A71" s="34"/>
      <c r="B71" s="378" t="s">
        <v>114</v>
      </c>
      <c r="C71" s="379">
        <f>IRR(C69:AB69)</f>
        <v>0.11276630475710259</v>
      </c>
      <c r="D71" s="380"/>
      <c r="E71" s="380"/>
      <c r="F71" s="380"/>
      <c r="G71" s="380"/>
      <c r="H71" s="380"/>
      <c r="I71" s="380"/>
      <c r="J71" s="380"/>
      <c r="K71" s="380"/>
      <c r="L71" s="380"/>
      <c r="M71" s="380"/>
      <c r="N71" s="380"/>
      <c r="O71" s="380"/>
      <c r="P71" s="380"/>
      <c r="Q71" s="380"/>
      <c r="R71" s="380"/>
      <c r="S71" s="380"/>
      <c r="T71" s="380"/>
      <c r="U71" s="380"/>
      <c r="V71" s="380"/>
      <c r="W71" s="380"/>
      <c r="X71" s="380"/>
      <c r="Y71" s="380"/>
      <c r="Z71" s="380"/>
      <c r="AA71" s="380"/>
      <c r="AB71" s="380"/>
    </row>
    <row r="72" spans="1:28" ht="14" x14ac:dyDescent="0.2">
      <c r="A72" s="34"/>
      <c r="B72" s="346"/>
      <c r="C72" s="376"/>
      <c r="D72" s="364"/>
      <c r="E72" s="364"/>
      <c r="F72" s="364"/>
      <c r="G72" s="364"/>
      <c r="H72" s="364"/>
      <c r="I72" s="364"/>
      <c r="J72" s="364"/>
      <c r="K72" s="364"/>
      <c r="L72" s="364"/>
      <c r="M72" s="364"/>
      <c r="N72" s="364"/>
      <c r="O72" s="364"/>
      <c r="P72" s="364"/>
      <c r="Q72" s="364"/>
      <c r="R72" s="364"/>
      <c r="S72" s="364"/>
      <c r="T72" s="364"/>
      <c r="U72" s="364"/>
      <c r="V72" s="364"/>
      <c r="W72" s="364"/>
      <c r="X72" s="364"/>
      <c r="Y72" s="364"/>
      <c r="Z72" s="364"/>
      <c r="AA72" s="364"/>
      <c r="AB72" s="364"/>
    </row>
    <row r="73" spans="1:28" ht="14" x14ac:dyDescent="0.2">
      <c r="A73" s="34"/>
      <c r="B73" s="346"/>
      <c r="C73" s="376"/>
      <c r="D73" s="364"/>
      <c r="E73" s="364"/>
      <c r="F73" s="364"/>
      <c r="G73" s="364"/>
      <c r="H73" s="364"/>
      <c r="I73" s="364"/>
      <c r="J73" s="364"/>
      <c r="K73" s="364"/>
      <c r="L73" s="364"/>
      <c r="M73" s="364"/>
      <c r="N73" s="364"/>
      <c r="O73" s="364"/>
      <c r="P73" s="364"/>
      <c r="Q73" s="364"/>
      <c r="R73" s="364"/>
      <c r="S73" s="364"/>
      <c r="T73" s="364"/>
      <c r="U73" s="364"/>
      <c r="V73" s="364"/>
      <c r="W73" s="364"/>
      <c r="X73" s="364"/>
      <c r="Y73" s="364"/>
      <c r="Z73" s="364"/>
      <c r="AA73" s="364"/>
      <c r="AB73" s="364"/>
    </row>
    <row r="74" spans="1:28" ht="15" thickBot="1" x14ac:dyDescent="0.25">
      <c r="A74" s="34"/>
      <c r="B74" s="381"/>
      <c r="C74" s="381"/>
      <c r="D74" s="381"/>
      <c r="E74" s="381"/>
      <c r="F74" s="381"/>
      <c r="G74" s="381"/>
      <c r="H74" s="381"/>
      <c r="I74" s="381"/>
      <c r="J74" s="381"/>
      <c r="K74" s="381"/>
      <c r="L74" s="381"/>
      <c r="M74" s="381"/>
      <c r="N74" s="381"/>
      <c r="O74" s="381"/>
      <c r="P74" s="381"/>
      <c r="Q74" s="381"/>
      <c r="R74" s="381"/>
      <c r="S74" s="381"/>
      <c r="T74" s="381"/>
      <c r="U74" s="381"/>
      <c r="V74" s="381"/>
      <c r="W74" s="381"/>
      <c r="X74" s="381"/>
      <c r="Y74" s="381"/>
      <c r="Z74" s="381"/>
      <c r="AA74" s="381"/>
      <c r="AB74" s="381"/>
    </row>
    <row r="75" spans="1:28" ht="15" thickTop="1" x14ac:dyDescent="0.2">
      <c r="A75" s="34"/>
      <c r="B75" s="345"/>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row>
    <row r="76" spans="1:28" ht="19" x14ac:dyDescent="0.25">
      <c r="A76" s="34"/>
      <c r="B76" s="344" t="s">
        <v>362</v>
      </c>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45"/>
      <c r="AA76" s="345"/>
      <c r="AB76" s="345"/>
    </row>
    <row r="77" spans="1:28" ht="19" x14ac:dyDescent="0.25">
      <c r="A77" s="34"/>
      <c r="B77" s="344"/>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row>
    <row r="78" spans="1:28" ht="16" x14ac:dyDescent="0.2">
      <c r="A78" s="34"/>
      <c r="B78" s="600" t="s">
        <v>265</v>
      </c>
      <c r="C78" s="600"/>
      <c r="D78" s="600">
        <v>1</v>
      </c>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row>
    <row r="79" spans="1:28" ht="14" x14ac:dyDescent="0.2">
      <c r="B79" s="382" t="s">
        <v>285</v>
      </c>
      <c r="C79" s="383">
        <v>0</v>
      </c>
      <c r="D79" s="384">
        <v>1</v>
      </c>
      <c r="E79" s="384">
        <v>2</v>
      </c>
      <c r="F79" s="384">
        <v>3</v>
      </c>
      <c r="G79" s="384">
        <v>4</v>
      </c>
      <c r="H79" s="384">
        <v>5</v>
      </c>
      <c r="I79" s="384">
        <v>6</v>
      </c>
      <c r="J79" s="384">
        <v>7</v>
      </c>
      <c r="K79" s="384">
        <v>8</v>
      </c>
      <c r="L79" s="384">
        <v>9</v>
      </c>
      <c r="M79" s="384">
        <v>10</v>
      </c>
      <c r="N79" s="384">
        <v>11</v>
      </c>
      <c r="O79" s="384">
        <v>12</v>
      </c>
      <c r="P79" s="384">
        <v>13</v>
      </c>
      <c r="Q79" s="384">
        <v>14</v>
      </c>
      <c r="R79" s="384">
        <v>15</v>
      </c>
      <c r="S79" s="384">
        <v>16</v>
      </c>
      <c r="T79" s="384">
        <v>17</v>
      </c>
      <c r="U79" s="384">
        <v>18</v>
      </c>
      <c r="V79" s="384">
        <v>19</v>
      </c>
      <c r="W79" s="384">
        <v>20</v>
      </c>
      <c r="X79" s="384">
        <v>21</v>
      </c>
      <c r="Y79" s="384">
        <v>22</v>
      </c>
      <c r="Z79" s="384">
        <v>23</v>
      </c>
      <c r="AA79" s="384">
        <v>24</v>
      </c>
      <c r="AB79" s="384">
        <v>25</v>
      </c>
    </row>
    <row r="80" spans="1:28" ht="14" x14ac:dyDescent="0.2">
      <c r="B80" s="385" t="s">
        <v>297</v>
      </c>
      <c r="C80" s="386"/>
      <c r="D80" s="356">
        <f t="shared" ref="D80:V80" si="28">D27</f>
        <v>2356.3793801336433</v>
      </c>
      <c r="E80" s="356">
        <f t="shared" si="28"/>
        <v>2403.2124203137355</v>
      </c>
      <c r="F80" s="356">
        <f t="shared" si="28"/>
        <v>2450.9762671674835</v>
      </c>
      <c r="G80" s="356">
        <f t="shared" si="28"/>
        <v>2499.6894204774871</v>
      </c>
      <c r="H80" s="356">
        <f t="shared" si="28"/>
        <v>2549.3707477093558</v>
      </c>
      <c r="I80" s="356">
        <f t="shared" si="28"/>
        <v>2600.0394913200871</v>
      </c>
      <c r="J80" s="356">
        <f t="shared" si="28"/>
        <v>2651.7152762101032</v>
      </c>
      <c r="K80" s="356">
        <f t="shared" si="28"/>
        <v>2704.4181173247634</v>
      </c>
      <c r="L80" s="356">
        <f t="shared" si="28"/>
        <v>2758.1684274065774</v>
      </c>
      <c r="M80" s="356">
        <f t="shared" si="28"/>
        <v>2812.9870249013184</v>
      </c>
      <c r="N80" s="356">
        <f t="shared" si="28"/>
        <v>2868.8951420211815</v>
      </c>
      <c r="O80" s="356">
        <f t="shared" si="28"/>
        <v>2925.9144329688861</v>
      </c>
      <c r="P80" s="356">
        <f t="shared" si="28"/>
        <v>2984.0669823241187</v>
      </c>
      <c r="Q80" s="356">
        <f t="shared" si="28"/>
        <v>3043.3753135977895</v>
      </c>
      <c r="R80" s="356">
        <f t="shared" si="28"/>
        <v>3103.8623979555559</v>
      </c>
      <c r="S80" s="356">
        <f t="shared" si="28"/>
        <v>3165.5516631149803</v>
      </c>
      <c r="T80" s="356">
        <f t="shared" si="28"/>
        <v>3228.4670024193474</v>
      </c>
      <c r="U80" s="356">
        <f t="shared" si="28"/>
        <v>3292.6327840925078</v>
      </c>
      <c r="V80" s="356">
        <f t="shared" si="28"/>
        <v>3358.0738606762607</v>
      </c>
      <c r="W80" s="356">
        <f t="shared" ref="W80:AB80" si="29">W27</f>
        <v>3424.8155786572606</v>
      </c>
      <c r="X80" s="356">
        <f t="shared" si="29"/>
        <v>3492.8837882830994</v>
      </c>
      <c r="Y80" s="356">
        <f t="shared" si="29"/>
        <v>3562.3048535752459</v>
      </c>
      <c r="Z80" s="356">
        <f t="shared" si="29"/>
        <v>3633.105662540067</v>
      </c>
      <c r="AA80" s="356">
        <f t="shared" si="29"/>
        <v>3705.3136375830509</v>
      </c>
      <c r="AB80" s="356">
        <f t="shared" si="29"/>
        <v>3778.9567461300176</v>
      </c>
    </row>
    <row r="81" spans="1:28" ht="14" x14ac:dyDescent="0.2">
      <c r="B81" s="385" t="s">
        <v>449</v>
      </c>
      <c r="C81" s="386"/>
      <c r="D81" s="356">
        <f>D28</f>
        <v>36346.114893171791</v>
      </c>
      <c r="E81" s="366"/>
      <c r="F81" s="366"/>
      <c r="G81" s="366"/>
      <c r="H81" s="366"/>
      <c r="I81" s="366"/>
      <c r="J81" s="366"/>
      <c r="K81" s="366"/>
      <c r="L81" s="366"/>
      <c r="M81" s="366"/>
      <c r="N81" s="366"/>
      <c r="O81" s="366"/>
      <c r="P81" s="366"/>
      <c r="Q81" s="366"/>
      <c r="R81" s="366"/>
      <c r="S81" s="366"/>
      <c r="T81" s="366"/>
      <c r="U81" s="366"/>
      <c r="V81" s="366"/>
      <c r="W81" s="366"/>
      <c r="X81" s="366"/>
      <c r="Y81" s="366"/>
      <c r="Z81" s="366"/>
      <c r="AA81" s="366"/>
      <c r="AB81" s="366"/>
    </row>
    <row r="82" spans="1:28" ht="14" x14ac:dyDescent="0.2">
      <c r="B82" s="387"/>
      <c r="C82" s="386"/>
      <c r="D82" s="366"/>
      <c r="E82" s="366"/>
      <c r="F82" s="366"/>
      <c r="G82" s="366"/>
      <c r="H82" s="366"/>
      <c r="I82" s="366"/>
      <c r="J82" s="366"/>
      <c r="K82" s="366"/>
      <c r="L82" s="366"/>
      <c r="M82" s="366"/>
      <c r="N82" s="366"/>
      <c r="O82" s="366"/>
      <c r="P82" s="366"/>
      <c r="Q82" s="366"/>
      <c r="R82" s="366"/>
      <c r="S82" s="366"/>
      <c r="T82" s="366"/>
      <c r="U82" s="366"/>
      <c r="V82" s="366"/>
      <c r="W82" s="366"/>
      <c r="X82" s="366"/>
      <c r="Y82" s="366"/>
      <c r="Z82" s="366"/>
      <c r="AA82" s="366"/>
      <c r="AB82" s="366"/>
    </row>
    <row r="83" spans="1:28" ht="14" x14ac:dyDescent="0.2">
      <c r="B83" s="601" t="s">
        <v>207</v>
      </c>
      <c r="C83" s="602"/>
      <c r="D83" s="356"/>
      <c r="E83" s="366"/>
      <c r="F83" s="366"/>
      <c r="G83" s="366"/>
      <c r="H83" s="366"/>
      <c r="I83" s="366"/>
      <c r="J83" s="366"/>
      <c r="K83" s="366"/>
      <c r="L83" s="366"/>
      <c r="M83" s="366"/>
      <c r="N83" s="366"/>
      <c r="O83" s="366"/>
      <c r="P83" s="366"/>
      <c r="Q83" s="366"/>
      <c r="R83" s="366"/>
      <c r="S83" s="366"/>
      <c r="T83" s="366"/>
      <c r="U83" s="366"/>
      <c r="V83" s="366"/>
      <c r="W83" s="366"/>
      <c r="X83" s="366"/>
      <c r="Y83" s="366"/>
      <c r="Z83" s="366"/>
      <c r="AA83" s="366"/>
      <c r="AB83" s="366"/>
    </row>
    <row r="84" spans="1:28" ht="14" x14ac:dyDescent="0.2">
      <c r="B84" s="388" t="s">
        <v>208</v>
      </c>
      <c r="C84" s="389">
        <f t="shared" ref="C84:C89" si="30">C56</f>
        <v>4.7995263945264301E-2</v>
      </c>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c r="AB84" s="366"/>
    </row>
    <row r="85" spans="1:28" ht="14" x14ac:dyDescent="0.2">
      <c r="B85" s="388" t="s">
        <v>209</v>
      </c>
      <c r="C85" s="389">
        <f t="shared" si="30"/>
        <v>5.852287986177284E-2</v>
      </c>
      <c r="D85" s="366"/>
      <c r="E85" s="366"/>
      <c r="F85" s="366"/>
      <c r="G85" s="366"/>
      <c r="H85" s="366"/>
      <c r="I85" s="366"/>
      <c r="J85" s="366"/>
      <c r="K85" s="366"/>
      <c r="L85" s="366"/>
      <c r="M85" s="366"/>
      <c r="N85" s="366"/>
      <c r="O85" s="366"/>
      <c r="P85" s="366"/>
      <c r="Q85" s="366"/>
      <c r="R85" s="366"/>
      <c r="S85" s="366"/>
      <c r="T85" s="366"/>
      <c r="U85" s="366"/>
      <c r="V85" s="366"/>
      <c r="W85" s="366"/>
      <c r="X85" s="366"/>
      <c r="Y85" s="366"/>
      <c r="Z85" s="366"/>
      <c r="AA85" s="366"/>
      <c r="AB85" s="366"/>
    </row>
    <row r="86" spans="1:28" ht="14" x14ac:dyDescent="0.2">
      <c r="B86" s="388" t="s">
        <v>89</v>
      </c>
      <c r="C86" s="389">
        <f t="shared" si="30"/>
        <v>6.7521112587158427E-2</v>
      </c>
      <c r="D86" s="366"/>
      <c r="E86" s="366"/>
      <c r="F86" s="366"/>
      <c r="G86" s="366"/>
      <c r="H86" s="366"/>
      <c r="I86" s="366"/>
      <c r="J86" s="366"/>
      <c r="K86" s="366"/>
      <c r="L86" s="366"/>
      <c r="M86" s="366"/>
      <c r="N86" s="366"/>
      <c r="O86" s="366"/>
      <c r="P86" s="366"/>
      <c r="Q86" s="366"/>
      <c r="R86" s="366"/>
      <c r="S86" s="366"/>
      <c r="T86" s="366"/>
      <c r="U86" s="366"/>
      <c r="V86" s="366"/>
      <c r="W86" s="366"/>
      <c r="X86" s="366"/>
      <c r="Y86" s="366"/>
      <c r="Z86" s="366"/>
      <c r="AA86" s="366"/>
      <c r="AB86" s="366"/>
    </row>
    <row r="87" spans="1:28" ht="14" x14ac:dyDescent="0.2">
      <c r="B87" s="388" t="s">
        <v>90</v>
      </c>
      <c r="C87" s="389">
        <f t="shared" si="30"/>
        <v>8.1937329068992371E-2</v>
      </c>
      <c r="D87" s="366"/>
      <c r="E87" s="366"/>
      <c r="F87" s="366"/>
      <c r="G87" s="366"/>
      <c r="H87" s="366"/>
      <c r="I87" s="366"/>
      <c r="J87" s="366"/>
      <c r="K87" s="366"/>
      <c r="L87" s="366"/>
      <c r="M87" s="366"/>
      <c r="N87" s="366"/>
      <c r="O87" s="366"/>
      <c r="P87" s="366"/>
      <c r="Q87" s="366"/>
      <c r="R87" s="366"/>
      <c r="S87" s="366"/>
      <c r="T87" s="366"/>
      <c r="U87" s="366"/>
      <c r="V87" s="366"/>
      <c r="W87" s="366"/>
      <c r="X87" s="366"/>
      <c r="Y87" s="366"/>
      <c r="Z87" s="366"/>
      <c r="AA87" s="366"/>
      <c r="AB87" s="366"/>
    </row>
    <row r="88" spans="1:28" ht="14" x14ac:dyDescent="0.2">
      <c r="B88" s="388" t="s">
        <v>91</v>
      </c>
      <c r="C88" s="389">
        <f t="shared" si="30"/>
        <v>9.4902503862016152E-2</v>
      </c>
      <c r="D88" s="366"/>
      <c r="E88" s="366"/>
      <c r="F88" s="366"/>
      <c r="G88" s="366"/>
      <c r="H88" s="366"/>
      <c r="I88" s="366"/>
      <c r="J88" s="366"/>
      <c r="K88" s="366"/>
      <c r="L88" s="366"/>
      <c r="M88" s="366"/>
      <c r="N88" s="366"/>
      <c r="O88" s="366"/>
      <c r="P88" s="366"/>
      <c r="Q88" s="366"/>
      <c r="R88" s="366"/>
      <c r="S88" s="366"/>
      <c r="T88" s="366"/>
      <c r="U88" s="366"/>
      <c r="V88" s="366"/>
      <c r="W88" s="366"/>
      <c r="X88" s="366"/>
      <c r="Y88" s="366"/>
      <c r="Z88" s="366"/>
      <c r="AA88" s="366"/>
      <c r="AB88" s="366"/>
    </row>
    <row r="89" spans="1:28" ht="14" x14ac:dyDescent="0.2">
      <c r="B89" s="390" t="s">
        <v>448</v>
      </c>
      <c r="C89" s="391">
        <f t="shared" si="30"/>
        <v>0.10844660162279908</v>
      </c>
      <c r="D89" s="366"/>
      <c r="E89" s="366"/>
      <c r="F89" s="366"/>
      <c r="G89" s="366"/>
      <c r="H89" s="366"/>
      <c r="I89" s="366"/>
      <c r="J89" s="366"/>
      <c r="K89" s="366"/>
      <c r="L89" s="366"/>
      <c r="M89" s="366"/>
      <c r="N89" s="366"/>
      <c r="O89" s="366"/>
      <c r="P89" s="366"/>
      <c r="Q89" s="366"/>
      <c r="R89" s="366"/>
      <c r="S89" s="366"/>
      <c r="T89" s="366"/>
      <c r="U89" s="366"/>
      <c r="V89" s="366"/>
      <c r="W89" s="366"/>
      <c r="X89" s="366"/>
      <c r="Y89" s="366"/>
      <c r="Z89" s="366"/>
      <c r="AA89" s="366"/>
      <c r="AB89" s="366"/>
    </row>
    <row r="90" spans="1:28" ht="14" x14ac:dyDescent="0.2">
      <c r="B90" s="387"/>
      <c r="C90" s="386"/>
      <c r="D90" s="366"/>
      <c r="E90" s="366"/>
      <c r="F90" s="366"/>
      <c r="G90" s="366"/>
      <c r="H90" s="366"/>
      <c r="I90" s="366"/>
      <c r="J90" s="366"/>
      <c r="K90" s="366"/>
      <c r="L90" s="366"/>
      <c r="M90" s="366"/>
      <c r="N90" s="366"/>
      <c r="O90" s="366"/>
      <c r="P90" s="366"/>
      <c r="Q90" s="366"/>
      <c r="R90" s="366"/>
      <c r="S90" s="366"/>
      <c r="T90" s="366"/>
      <c r="U90" s="366"/>
      <c r="V90" s="366"/>
      <c r="W90" s="366"/>
      <c r="X90" s="366"/>
      <c r="Y90" s="366"/>
      <c r="Z90" s="366"/>
      <c r="AA90" s="366"/>
      <c r="AB90" s="366"/>
    </row>
    <row r="91" spans="1:28" ht="14" x14ac:dyDescent="0.2">
      <c r="B91" s="388" t="s">
        <v>139</v>
      </c>
      <c r="C91" s="386"/>
      <c r="D91" s="392">
        <f t="shared" ref="D91:V91" si="31">D22+D23</f>
        <v>7.3648296020305801E-2</v>
      </c>
      <c r="E91" s="392">
        <f t="shared" si="31"/>
        <v>7.5489503420813439E-2</v>
      </c>
      <c r="F91" s="392">
        <f t="shared" si="31"/>
        <v>7.7376741006333766E-2</v>
      </c>
      <c r="G91" s="392">
        <f t="shared" si="31"/>
        <v>7.9311159531492106E-2</v>
      </c>
      <c r="H91" s="392">
        <f t="shared" si="31"/>
        <v>8.1293938519779396E-2</v>
      </c>
      <c r="I91" s="392">
        <f t="shared" si="31"/>
        <v>8.3326286982773876E-2</v>
      </c>
      <c r="J91" s="392">
        <f t="shared" si="31"/>
        <v>8.5409444157343209E-2</v>
      </c>
      <c r="K91" s="392">
        <f t="shared" si="31"/>
        <v>8.7544680261276778E-2</v>
      </c>
      <c r="L91" s="392">
        <f t="shared" si="31"/>
        <v>8.9733297267808695E-2</v>
      </c>
      <c r="M91" s="392">
        <f t="shared" si="31"/>
        <v>9.1976629699503903E-2</v>
      </c>
      <c r="N91" s="392">
        <f t="shared" si="31"/>
        <v>9.4276045441991488E-2</v>
      </c>
      <c r="O91" s="392">
        <f t="shared" si="31"/>
        <v>9.6632946578041265E-2</v>
      </c>
      <c r="P91" s="392">
        <f t="shared" si="31"/>
        <v>9.9048770242492284E-2</v>
      </c>
      <c r="Q91" s="392">
        <f t="shared" si="31"/>
        <v>0.10152498949855458</v>
      </c>
      <c r="R91" s="392">
        <f t="shared" si="31"/>
        <v>0.10406311423601844</v>
      </c>
      <c r="S91" s="392">
        <f t="shared" si="31"/>
        <v>0.10666469209191889</v>
      </c>
      <c r="T91" s="392">
        <f t="shared" si="31"/>
        <v>0.10933130939421686</v>
      </c>
      <c r="U91" s="392">
        <f t="shared" si="31"/>
        <v>0.11206459212907227</v>
      </c>
      <c r="V91" s="392">
        <f t="shared" si="31"/>
        <v>0.11486620693229907</v>
      </c>
      <c r="W91" s="392">
        <f t="shared" ref="W91:AB91" si="32">W22+W23</f>
        <v>0.11773786210560654</v>
      </c>
      <c r="X91" s="392">
        <f t="shared" si="32"/>
        <v>0.12068130865824669</v>
      </c>
      <c r="Y91" s="392">
        <f t="shared" si="32"/>
        <v>0.12369834137470286</v>
      </c>
      <c r="Z91" s="392">
        <f t="shared" si="32"/>
        <v>0.12679079990907041</v>
      </c>
      <c r="AA91" s="392">
        <f t="shared" si="32"/>
        <v>0.12996056990679716</v>
      </c>
      <c r="AB91" s="392">
        <f t="shared" si="32"/>
        <v>0.13320958415446707</v>
      </c>
    </row>
    <row r="92" spans="1:28" ht="14" x14ac:dyDescent="0.2">
      <c r="B92" s="388" t="s">
        <v>115</v>
      </c>
      <c r="C92" s="386"/>
      <c r="D92" s="392">
        <f t="shared" ref="D92:V92" si="33">D24</f>
        <v>7.3031580167629145E-2</v>
      </c>
      <c r="E92" s="392">
        <f t="shared" si="33"/>
        <v>7.4857369671819871E-2</v>
      </c>
      <c r="F92" s="392">
        <f t="shared" si="33"/>
        <v>7.6728803913615362E-2</v>
      </c>
      <c r="G92" s="392">
        <f t="shared" si="33"/>
        <v>7.8647024011455735E-2</v>
      </c>
      <c r="H92" s="392">
        <f t="shared" si="33"/>
        <v>8.0613199611742126E-2</v>
      </c>
      <c r="I92" s="392">
        <f t="shared" si="33"/>
        <v>8.2628529602035677E-2</v>
      </c>
      <c r="J92" s="392">
        <f t="shared" si="33"/>
        <v>8.4694242842086556E-2</v>
      </c>
      <c r="K92" s="392">
        <f t="shared" si="33"/>
        <v>8.6811598913138707E-2</v>
      </c>
      <c r="L92" s="392">
        <f t="shared" si="33"/>
        <v>8.898188888596717E-2</v>
      </c>
      <c r="M92" s="392">
        <f t="shared" si="33"/>
        <v>9.1206436108116337E-2</v>
      </c>
      <c r="N92" s="392">
        <f t="shared" si="33"/>
        <v>9.3486597010819239E-2</v>
      </c>
      <c r="O92" s="392">
        <f t="shared" si="33"/>
        <v>9.5823761936089713E-2</v>
      </c>
      <c r="P92" s="392">
        <f t="shared" si="33"/>
        <v>9.8219355984491941E-2</v>
      </c>
      <c r="Q92" s="392">
        <f t="shared" si="33"/>
        <v>0.10067483988410424</v>
      </c>
      <c r="R92" s="392">
        <f t="shared" si="33"/>
        <v>0.10319171088120684</v>
      </c>
      <c r="S92" s="392">
        <f t="shared" si="33"/>
        <v>0.105771503653237</v>
      </c>
      <c r="T92" s="392">
        <f t="shared" si="33"/>
        <v>0.10841579124456791</v>
      </c>
      <c r="U92" s="392">
        <f t="shared" si="33"/>
        <v>0.1111261860256821</v>
      </c>
      <c r="V92" s="392">
        <f t="shared" si="33"/>
        <v>0.11390434067632414</v>
      </c>
      <c r="W92" s="392">
        <f t="shared" ref="W92:AB92" si="34">W24</f>
        <v>0.11675194919323223</v>
      </c>
      <c r="X92" s="392">
        <f t="shared" si="34"/>
        <v>0.11967074792306302</v>
      </c>
      <c r="Y92" s="392">
        <f t="shared" si="34"/>
        <v>0.12266251662113958</v>
      </c>
      <c r="Z92" s="392">
        <f t="shared" si="34"/>
        <v>0.12572907953666806</v>
      </c>
      <c r="AA92" s="392">
        <f t="shared" si="34"/>
        <v>0.12887230652508475</v>
      </c>
      <c r="AB92" s="392">
        <f t="shared" si="34"/>
        <v>0.13209411418821185</v>
      </c>
    </row>
    <row r="93" spans="1:28" ht="14" x14ac:dyDescent="0.2">
      <c r="B93" s="387"/>
      <c r="C93" s="386"/>
      <c r="D93" s="366"/>
      <c r="E93" s="366"/>
      <c r="F93" s="366"/>
      <c r="G93" s="366"/>
      <c r="H93" s="366"/>
      <c r="I93" s="366"/>
      <c r="J93" s="366"/>
      <c r="K93" s="366"/>
      <c r="L93" s="366"/>
      <c r="M93" s="366"/>
      <c r="N93" s="366"/>
      <c r="O93" s="366"/>
      <c r="P93" s="366"/>
      <c r="Q93" s="366"/>
      <c r="R93" s="366"/>
      <c r="S93" s="366"/>
      <c r="T93" s="366"/>
      <c r="U93" s="366"/>
      <c r="V93" s="366"/>
      <c r="W93" s="366"/>
      <c r="X93" s="366"/>
      <c r="Y93" s="366"/>
      <c r="Z93" s="366"/>
      <c r="AA93" s="366"/>
      <c r="AB93" s="366"/>
    </row>
    <row r="94" spans="1:28" ht="14" x14ac:dyDescent="0.2">
      <c r="B94" s="388" t="s">
        <v>120</v>
      </c>
      <c r="C94" s="386"/>
      <c r="D94" s="393">
        <f t="shared" ref="D94:V94" si="35">D19</f>
        <v>92451399.003700003</v>
      </c>
      <c r="E94" s="393">
        <f t="shared" si="35"/>
        <v>92470503.258681506</v>
      </c>
      <c r="F94" s="393">
        <f t="shared" si="35"/>
        <v>92489511.992388099</v>
      </c>
      <c r="G94" s="393">
        <f t="shared" si="35"/>
        <v>92508425.682426155</v>
      </c>
      <c r="H94" s="393">
        <f t="shared" si="35"/>
        <v>92527244.804014027</v>
      </c>
      <c r="I94" s="393">
        <f t="shared" si="35"/>
        <v>92545969.829993963</v>
      </c>
      <c r="J94" s="393">
        <f t="shared" si="35"/>
        <v>92564601.230843991</v>
      </c>
      <c r="K94" s="393">
        <f t="shared" si="35"/>
        <v>92583139.474689767</v>
      </c>
      <c r="L94" s="393">
        <f t="shared" si="35"/>
        <v>92601585.027316317</v>
      </c>
      <c r="M94" s="393">
        <f t="shared" si="35"/>
        <v>92619938.352179736</v>
      </c>
      <c r="N94" s="393">
        <f t="shared" si="35"/>
        <v>92638199.910418838</v>
      </c>
      <c r="O94" s="393">
        <f t="shared" si="35"/>
        <v>92656370.160866737</v>
      </c>
      <c r="P94" s="393">
        <f t="shared" si="35"/>
        <v>92674449.560062408</v>
      </c>
      <c r="Q94" s="393">
        <f t="shared" si="35"/>
        <v>92692438.562262103</v>
      </c>
      <c r="R94" s="393">
        <f t="shared" si="35"/>
        <v>92710337.619450793</v>
      </c>
      <c r="S94" s="393">
        <f t="shared" si="35"/>
        <v>92728147.181353539</v>
      </c>
      <c r="T94" s="393">
        <f t="shared" si="35"/>
        <v>92745867.695446759</v>
      </c>
      <c r="U94" s="393">
        <f t="shared" si="35"/>
        <v>92763499.606969535</v>
      </c>
      <c r="V94" s="393">
        <f t="shared" si="35"/>
        <v>92781043.358934686</v>
      </c>
      <c r="W94" s="393">
        <f t="shared" ref="W94:AB94" si="36">W19</f>
        <v>92798499.392140016</v>
      </c>
      <c r="X94" s="393">
        <f t="shared" si="36"/>
        <v>92815868.145179316</v>
      </c>
      <c r="Y94" s="393">
        <f t="shared" si="36"/>
        <v>92833150.054453418</v>
      </c>
      <c r="Z94" s="393">
        <f t="shared" si="36"/>
        <v>92850345.554181144</v>
      </c>
      <c r="AA94" s="393">
        <f t="shared" si="36"/>
        <v>92867455.076410249</v>
      </c>
      <c r="AB94" s="393">
        <f t="shared" si="36"/>
        <v>92884479.051028192</v>
      </c>
    </row>
    <row r="95" spans="1:28" ht="14" x14ac:dyDescent="0.2">
      <c r="A95" t="s">
        <v>246</v>
      </c>
      <c r="B95" s="390" t="s">
        <v>121</v>
      </c>
      <c r="C95" s="394"/>
      <c r="D95" s="395">
        <f t="shared" ref="D95:V95" si="37">D21</f>
        <v>3820850.9962999937</v>
      </c>
      <c r="E95" s="395">
        <f t="shared" si="37"/>
        <v>3801746.7413184936</v>
      </c>
      <c r="F95" s="395">
        <f t="shared" si="37"/>
        <v>3782738.007611901</v>
      </c>
      <c r="G95" s="395">
        <f t="shared" si="37"/>
        <v>3763824.3175738417</v>
      </c>
      <c r="H95" s="395">
        <f t="shared" si="37"/>
        <v>3745005.1959859724</v>
      </c>
      <c r="I95" s="395">
        <f t="shared" si="37"/>
        <v>3726280.1700060423</v>
      </c>
      <c r="J95" s="395">
        <f t="shared" si="37"/>
        <v>3707648.7691560122</v>
      </c>
      <c r="K95" s="395">
        <f t="shared" si="37"/>
        <v>3689110.5253102323</v>
      </c>
      <c r="L95" s="395">
        <f t="shared" si="37"/>
        <v>3670664.9726836812</v>
      </c>
      <c r="M95" s="395">
        <f t="shared" si="37"/>
        <v>3652311.6478202627</v>
      </c>
      <c r="N95" s="395">
        <f t="shared" si="37"/>
        <v>3634050.0895811613</v>
      </c>
      <c r="O95" s="395">
        <f t="shared" si="37"/>
        <v>3615879.8391332556</v>
      </c>
      <c r="P95" s="395">
        <f t="shared" si="37"/>
        <v>3597800.4399375892</v>
      </c>
      <c r="Q95" s="395">
        <f t="shared" si="37"/>
        <v>3579811.4377379012</v>
      </c>
      <c r="R95" s="395">
        <f t="shared" si="37"/>
        <v>3561912.3805492115</v>
      </c>
      <c r="S95" s="395">
        <f t="shared" si="37"/>
        <v>3544102.8186464654</v>
      </c>
      <c r="T95" s="395">
        <f t="shared" si="37"/>
        <v>3526382.3045532331</v>
      </c>
      <c r="U95" s="395">
        <f t="shared" si="37"/>
        <v>3508750.393030467</v>
      </c>
      <c r="V95" s="395">
        <f t="shared" si="37"/>
        <v>3491206.6410653144</v>
      </c>
      <c r="W95" s="395">
        <f t="shared" ref="W95:AB95" si="38">W21</f>
        <v>3473750.6078599878</v>
      </c>
      <c r="X95" s="395">
        <f t="shared" si="38"/>
        <v>3456381.8548206878</v>
      </c>
      <c r="Y95" s="395">
        <f t="shared" si="38"/>
        <v>3439099.9455465842</v>
      </c>
      <c r="Z95" s="395">
        <f t="shared" si="38"/>
        <v>3421904.4458188512</v>
      </c>
      <c r="AA95" s="395">
        <f t="shared" si="38"/>
        <v>3404794.9235897572</v>
      </c>
      <c r="AB95" s="395">
        <f t="shared" si="38"/>
        <v>3387770.9489718084</v>
      </c>
    </row>
    <row r="96" spans="1:28" ht="14" x14ac:dyDescent="0.2">
      <c r="B96" s="345"/>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row>
    <row r="97" spans="2:28" ht="14" x14ac:dyDescent="0.2">
      <c r="B97" s="345"/>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7AE1E303-D5E5-4FD3-86CD-D18C93F7F07A}"/>
</file>

<file path=customXml/itemProps2.xml><?xml version="1.0" encoding="utf-8"?>
<ds:datastoreItem xmlns:ds="http://schemas.openxmlformats.org/officeDocument/2006/customXml" ds:itemID="{51DE0567-A6E6-4209-AE90-E6A043A8E2F3}"/>
</file>

<file path=customXml/itemProps3.xml><?xml version="1.0" encoding="utf-8"?>
<ds:datastoreItem xmlns:ds="http://schemas.openxmlformats.org/officeDocument/2006/customXml" ds:itemID="{8F2126F5-63F6-4DE2-9C14-C998C68D4CD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2023-04-20T03:30:42Z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