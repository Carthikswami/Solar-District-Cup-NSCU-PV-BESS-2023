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9389BB94-59BC-564F-B6BB-6D8DD1791478}" xr6:coauthVersionLast="47" xr6:coauthVersionMax="47" xr10:uidLastSave="{00000000-0000-0000-0000-000000000000}"/>
  <bookViews>
    <workbookView xWindow="2380" yWindow="3680" windowWidth="20840" windowHeight="966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olver_adj" localSheetId="1" hidden="1">Dashboard!$K$17</definedName>
    <definedName name="solver_cvg" localSheetId="1" hidden="1">0.0001</definedName>
    <definedName name="solver_drv" localSheetId="1" hidden="1">1</definedName>
    <definedName name="solver_eng" localSheetId="1" hidden="1">1</definedName>
    <definedName name="solver_itr" localSheetId="1" hidden="1">2147483647</definedName>
    <definedName name="solver_lhs1" localSheetId="1" hidden="1">Dashboard!$O$52</definedName>
    <definedName name="solver_lhs2" localSheetId="1" hidden="1">Dashboard!$P$52</definedName>
    <definedName name="solver_lin" localSheetId="1" hidden="1">2</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opt" localSheetId="1" hidden="1">Dashboard!$P$25</definedName>
    <definedName name="solver_pre" localSheetId="1" hidden="1">0.000001</definedName>
    <definedName name="solver_rbv" localSheetId="1" hidden="1">1</definedName>
    <definedName name="solver_rel1" localSheetId="1" hidden="1">3</definedName>
    <definedName name="solver_rel2" localSheetId="1" hidden="1">3</definedName>
    <definedName name="solver_rhs1" localSheetId="1" hidden="1">0</definedName>
    <definedName name="solver_rhs2" localSheetId="1" hidden="1">0</definedName>
    <definedName name="solver_rlx" localSheetId="1" hidden="1">2</definedName>
    <definedName name="solver_rsd" localSheetId="1" hidden="1">0</definedName>
    <definedName name="solver_scl" localSheetId="1" hidden="1">1</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3</definedName>
    <definedName name="solver_val" localSheetId="1" hidden="1">0</definedName>
    <definedName name="solver_ver" localSheetId="1" hidden="1">2</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c r="H65" i="1" l="1"/>
  <c r="H63" i="1"/>
  <c r="K41" i="1" l="1"/>
  <c r="K43" i="1"/>
  <c r="E23" i="1"/>
  <c r="C94" i="1" l="1"/>
  <c r="C95" i="1"/>
  <c r="C89" i="1"/>
  <c r="C91" i="1" l="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D22" i="15"/>
  <c r="D17" i="4"/>
  <c r="K30" i="1"/>
  <c r="D33" i="4"/>
  <c r="D34" i="4"/>
  <c r="D37" i="4"/>
  <c r="D122" i="4"/>
  <c r="D115" i="4"/>
  <c r="E32" i="1"/>
  <c r="P65" i="1"/>
  <c r="E21" i="1"/>
  <c r="AA55" i="1"/>
  <c r="AA56" i="1" s="1"/>
  <c r="AA52" i="1"/>
  <c r="AA51" i="1"/>
  <c r="D22" i="1"/>
  <c r="D23" i="15" l="1"/>
  <c r="Y51" i="1" s="1"/>
  <c r="D144" i="4"/>
  <c r="C88" i="1"/>
  <c r="P34" i="1"/>
  <c r="C86" i="1"/>
  <c r="D20" i="4"/>
  <c r="P35" i="1"/>
  <c r="P56" i="1"/>
  <c r="P64" i="1"/>
  <c r="E17" i="4"/>
  <c r="E34" i="4"/>
  <c r="P18" i="1"/>
  <c r="D36" i="4"/>
  <c r="D38" i="4" s="1"/>
  <c r="E36" i="4"/>
  <c r="P36" i="1"/>
  <c r="E22" i="15"/>
  <c r="F22" i="15" s="1"/>
  <c r="F23" i="15" s="1"/>
  <c r="F91" i="15" s="1"/>
  <c r="P63" i="1"/>
  <c r="E22" i="1"/>
  <c r="D91" i="15" l="1"/>
  <c r="E20" i="4"/>
  <c r="E22" i="4"/>
  <c r="E33" i="4"/>
  <c r="E37" i="4"/>
  <c r="F17" i="4"/>
  <c r="F33" i="4"/>
  <c r="E23" i="15"/>
  <c r="E91" i="15" s="1"/>
  <c r="G22" i="15"/>
  <c r="G23" i="15" s="1"/>
  <c r="G91" i="15" s="1"/>
  <c r="F37" i="4" l="1"/>
  <c r="F34" i="4"/>
  <c r="E38" i="4"/>
  <c r="F20" i="4"/>
  <c r="F22" i="4"/>
  <c r="G17" i="4"/>
  <c r="F36" i="4"/>
  <c r="G37" i="4"/>
  <c r="H17" i="4"/>
  <c r="G33" i="4"/>
  <c r="H22" i="15"/>
  <c r="I22" i="15" s="1"/>
  <c r="F38" i="4" l="1"/>
  <c r="G36" i="4"/>
  <c r="G34" i="4"/>
  <c r="G22" i="4"/>
  <c r="H22" i="4" s="1"/>
  <c r="G20" i="4"/>
  <c r="H20" i="4" s="1"/>
  <c r="H33" i="4"/>
  <c r="H37" i="4"/>
  <c r="H36" i="4"/>
  <c r="H34" i="4"/>
  <c r="I17" i="4"/>
  <c r="H23" i="15"/>
  <c r="H91" i="15" s="1"/>
  <c r="I23" i="15"/>
  <c r="I91" i="15" s="1"/>
  <c r="J22" i="15"/>
  <c r="G38" i="4" l="1"/>
  <c r="I20" i="4"/>
  <c r="I22" i="4"/>
  <c r="E115" i="4"/>
  <c r="E51" i="4"/>
  <c r="H38" i="4"/>
  <c r="I34" i="4"/>
  <c r="I37" i="4"/>
  <c r="I36" i="4"/>
  <c r="J17" i="4"/>
  <c r="I33" i="4"/>
  <c r="E58" i="4"/>
  <c r="J23" i="15"/>
  <c r="J91" i="15" s="1"/>
  <c r="K22" i="15"/>
  <c r="J20" i="4" l="1"/>
  <c r="J121" i="4"/>
  <c r="J166" i="4" s="1"/>
  <c r="J114" i="4"/>
  <c r="J22" i="4"/>
  <c r="E52" i="4"/>
  <c r="F51" i="4" s="1"/>
  <c r="J33" i="4"/>
  <c r="J34" i="4"/>
  <c r="J37" i="4"/>
  <c r="K17" i="4"/>
  <c r="J36" i="4"/>
  <c r="I38" i="4"/>
  <c r="K23" i="15"/>
  <c r="K91" i="15" s="1"/>
  <c r="L22" i="15"/>
  <c r="K20" i="4" l="1"/>
  <c r="K114" i="4"/>
  <c r="K121" i="4"/>
  <c r="K166" i="4" s="1"/>
  <c r="K22" i="4"/>
  <c r="J171" i="4"/>
  <c r="E122" i="4"/>
  <c r="K34" i="4"/>
  <c r="K36" i="4"/>
  <c r="K33" i="4"/>
  <c r="L17" i="4"/>
  <c r="K37" i="4"/>
  <c r="J38" i="4"/>
  <c r="F115" i="4"/>
  <c r="L23" i="15"/>
  <c r="L91" i="15" s="1"/>
  <c r="M22" i="15"/>
  <c r="L20" i="4" l="1"/>
  <c r="L114" i="4"/>
  <c r="L121" i="4"/>
  <c r="L166" i="4" s="1"/>
  <c r="L22" i="4"/>
  <c r="K171" i="4"/>
  <c r="F52" i="4"/>
  <c r="G51" i="4" s="1"/>
  <c r="L36" i="4"/>
  <c r="M17" i="4"/>
  <c r="L37" i="4"/>
  <c r="L33" i="4"/>
  <c r="L34" i="4"/>
  <c r="K38" i="4"/>
  <c r="M23" i="15"/>
  <c r="M91" i="15" s="1"/>
  <c r="N22" i="15"/>
  <c r="M20" i="4" l="1"/>
  <c r="M114" i="4"/>
  <c r="M121" i="4"/>
  <c r="M166" i="4" s="1"/>
  <c r="M22" i="4"/>
  <c r="L171" i="4"/>
  <c r="F122" i="4"/>
  <c r="L38" i="4"/>
  <c r="M36" i="4"/>
  <c r="M33" i="4"/>
  <c r="M37" i="4"/>
  <c r="N17" i="4"/>
  <c r="M34" i="4"/>
  <c r="G115" i="4"/>
  <c r="O22" i="15"/>
  <c r="N23" i="15"/>
  <c r="N91" i="15" s="1"/>
  <c r="N121" i="4" l="1"/>
  <c r="N114" i="4"/>
  <c r="N20" i="4"/>
  <c r="N22" i="4"/>
  <c r="G122" i="4"/>
  <c r="M171" i="4"/>
  <c r="E59" i="4"/>
  <c r="F58" i="4" s="1"/>
  <c r="N23" i="4"/>
  <c r="N33" i="4"/>
  <c r="N36" i="4"/>
  <c r="N37" i="4"/>
  <c r="N34" i="4"/>
  <c r="O17" i="4"/>
  <c r="M38" i="4"/>
  <c r="O23" i="15"/>
  <c r="O91" i="15" s="1"/>
  <c r="P22" i="15"/>
  <c r="O114" i="4" l="1"/>
  <c r="O121" i="4"/>
  <c r="O20" i="4"/>
  <c r="O22" i="4"/>
  <c r="G52" i="4"/>
  <c r="H51" i="4" s="1"/>
  <c r="N27" i="4"/>
  <c r="O23" i="4"/>
  <c r="O33" i="4"/>
  <c r="O37" i="4"/>
  <c r="O36" i="4"/>
  <c r="O34" i="4"/>
  <c r="P17" i="4"/>
  <c r="N38" i="4"/>
  <c r="P23" i="15"/>
  <c r="P91" i="15" s="1"/>
  <c r="Q22" i="15"/>
  <c r="P114" i="4" l="1"/>
  <c r="P121" i="4"/>
  <c r="F59" i="4"/>
  <c r="G58" i="4" s="1"/>
  <c r="P20" i="4"/>
  <c r="P22" i="4"/>
  <c r="O27" i="4"/>
  <c r="P23" i="4"/>
  <c r="P37" i="4"/>
  <c r="Q17" i="4"/>
  <c r="P34" i="4"/>
  <c r="P33" i="4"/>
  <c r="P36" i="4"/>
  <c r="O38" i="4"/>
  <c r="G59" i="4"/>
  <c r="H58" i="4" s="1"/>
  <c r="H115" i="4"/>
  <c r="R22" i="15"/>
  <c r="Q23" i="15"/>
  <c r="Q91" i="15" s="1"/>
  <c r="Q114" i="4" l="1"/>
  <c r="Q121" i="4"/>
  <c r="P27" i="4"/>
  <c r="H122" i="4"/>
  <c r="Q20" i="4"/>
  <c r="Q22" i="4"/>
  <c r="Q23" i="4"/>
  <c r="P38" i="4"/>
  <c r="Q37" i="4"/>
  <c r="R17" i="4"/>
  <c r="Q33" i="4"/>
  <c r="Q34" i="4"/>
  <c r="Q36" i="4"/>
  <c r="S22" i="15"/>
  <c r="R23" i="15"/>
  <c r="R91" i="15" s="1"/>
  <c r="R121" i="4" l="1"/>
  <c r="R114" i="4"/>
  <c r="Q27" i="4"/>
  <c r="R20" i="4"/>
  <c r="R22" i="4"/>
  <c r="H52" i="4"/>
  <c r="I51" i="4" s="1"/>
  <c r="R23" i="4"/>
  <c r="S17" i="4"/>
  <c r="R36" i="4"/>
  <c r="R34" i="4"/>
  <c r="R33" i="4"/>
  <c r="R37" i="4"/>
  <c r="Q38" i="4"/>
  <c r="S23" i="15"/>
  <c r="S91" i="15" s="1"/>
  <c r="T22" i="15"/>
  <c r="R27" i="4" l="1"/>
  <c r="S114" i="4"/>
  <c r="S121" i="4"/>
  <c r="S20" i="4"/>
  <c r="S22" i="4"/>
  <c r="S23" i="4"/>
  <c r="R38" i="4"/>
  <c r="S34" i="4"/>
  <c r="S33" i="4"/>
  <c r="S37" i="4"/>
  <c r="S36" i="4"/>
  <c r="T17" i="4"/>
  <c r="I122" i="4"/>
  <c r="I115" i="4"/>
  <c r="U22" i="15"/>
  <c r="T23" i="15"/>
  <c r="T91" i="15" s="1"/>
  <c r="T114" i="4" l="1"/>
  <c r="T121" i="4"/>
  <c r="T20" i="4"/>
  <c r="T22" i="4"/>
  <c r="S27" i="4"/>
  <c r="T23" i="4"/>
  <c r="S38" i="4"/>
  <c r="T37" i="4"/>
  <c r="T36" i="4"/>
  <c r="U17" i="4"/>
  <c r="T33" i="4"/>
  <c r="T34" i="4"/>
  <c r="H59" i="4"/>
  <c r="I58" i="4" s="1"/>
  <c r="V22" i="15"/>
  <c r="W22" i="15" s="1"/>
  <c r="U23" i="15"/>
  <c r="U91" i="15" s="1"/>
  <c r="U114" i="4" l="1"/>
  <c r="U121" i="4"/>
  <c r="U20" i="4"/>
  <c r="U22" i="4"/>
  <c r="W23" i="15"/>
  <c r="W91" i="15" s="1"/>
  <c r="X22" i="15"/>
  <c r="I52" i="4"/>
  <c r="J51" i="4" s="1"/>
  <c r="T27" i="4"/>
  <c r="U23" i="4"/>
  <c r="U33" i="4"/>
  <c r="U34" i="4"/>
  <c r="U37" i="4"/>
  <c r="V17" i="4"/>
  <c r="U36" i="4"/>
  <c r="T38" i="4"/>
  <c r="V23" i="15"/>
  <c r="V91" i="15" s="1"/>
  <c r="V22" i="4" l="1"/>
  <c r="V121" i="4"/>
  <c r="V114" i="4"/>
  <c r="U27" i="4"/>
  <c r="V20" i="4"/>
  <c r="W17" i="4"/>
  <c r="X23" i="15"/>
  <c r="X91" i="15" s="1"/>
  <c r="Y22" i="15"/>
  <c r="V23" i="4"/>
  <c r="V33" i="4"/>
  <c r="V34" i="4"/>
  <c r="V36" i="4"/>
  <c r="V37" i="4"/>
  <c r="U38" i="4"/>
  <c r="J122" i="4"/>
  <c r="J46" i="4" s="1"/>
  <c r="J22" i="16" s="1"/>
  <c r="J115" i="4"/>
  <c r="J45" i="4" s="1"/>
  <c r="W22" i="4" l="1"/>
  <c r="W114" i="4"/>
  <c r="W121" i="4"/>
  <c r="W20" i="4"/>
  <c r="W23" i="4"/>
  <c r="W33" i="4"/>
  <c r="W34" i="4"/>
  <c r="D149" i="4" s="1"/>
  <c r="P17" i="1" s="1"/>
  <c r="P19" i="1" s="1"/>
  <c r="X17" i="4"/>
  <c r="W37" i="4"/>
  <c r="W36" i="4"/>
  <c r="Y23" i="15"/>
  <c r="Y91" i="15" s="1"/>
  <c r="Z22" i="15"/>
  <c r="I59" i="4"/>
  <c r="J58" i="4" s="1"/>
  <c r="V27" i="4"/>
  <c r="V38" i="4"/>
  <c r="Z51" i="1"/>
  <c r="X22" i="4" l="1"/>
  <c r="X114" i="4"/>
  <c r="X121" i="4"/>
  <c r="X98" i="4"/>
  <c r="W27" i="4"/>
  <c r="X20" i="4"/>
  <c r="X23" i="4"/>
  <c r="X33" i="4"/>
  <c r="X34" i="4"/>
  <c r="Y17" i="4"/>
  <c r="X37" i="4"/>
  <c r="X36" i="4"/>
  <c r="W38" i="4"/>
  <c r="AA22" i="15"/>
  <c r="Z23" i="15"/>
  <c r="Z91" i="15" s="1"/>
  <c r="J52" i="4"/>
  <c r="K51" i="4" s="1"/>
  <c r="Y22" i="4" l="1"/>
  <c r="Y114" i="4"/>
  <c r="Y121" i="4"/>
  <c r="Y98" i="4"/>
  <c r="X27" i="4"/>
  <c r="X38" i="4"/>
  <c r="Y37" i="4"/>
  <c r="Y20" i="4"/>
  <c r="Y23" i="4"/>
  <c r="Y33" i="4"/>
  <c r="Y34" i="4"/>
  <c r="Z17" i="4"/>
  <c r="Y36" i="4"/>
  <c r="AB22" i="15"/>
  <c r="AA23" i="15"/>
  <c r="AA91" i="15" s="1"/>
  <c r="J59" i="4"/>
  <c r="K58" i="4" s="1"/>
  <c r="K115" i="4"/>
  <c r="K45" i="4" s="1"/>
  <c r="Z22" i="4" l="1"/>
  <c r="Z121" i="4"/>
  <c r="Z114" i="4"/>
  <c r="Z98" i="4"/>
  <c r="Y38" i="4"/>
  <c r="Y27" i="4"/>
  <c r="AA17" i="4"/>
  <c r="Z37" i="4"/>
  <c r="Z20" i="4"/>
  <c r="Z23" i="4"/>
  <c r="Z33" i="4"/>
  <c r="Z34" i="4"/>
  <c r="Z36" i="4"/>
  <c r="AB23" i="15"/>
  <c r="AB91" i="15" s="1"/>
  <c r="AA22" i="4" l="1"/>
  <c r="AA114" i="4"/>
  <c r="AA121" i="4"/>
  <c r="AA98" i="4"/>
  <c r="K122" i="4"/>
  <c r="K46" i="4" s="1"/>
  <c r="K22" i="16" s="1"/>
  <c r="Z27" i="4"/>
  <c r="Z38" i="4"/>
  <c r="AA20" i="4"/>
  <c r="AB17" i="4"/>
  <c r="AA23" i="4"/>
  <c r="AA34" i="4"/>
  <c r="AA33" i="4"/>
  <c r="AA37" i="4"/>
  <c r="AA36" i="4"/>
  <c r="K52" i="4"/>
  <c r="L51" i="4" s="1"/>
  <c r="AB22" i="4" l="1"/>
  <c r="AB114" i="4"/>
  <c r="AB121" i="4"/>
  <c r="AB98" i="4"/>
  <c r="AA27" i="4"/>
  <c r="AB37" i="4"/>
  <c r="AB20" i="4"/>
  <c r="AB33" i="4"/>
  <c r="AB23" i="4"/>
  <c r="AB34" i="4"/>
  <c r="AB36" i="4"/>
  <c r="AA38" i="4"/>
  <c r="K59" i="4"/>
  <c r="L58" i="4" s="1"/>
  <c r="L115" i="4"/>
  <c r="L45" i="4" s="1"/>
  <c r="AB38" i="4" l="1"/>
  <c r="V52" i="15" s="1"/>
  <c r="AB27" i="4"/>
  <c r="L122" i="4" l="1"/>
  <c r="L46" i="4" s="1"/>
  <c r="L22" i="16" s="1"/>
  <c r="AA52" i="15"/>
  <c r="AB52" i="15"/>
  <c r="C52" i="15"/>
  <c r="D52" i="15"/>
  <c r="D53" i="15" s="1"/>
  <c r="E52" i="15"/>
  <c r="G52" i="15"/>
  <c r="F52" i="15"/>
  <c r="H52" i="15"/>
  <c r="J52" i="15"/>
  <c r="I52" i="15"/>
  <c r="K52" i="15"/>
  <c r="L52" i="15"/>
  <c r="M52" i="15"/>
  <c r="O52" i="15"/>
  <c r="N52" i="15"/>
  <c r="Q52" i="15"/>
  <c r="P52" i="15"/>
  <c r="S52" i="15"/>
  <c r="R52" i="15"/>
  <c r="T52" i="15"/>
  <c r="Y52" i="15"/>
  <c r="Z52" i="15"/>
  <c r="U52" i="15"/>
  <c r="X52" i="15"/>
  <c r="W52" i="15"/>
  <c r="L52" i="4"/>
  <c r="M51" i="4" s="1"/>
  <c r="M115" i="4" l="1"/>
  <c r="M45" i="4" s="1"/>
  <c r="L59" i="4" l="1"/>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C82" i="1" l="1"/>
  <c r="E28" i="1"/>
  <c r="C83" i="1" l="1"/>
  <c r="D21" i="4"/>
  <c r="E29" i="1"/>
  <c r="P66" i="1"/>
  <c r="P37" i="1"/>
  <c r="E39" i="1"/>
  <c r="D18" i="15"/>
  <c r="Q98" i="4" l="1"/>
  <c r="R98" i="4"/>
  <c r="S98" i="4"/>
  <c r="T98" i="4"/>
  <c r="U98" i="4"/>
  <c r="V98" i="4"/>
  <c r="W98" i="4"/>
  <c r="E98" i="4"/>
  <c r="D98" i="4"/>
  <c r="C92" i="1"/>
  <c r="D134" i="4"/>
  <c r="C101" i="4"/>
  <c r="D99" i="4" s="1"/>
  <c r="F98" i="4"/>
  <c r="G98" i="4"/>
  <c r="H98" i="4"/>
  <c r="I98" i="4"/>
  <c r="J98" i="4"/>
  <c r="K98" i="4"/>
  <c r="L98" i="4"/>
  <c r="M98" i="4"/>
  <c r="N98" i="4"/>
  <c r="O98" i="4"/>
  <c r="P98" i="4"/>
  <c r="E21" i="4"/>
  <c r="D23" i="4"/>
  <c r="D27" i="4" s="1"/>
  <c r="D21" i="15"/>
  <c r="E18" i="15"/>
  <c r="H23" i="1"/>
  <c r="E73" i="1"/>
  <c r="C73" i="1"/>
  <c r="E10" i="1"/>
  <c r="D73" i="1"/>
  <c r="D42" i="4" l="1"/>
  <c r="D160" i="4"/>
  <c r="D100" i="4"/>
  <c r="D25" i="15"/>
  <c r="Y56" i="1"/>
  <c r="D95" i="15"/>
  <c r="D19" i="15"/>
  <c r="H24" i="1"/>
  <c r="H32" i="1" s="1"/>
  <c r="Y60" i="1"/>
  <c r="Z65" i="1" s="1"/>
  <c r="E51" i="1"/>
  <c r="P22" i="1"/>
  <c r="C97" i="1"/>
  <c r="C69" i="16"/>
  <c r="H49" i="1"/>
  <c r="H50" i="1" s="1"/>
  <c r="P38" i="1"/>
  <c r="P39" i="1" s="1"/>
  <c r="P67" i="1"/>
  <c r="P68" i="1" s="1"/>
  <c r="C56" i="16"/>
  <c r="F18" i="15"/>
  <c r="F21" i="4"/>
  <c r="E23" i="4"/>
  <c r="E27" i="4" s="1"/>
  <c r="E21" i="15"/>
  <c r="E19" i="15" s="1"/>
  <c r="E94" i="15" s="1"/>
  <c r="D101" i="4" l="1"/>
  <c r="D161" i="4"/>
  <c r="D75" i="4"/>
  <c r="D76" i="4"/>
  <c r="E76" i="4" s="1"/>
  <c r="F76" i="4" s="1"/>
  <c r="D58" i="4"/>
  <c r="G37" i="16"/>
  <c r="D37" i="16"/>
  <c r="E37" i="16"/>
  <c r="H37" i="16"/>
  <c r="F37" i="16"/>
  <c r="C87" i="4"/>
  <c r="D133" i="4"/>
  <c r="P23" i="1"/>
  <c r="P24" i="1" s="1"/>
  <c r="C80" i="4"/>
  <c r="C81" i="4" s="1"/>
  <c r="O50" i="1"/>
  <c r="C93" i="16"/>
  <c r="C71" i="16"/>
  <c r="G18" i="15"/>
  <c r="D66" i="15"/>
  <c r="D67" i="15" s="1"/>
  <c r="D94" i="15"/>
  <c r="Y55" i="1"/>
  <c r="F23" i="4"/>
  <c r="F27" i="4" s="1"/>
  <c r="F21" i="15"/>
  <c r="G21" i="4"/>
  <c r="D59" i="1"/>
  <c r="I121" i="4" s="1"/>
  <c r="D57" i="1"/>
  <c r="G121" i="4" s="1"/>
  <c r="E54" i="1"/>
  <c r="E56" i="1"/>
  <c r="F114" i="4" s="1"/>
  <c r="F45" i="4" s="1"/>
  <c r="E59" i="1"/>
  <c r="I114" i="4" s="1"/>
  <c r="I45" i="4" s="1"/>
  <c r="H55" i="1"/>
  <c r="D51" i="4" s="1"/>
  <c r="D58" i="1"/>
  <c r="H121" i="4" s="1"/>
  <c r="E57" i="1"/>
  <c r="G114" i="4" s="1"/>
  <c r="G45" i="4" s="1"/>
  <c r="E58" i="1"/>
  <c r="H114" i="4" s="1"/>
  <c r="H45" i="4" s="1"/>
  <c r="D54" i="1"/>
  <c r="D56" i="1"/>
  <c r="F121" i="4" s="1"/>
  <c r="D55" i="1"/>
  <c r="E121" i="4" s="1"/>
  <c r="E55" i="1"/>
  <c r="E114" i="4" s="1"/>
  <c r="E45" i="4" s="1"/>
  <c r="E95" i="15"/>
  <c r="E25" i="15"/>
  <c r="C58" i="16"/>
  <c r="C92" i="16"/>
  <c r="P50" i="1"/>
  <c r="E99" i="4" l="1"/>
  <c r="G76" i="4"/>
  <c r="H76" i="4" s="1"/>
  <c r="E166" i="4"/>
  <c r="E46" i="4"/>
  <c r="E22" i="16" s="1"/>
  <c r="C24" i="16"/>
  <c r="C49" i="15"/>
  <c r="C53" i="15" s="1"/>
  <c r="G166" i="4"/>
  <c r="G46" i="4"/>
  <c r="G22" i="16" s="1"/>
  <c r="H18" i="15"/>
  <c r="I166" i="4"/>
  <c r="I46" i="4"/>
  <c r="I22" i="16" s="1"/>
  <c r="G23" i="4"/>
  <c r="G27" i="4" s="1"/>
  <c r="H21" i="4"/>
  <c r="G21" i="15"/>
  <c r="C88" i="4"/>
  <c r="C68" i="15"/>
  <c r="E60" i="1"/>
  <c r="D114" i="4"/>
  <c r="D45" i="4" s="1"/>
  <c r="C98" i="16"/>
  <c r="C73" i="16"/>
  <c r="C97" i="16"/>
  <c r="C60" i="16"/>
  <c r="E66" i="15"/>
  <c r="E67" i="15" s="1"/>
  <c r="H166" i="4"/>
  <c r="H46" i="4"/>
  <c r="H22" i="16" s="1"/>
  <c r="F25" i="15"/>
  <c r="F95" i="15"/>
  <c r="F46" i="4"/>
  <c r="F22" i="16" s="1"/>
  <c r="F166" i="4"/>
  <c r="D60" i="1"/>
  <c r="D121" i="4"/>
  <c r="F19" i="15"/>
  <c r="F94" i="15" s="1"/>
  <c r="E100" i="4" l="1"/>
  <c r="E42" i="4"/>
  <c r="E160" i="4"/>
  <c r="I76" i="4"/>
  <c r="J76" i="4" s="1"/>
  <c r="K76" i="4" s="1"/>
  <c r="L76" i="4" s="1"/>
  <c r="M76" i="4" s="1"/>
  <c r="I21" i="4"/>
  <c r="H23" i="4"/>
  <c r="H27" i="4" s="1"/>
  <c r="H21" i="15"/>
  <c r="H19" i="15" s="1"/>
  <c r="H94" i="15" s="1"/>
  <c r="G19" i="15"/>
  <c r="G94" i="15" s="1"/>
  <c r="D166" i="4"/>
  <c r="D46" i="4"/>
  <c r="F66" i="15"/>
  <c r="F67" i="15" s="1"/>
  <c r="C88" i="16"/>
  <c r="C69" i="15"/>
  <c r="G95" i="15"/>
  <c r="G25" i="15"/>
  <c r="H171" i="4"/>
  <c r="I18" i="15"/>
  <c r="G171" i="4"/>
  <c r="E171" i="4"/>
  <c r="F171" i="4"/>
  <c r="I171" i="4"/>
  <c r="C89" i="16"/>
  <c r="E75" i="4" l="1"/>
  <c r="E161" i="4"/>
  <c r="E101" i="4"/>
  <c r="N76" i="4"/>
  <c r="O76" i="4" s="1"/>
  <c r="P76" i="4" s="1"/>
  <c r="Q76" i="4" s="1"/>
  <c r="R76" i="4" s="1"/>
  <c r="S76" i="4" s="1"/>
  <c r="T76" i="4" s="1"/>
  <c r="U76" i="4" s="1"/>
  <c r="V76" i="4" s="1"/>
  <c r="W76" i="4" s="1"/>
  <c r="X76" i="4" s="1"/>
  <c r="Y76" i="4" s="1"/>
  <c r="Z76" i="4" s="1"/>
  <c r="AA76" i="4" s="1"/>
  <c r="AB76" i="4" s="1"/>
  <c r="D22" i="16"/>
  <c r="D171" i="4"/>
  <c r="J18" i="15"/>
  <c r="G66" i="15"/>
  <c r="G67" i="15" s="1"/>
  <c r="J21" i="4"/>
  <c r="I23" i="4"/>
  <c r="I27" i="4" s="1"/>
  <c r="I21" i="15"/>
  <c r="H25" i="15"/>
  <c r="H95" i="15"/>
  <c r="F99" i="4" l="1"/>
  <c r="K18" i="15"/>
  <c r="I95" i="15"/>
  <c r="I25" i="15"/>
  <c r="J23" i="4"/>
  <c r="J27" i="4" s="1"/>
  <c r="J21" i="15"/>
  <c r="J19" i="15" s="1"/>
  <c r="J94" i="15" s="1"/>
  <c r="K21" i="4"/>
  <c r="H66" i="15"/>
  <c r="H67" i="15" s="1"/>
  <c r="I19" i="15"/>
  <c r="I94" i="15" s="1"/>
  <c r="F42" i="4" l="1"/>
  <c r="F160" i="4"/>
  <c r="F100" i="4"/>
  <c r="I66" i="15"/>
  <c r="I67" i="15" s="1"/>
  <c r="L21" i="4"/>
  <c r="K21" i="15"/>
  <c r="K19" i="15" s="1"/>
  <c r="K94" i="15" s="1"/>
  <c r="K23" i="4"/>
  <c r="K27" i="4" s="1"/>
  <c r="L18" i="15"/>
  <c r="J25" i="15"/>
  <c r="J95" i="15"/>
  <c r="F75" i="4" l="1"/>
  <c r="F161" i="4"/>
  <c r="F101" i="4"/>
  <c r="L21" i="15"/>
  <c r="L19" i="15" s="1"/>
  <c r="L94" i="15" s="1"/>
  <c r="L23" i="4"/>
  <c r="L27" i="4" s="1"/>
  <c r="M21" i="4"/>
  <c r="M18" i="15"/>
  <c r="J66" i="15"/>
  <c r="J67" i="15" s="1"/>
  <c r="K95" i="15"/>
  <c r="K25" i="15"/>
  <c r="G99" i="4" l="1"/>
  <c r="K66" i="15"/>
  <c r="K67" i="15" s="1"/>
  <c r="L95" i="15"/>
  <c r="L25" i="15"/>
  <c r="N18" i="15"/>
  <c r="N21" i="4"/>
  <c r="M21" i="15"/>
  <c r="M19" i="15" s="1"/>
  <c r="M94" i="15" s="1"/>
  <c r="M23" i="4"/>
  <c r="M27" i="4" s="1"/>
  <c r="G160" i="4" l="1"/>
  <c r="G42" i="4"/>
  <c r="G100" i="4"/>
  <c r="N21" i="15"/>
  <c r="O21" i="4"/>
  <c r="L66" i="15"/>
  <c r="L67" i="15" s="1"/>
  <c r="M25" i="15"/>
  <c r="M95" i="15"/>
  <c r="O18" i="15"/>
  <c r="G75" i="4" l="1"/>
  <c r="G161" i="4"/>
  <c r="G101" i="4"/>
  <c r="O21" i="15"/>
  <c r="O19" i="15" s="1"/>
  <c r="O94" i="15" s="1"/>
  <c r="P21" i="4"/>
  <c r="M66" i="15"/>
  <c r="M67" i="15" s="1"/>
  <c r="N25" i="15"/>
  <c r="N95" i="15"/>
  <c r="N19" i="15"/>
  <c r="N94" i="15" s="1"/>
  <c r="P18" i="15"/>
  <c r="H99" i="4" l="1"/>
  <c r="Q21" i="4"/>
  <c r="P21" i="15"/>
  <c r="N66" i="15"/>
  <c r="N67" i="15" s="1"/>
  <c r="Q18" i="15"/>
  <c r="O95" i="15"/>
  <c r="O25" i="15"/>
  <c r="H42" i="4" l="1"/>
  <c r="H160" i="4"/>
  <c r="H100" i="4"/>
  <c r="P95" i="15"/>
  <c r="P25" i="15"/>
  <c r="R21" i="4"/>
  <c r="Q21" i="15"/>
  <c r="Q19" i="15" s="1"/>
  <c r="Q94" i="15" s="1"/>
  <c r="O66" i="15"/>
  <c r="O67" i="15" s="1"/>
  <c r="P19" i="15"/>
  <c r="P94" i="15" s="1"/>
  <c r="R18" i="15"/>
  <c r="H75" i="4" l="1"/>
  <c r="H161" i="4"/>
  <c r="H101" i="4"/>
  <c r="R21" i="15"/>
  <c r="R19" i="15" s="1"/>
  <c r="R94" i="15" s="1"/>
  <c r="S21" i="4"/>
  <c r="Q95" i="15"/>
  <c r="Q25" i="15"/>
  <c r="P66" i="15"/>
  <c r="P67" i="15" s="1"/>
  <c r="S18" i="15"/>
  <c r="I99" i="4" l="1"/>
  <c r="T21" i="4"/>
  <c r="S21" i="15"/>
  <c r="S19" i="15" s="1"/>
  <c r="S94" i="15" s="1"/>
  <c r="R95" i="15"/>
  <c r="R25" i="15"/>
  <c r="T18" i="15"/>
  <c r="Q66" i="15"/>
  <c r="Q67" i="15" s="1"/>
  <c r="I160" i="4" l="1"/>
  <c r="I42" i="4"/>
  <c r="I100" i="4"/>
  <c r="S95" i="15"/>
  <c r="S25" i="15"/>
  <c r="U18" i="15"/>
  <c r="R66" i="15"/>
  <c r="R67" i="15" s="1"/>
  <c r="U21" i="4"/>
  <c r="T21" i="15"/>
  <c r="I75" i="4" l="1"/>
  <c r="I161" i="4"/>
  <c r="I101" i="4"/>
  <c r="V18" i="15"/>
  <c r="T25" i="15"/>
  <c r="T95" i="15"/>
  <c r="S66" i="15"/>
  <c r="S67" i="15" s="1"/>
  <c r="U21" i="15"/>
  <c r="V21" i="4"/>
  <c r="T19" i="15"/>
  <c r="T94" i="15" s="1"/>
  <c r="J99" i="4" l="1"/>
  <c r="U95" i="15"/>
  <c r="U25" i="15"/>
  <c r="U19" i="15"/>
  <c r="U94" i="15" s="1"/>
  <c r="W18" i="15"/>
  <c r="W21" i="4"/>
  <c r="V21" i="15"/>
  <c r="T66" i="15"/>
  <c r="T67" i="15" s="1"/>
  <c r="J160" i="4" l="1"/>
  <c r="J42" i="4"/>
  <c r="J100" i="4"/>
  <c r="V95" i="15"/>
  <c r="V25" i="15"/>
  <c r="U66" i="15"/>
  <c r="U67" i="15" s="1"/>
  <c r="V19" i="15"/>
  <c r="V94" i="15" s="1"/>
  <c r="W21" i="15"/>
  <c r="W19" i="15" s="1"/>
  <c r="X21" i="4"/>
  <c r="X18" i="15"/>
  <c r="J75" i="4" l="1"/>
  <c r="J161" i="4"/>
  <c r="J101" i="4"/>
  <c r="Z55" i="1"/>
  <c r="W94" i="15"/>
  <c r="X21" i="15"/>
  <c r="X19" i="15" s="1"/>
  <c r="X94" i="15" s="1"/>
  <c r="Y21" i="4"/>
  <c r="Y18" i="15"/>
  <c r="W95" i="15"/>
  <c r="Z56" i="1"/>
  <c r="W25" i="15"/>
  <c r="V66" i="15"/>
  <c r="V67" i="15" s="1"/>
  <c r="K99" i="4" l="1"/>
  <c r="Z18" i="15"/>
  <c r="Y21" i="15"/>
  <c r="Y19" i="15" s="1"/>
  <c r="Y94" i="15" s="1"/>
  <c r="Z21" i="4"/>
  <c r="W66" i="15"/>
  <c r="W67" i="15" s="1"/>
  <c r="X25" i="15"/>
  <c r="X95" i="15"/>
  <c r="K42" i="4" l="1"/>
  <c r="K160" i="4"/>
  <c r="K100" i="4"/>
  <c r="Z21" i="15"/>
  <c r="Z19" i="15" s="1"/>
  <c r="Z94" i="15" s="1"/>
  <c r="AA21" i="4"/>
  <c r="X66" i="15"/>
  <c r="X67" i="15" s="1"/>
  <c r="Y25" i="15"/>
  <c r="Y95" i="15"/>
  <c r="AA18" i="15"/>
  <c r="K75" i="4" l="1"/>
  <c r="K161" i="4"/>
  <c r="K101" i="4"/>
  <c r="AB18" i="15"/>
  <c r="Y66" i="15"/>
  <c r="Y67" i="15" s="1"/>
  <c r="Z95" i="15"/>
  <c r="Z25" i="15"/>
  <c r="AA21" i="15"/>
  <c r="AA19" i="15" s="1"/>
  <c r="AA94" i="15" s="1"/>
  <c r="AB21" i="4"/>
  <c r="L99" i="4" l="1"/>
  <c r="AB21" i="15"/>
  <c r="Z66" i="15"/>
  <c r="Z67" i="15" s="1"/>
  <c r="AA95" i="15"/>
  <c r="AA25" i="15"/>
  <c r="L42" i="4" l="1"/>
  <c r="L160" i="4"/>
  <c r="L100" i="4"/>
  <c r="AB95" i="15"/>
  <c r="AB25" i="15"/>
  <c r="D43" i="15"/>
  <c r="C56" i="15" s="1"/>
  <c r="D38" i="15"/>
  <c r="AB19" i="15"/>
  <c r="AB94" i="15" s="1"/>
  <c r="AA66" i="15"/>
  <c r="AA67" i="15" s="1"/>
  <c r="L75" i="4" l="1"/>
  <c r="L161" i="4"/>
  <c r="L101" i="4"/>
  <c r="C84" i="15"/>
  <c r="Y62" i="1"/>
  <c r="AB66" i="15"/>
  <c r="AB67" i="15" s="1"/>
  <c r="D39" i="15"/>
  <c r="D40" i="15" s="1"/>
  <c r="M99" i="4" l="1"/>
  <c r="M160" i="4" l="1"/>
  <c r="M42" i="4"/>
  <c r="M100" i="4"/>
  <c r="M75" i="4" l="1"/>
  <c r="M161" i="4"/>
  <c r="M101" i="4"/>
  <c r="N99" i="4" l="1"/>
  <c r="N42" i="4" l="1"/>
  <c r="N160" i="4"/>
  <c r="N100" i="4"/>
  <c r="N75" i="4" l="1"/>
  <c r="N161" i="4"/>
  <c r="N101" i="4"/>
  <c r="O99" i="4" l="1"/>
  <c r="O42" i="4" l="1"/>
  <c r="O160" i="4"/>
  <c r="O100" i="4"/>
  <c r="O75" i="4" l="1"/>
  <c r="O161" i="4"/>
  <c r="O101" i="4"/>
  <c r="P99" i="4" l="1"/>
  <c r="P160" i="4" l="1"/>
  <c r="P42" i="4"/>
  <c r="P100" i="4"/>
  <c r="P75" i="4" l="1"/>
  <c r="P161" i="4"/>
  <c r="P101" i="4"/>
  <c r="Q99" i="4" l="1"/>
  <c r="Q42" i="4" l="1"/>
  <c r="Q160" i="4"/>
  <c r="Q100" i="4"/>
  <c r="Q75" i="4" l="1"/>
  <c r="Q161" i="4"/>
  <c r="Q101" i="4"/>
  <c r="R99" i="4" l="1"/>
  <c r="R42" i="4" l="1"/>
  <c r="R160" i="4"/>
  <c r="R100" i="4"/>
  <c r="R75" i="4" l="1"/>
  <c r="R161" i="4"/>
  <c r="R101" i="4"/>
  <c r="S99" i="4" l="1"/>
  <c r="S100" i="4" l="1"/>
  <c r="S42" i="4"/>
  <c r="S160" i="4"/>
  <c r="S75" i="4" l="1"/>
  <c r="S161" i="4"/>
  <c r="S101" i="4"/>
  <c r="T99" i="4" l="1"/>
  <c r="T42" i="4" l="1"/>
  <c r="T160" i="4"/>
  <c r="T100" i="4"/>
  <c r="T75" i="4" l="1"/>
  <c r="T161" i="4"/>
  <c r="T101" i="4"/>
  <c r="U99" i="4" l="1"/>
  <c r="U42" i="4" l="1"/>
  <c r="U160" i="4"/>
  <c r="U100" i="4"/>
  <c r="U75" i="4" l="1"/>
  <c r="U161" i="4"/>
  <c r="U101" i="4"/>
  <c r="V99" i="4" l="1"/>
  <c r="V42" i="4" l="1"/>
  <c r="V160" i="4"/>
  <c r="V100" i="4"/>
  <c r="V75" i="4" l="1"/>
  <c r="V161" i="4"/>
  <c r="V101" i="4"/>
  <c r="W99" i="4" l="1"/>
  <c r="W42" i="4" l="1"/>
  <c r="W100" i="4"/>
  <c r="W160" i="4"/>
  <c r="W75" i="4" l="1"/>
  <c r="W161" i="4"/>
  <c r="W101" i="4"/>
  <c r="C106" i="4" l="1"/>
  <c r="P31" i="1" s="1"/>
  <c r="X99" i="4"/>
  <c r="X42" i="4" l="1"/>
  <c r="X160" i="4"/>
  <c r="X100" i="4"/>
  <c r="X75" i="4" l="1"/>
  <c r="X161" i="4"/>
  <c r="X101" i="4"/>
  <c r="Y99" i="4" l="1"/>
  <c r="Y42" i="4" l="1"/>
  <c r="Y100" i="4"/>
  <c r="Y160" i="4"/>
  <c r="Y75" i="4" l="1"/>
  <c r="Y161" i="4"/>
  <c r="Y101" i="4"/>
  <c r="Z99" i="4" l="1"/>
  <c r="Z42" i="4" l="1"/>
  <c r="Z100" i="4"/>
  <c r="Z160" i="4"/>
  <c r="Z75" i="4" l="1"/>
  <c r="Z161" i="4"/>
  <c r="Z101" i="4"/>
  <c r="AA99" i="4" l="1"/>
  <c r="AA42" i="4" l="1"/>
  <c r="AA160" i="4"/>
  <c r="AA100" i="4"/>
  <c r="AA75" i="4" l="1"/>
  <c r="AA161" i="4"/>
  <c r="AA101" i="4"/>
  <c r="AB99" i="4" l="1"/>
  <c r="AB42" i="4" l="1"/>
  <c r="AB160" i="4"/>
  <c r="AB100" i="4"/>
  <c r="AB75" i="4" l="1"/>
  <c r="AB161" i="4"/>
  <c r="AB101" i="4"/>
  <c r="C90" i="1" l="1"/>
  <c r="D19" i="4"/>
  <c r="D24" i="15" s="1"/>
  <c r="D26" i="4" l="1"/>
  <c r="D28" i="4" s="1"/>
  <c r="D29" i="4" s="1"/>
  <c r="D30" i="4" s="1"/>
  <c r="D26" i="15"/>
  <c r="Y52" i="1"/>
  <c r="D92" i="15"/>
  <c r="E19" i="4"/>
  <c r="E24" i="15" l="1"/>
  <c r="F19" i="4"/>
  <c r="E26" i="4"/>
  <c r="E28" i="4" s="1"/>
  <c r="D27" i="15"/>
  <c r="D103" i="4"/>
  <c r="D104" i="4" s="1"/>
  <c r="D105" i="4" s="1"/>
  <c r="D40" i="4"/>
  <c r="D167" i="4" s="1"/>
  <c r="D49" i="4"/>
  <c r="D50" i="4" s="1"/>
  <c r="D113" i="4"/>
  <c r="D117" i="4" l="1"/>
  <c r="D72" i="4" s="1"/>
  <c r="D116" i="4"/>
  <c r="E29" i="4"/>
  <c r="E30" i="4" s="1"/>
  <c r="F24" i="15"/>
  <c r="F26" i="4"/>
  <c r="F28" i="4" s="1"/>
  <c r="G19" i="4"/>
  <c r="D173" i="4"/>
  <c r="D174" i="4" s="1"/>
  <c r="D168" i="4"/>
  <c r="D172" i="4"/>
  <c r="D53" i="4"/>
  <c r="D52" i="4"/>
  <c r="D71" i="4" s="1"/>
  <c r="D27" i="16" s="1"/>
  <c r="D80" i="15"/>
  <c r="E92" i="15"/>
  <c r="E26" i="15"/>
  <c r="G26" i="4" l="1"/>
  <c r="G28" i="4" s="1"/>
  <c r="G24" i="15"/>
  <c r="H19" i="4"/>
  <c r="F29" i="4"/>
  <c r="F30" i="4" s="1"/>
  <c r="D155" i="4"/>
  <c r="D28" i="16"/>
  <c r="F92" i="15"/>
  <c r="F26" i="15"/>
  <c r="F27" i="15" s="1"/>
  <c r="F80" i="15" s="1"/>
  <c r="E103" i="4"/>
  <c r="E104" i="4" s="1"/>
  <c r="E105" i="4" s="1"/>
  <c r="E113" i="4"/>
  <c r="E40" i="4"/>
  <c r="E167" i="4" s="1"/>
  <c r="E49" i="4"/>
  <c r="E50" i="4" s="1"/>
  <c r="E53" i="4" s="1"/>
  <c r="E56" i="4" s="1"/>
  <c r="D120" i="4"/>
  <c r="D56" i="4"/>
  <c r="E27" i="15"/>
  <c r="E51" i="15"/>
  <c r="E53" i="15" s="1"/>
  <c r="F51" i="15" l="1"/>
  <c r="F53" i="15" s="1"/>
  <c r="E57" i="4"/>
  <c r="E60" i="4" s="1"/>
  <c r="E62" i="4" s="1"/>
  <c r="F113" i="4"/>
  <c r="F40" i="4"/>
  <c r="F167" i="4" s="1"/>
  <c r="F49" i="4"/>
  <c r="F50" i="4" s="1"/>
  <c r="F53" i="4" s="1"/>
  <c r="F120" i="4" s="1"/>
  <c r="F103" i="4"/>
  <c r="F104" i="4" s="1"/>
  <c r="F105" i="4" s="1"/>
  <c r="E120" i="4"/>
  <c r="E116" i="4"/>
  <c r="E117" i="4"/>
  <c r="E72" i="4" s="1"/>
  <c r="G26" i="15"/>
  <c r="G92" i="15"/>
  <c r="I19" i="4"/>
  <c r="H24" i="15"/>
  <c r="H26" i="4"/>
  <c r="H28" i="4" s="1"/>
  <c r="D57" i="4"/>
  <c r="G29" i="4"/>
  <c r="G30" i="4" s="1"/>
  <c r="E172" i="4"/>
  <c r="E174" i="4" s="1"/>
  <c r="E168" i="4"/>
  <c r="E173" i="4"/>
  <c r="E80" i="15"/>
  <c r="D123" i="4"/>
  <c r="D124" i="4"/>
  <c r="D70" i="4" s="1"/>
  <c r="F56" i="4" l="1"/>
  <c r="F124" i="4"/>
  <c r="F70" i="4" s="1"/>
  <c r="F123" i="4"/>
  <c r="E21" i="16"/>
  <c r="E24" i="16" s="1"/>
  <c r="E36" i="16" s="1"/>
  <c r="E38" i="16" s="1"/>
  <c r="E80" i="4"/>
  <c r="F57" i="4"/>
  <c r="F60" i="4" s="1"/>
  <c r="F62" i="4" s="1"/>
  <c r="G113" i="4"/>
  <c r="G40" i="4"/>
  <c r="G167" i="4" s="1"/>
  <c r="G49" i="4"/>
  <c r="G50" i="4" s="1"/>
  <c r="G53" i="4" s="1"/>
  <c r="G56" i="4" s="1"/>
  <c r="G103" i="4"/>
  <c r="G104" i="4" s="1"/>
  <c r="G105" i="4" s="1"/>
  <c r="G27" i="15"/>
  <c r="G51" i="15"/>
  <c r="G53" i="15" s="1"/>
  <c r="E155" i="4"/>
  <c r="E28" i="16"/>
  <c r="H29" i="4"/>
  <c r="H30" i="4" s="1"/>
  <c r="D154" i="4"/>
  <c r="D29" i="16"/>
  <c r="D60" i="4"/>
  <c r="D62" i="4" s="1"/>
  <c r="D59" i="4"/>
  <c r="D69" i="4" s="1"/>
  <c r="F117" i="4"/>
  <c r="F72" i="4" s="1"/>
  <c r="F116" i="4"/>
  <c r="H92" i="15"/>
  <c r="H26" i="15"/>
  <c r="H27" i="15" s="1"/>
  <c r="H80" i="15" s="1"/>
  <c r="E124" i="4"/>
  <c r="E70" i="4" s="1"/>
  <c r="E123" i="4"/>
  <c r="F173" i="4"/>
  <c r="F168" i="4"/>
  <c r="F172" i="4"/>
  <c r="F174" i="4" s="1"/>
  <c r="I26" i="4"/>
  <c r="I28" i="4" s="1"/>
  <c r="J19" i="4"/>
  <c r="I24" i="15"/>
  <c r="H113" i="4" l="1"/>
  <c r="H103" i="4"/>
  <c r="H104" i="4" s="1"/>
  <c r="H105" i="4" s="1"/>
  <c r="H40" i="4"/>
  <c r="H167" i="4" s="1"/>
  <c r="H49" i="4"/>
  <c r="H50" i="4" s="1"/>
  <c r="H53" i="4" s="1"/>
  <c r="H120" i="4" s="1"/>
  <c r="G57" i="4"/>
  <c r="G60" i="4" s="1"/>
  <c r="G62" i="4" s="1"/>
  <c r="F80" i="4"/>
  <c r="F21" i="16"/>
  <c r="F24" i="16" s="1"/>
  <c r="F36" i="16" s="1"/>
  <c r="F38" i="16" s="1"/>
  <c r="I29" i="4"/>
  <c r="I30" i="4" s="1"/>
  <c r="G80" i="15"/>
  <c r="E84" i="4"/>
  <c r="E152" i="4"/>
  <c r="E159" i="4" s="1"/>
  <c r="G117" i="4"/>
  <c r="G72" i="4" s="1"/>
  <c r="G116" i="4"/>
  <c r="G173" i="4"/>
  <c r="G168" i="4"/>
  <c r="G172" i="4"/>
  <c r="G174" i="4" s="1"/>
  <c r="E40" i="16"/>
  <c r="E41" i="16" s="1"/>
  <c r="E43" i="16" s="1"/>
  <c r="F28" i="16"/>
  <c r="F155" i="4"/>
  <c r="D80" i="4"/>
  <c r="D21" i="16"/>
  <c r="D24" i="16" s="1"/>
  <c r="D36" i="16" s="1"/>
  <c r="D38" i="16" s="1"/>
  <c r="I92" i="15"/>
  <c r="I26" i="15"/>
  <c r="E154" i="4"/>
  <c r="E29" i="16"/>
  <c r="E31" i="16" s="1"/>
  <c r="E73" i="4"/>
  <c r="E87" i="4" s="1"/>
  <c r="E68" i="15" s="1"/>
  <c r="E69" i="15" s="1"/>
  <c r="G120" i="4"/>
  <c r="D153" i="4"/>
  <c r="E138" i="4" s="1"/>
  <c r="D30" i="16"/>
  <c r="D31" i="16" s="1"/>
  <c r="D73" i="4"/>
  <c r="D87" i="4" s="1"/>
  <c r="J24" i="15"/>
  <c r="K19" i="4"/>
  <c r="J26" i="4"/>
  <c r="J28" i="4" s="1"/>
  <c r="H51" i="15"/>
  <c r="H53" i="15" s="1"/>
  <c r="F73" i="4"/>
  <c r="F87" i="4" s="1"/>
  <c r="F68" i="15" s="1"/>
  <c r="F69" i="15" s="1"/>
  <c r="F29" i="16"/>
  <c r="F154" i="4"/>
  <c r="F31" i="16" l="1"/>
  <c r="F57" i="16" s="1"/>
  <c r="F70" i="16" s="1"/>
  <c r="H124" i="4"/>
  <c r="H70" i="4" s="1"/>
  <c r="H123" i="4"/>
  <c r="J29" i="4"/>
  <c r="J30" i="4" s="1"/>
  <c r="G80" i="4"/>
  <c r="G21" i="16"/>
  <c r="G24" i="16" s="1"/>
  <c r="G36" i="16" s="1"/>
  <c r="G38" i="16" s="1"/>
  <c r="G124" i="4"/>
  <c r="G70" i="4" s="1"/>
  <c r="G123" i="4"/>
  <c r="H56" i="4"/>
  <c r="H168" i="4"/>
  <c r="H172" i="4"/>
  <c r="H174" i="4" s="1"/>
  <c r="H173" i="4"/>
  <c r="E57" i="16"/>
  <c r="E70" i="16" s="1"/>
  <c r="D57" i="16"/>
  <c r="D70" i="16" s="1"/>
  <c r="I27" i="15"/>
  <c r="K26" i="4"/>
  <c r="K28" i="4" s="1"/>
  <c r="L19" i="4"/>
  <c r="K24" i="15"/>
  <c r="G155" i="4"/>
  <c r="G28" i="16"/>
  <c r="F40" i="16"/>
  <c r="F41" i="16" s="1"/>
  <c r="F43" i="16" s="1"/>
  <c r="D40" i="16"/>
  <c r="D68" i="15"/>
  <c r="D88" i="4"/>
  <c r="E88" i="4" s="1"/>
  <c r="F88" i="4" s="1"/>
  <c r="D84" i="4"/>
  <c r="D81" i="4"/>
  <c r="E81" i="4" s="1"/>
  <c r="F81" i="4" s="1"/>
  <c r="D152" i="4"/>
  <c r="F152" i="4"/>
  <c r="F159" i="4" s="1"/>
  <c r="F84" i="4"/>
  <c r="H116" i="4"/>
  <c r="H117" i="4"/>
  <c r="H72" i="4" s="1"/>
  <c r="E44" i="16"/>
  <c r="E48" i="16" s="1"/>
  <c r="I113" i="4"/>
  <c r="I40" i="4"/>
  <c r="I167" i="4" s="1"/>
  <c r="I49" i="4"/>
  <c r="I50" i="4" s="1"/>
  <c r="I53" i="4" s="1"/>
  <c r="I120" i="4" s="1"/>
  <c r="I103" i="4"/>
  <c r="I104" i="4" s="1"/>
  <c r="I105" i="4" s="1"/>
  <c r="J26" i="15"/>
  <c r="J51" i="15" s="1"/>
  <c r="J92" i="15"/>
  <c r="I51" i="15"/>
  <c r="I53" i="15" s="1"/>
  <c r="F44" i="16" l="1"/>
  <c r="F48" i="16" s="1"/>
  <c r="I124" i="4"/>
  <c r="I70" i="4" s="1"/>
  <c r="I123" i="4"/>
  <c r="J113" i="4"/>
  <c r="J40" i="4"/>
  <c r="J167" i="4" s="1"/>
  <c r="J103" i="4"/>
  <c r="J104" i="4" s="1"/>
  <c r="J105" i="4" s="1"/>
  <c r="J49" i="4"/>
  <c r="J50" i="4" s="1"/>
  <c r="J53" i="4" s="1"/>
  <c r="J56" i="4" s="1"/>
  <c r="G84" i="4"/>
  <c r="G152" i="4"/>
  <c r="G159" i="4" s="1"/>
  <c r="H73" i="4"/>
  <c r="H154" i="4"/>
  <c r="H29" i="16"/>
  <c r="I116" i="4"/>
  <c r="I117" i="4"/>
  <c r="I72" i="4" s="1"/>
  <c r="K26" i="15"/>
  <c r="K92" i="15"/>
  <c r="H28" i="16"/>
  <c r="H155" i="4"/>
  <c r="I56" i="4"/>
  <c r="I173" i="4"/>
  <c r="I168" i="4"/>
  <c r="I172" i="4"/>
  <c r="I174" i="4" s="1"/>
  <c r="E45" i="16"/>
  <c r="E49" i="16" s="1"/>
  <c r="E69" i="16" s="1"/>
  <c r="E71" i="16" s="1"/>
  <c r="E98" i="16" s="1"/>
  <c r="D159" i="4"/>
  <c r="L24" i="15"/>
  <c r="M19" i="4"/>
  <c r="L26" i="4"/>
  <c r="L28" i="4" s="1"/>
  <c r="I80" i="15"/>
  <c r="H57" i="4"/>
  <c r="H60" i="4" s="1"/>
  <c r="H62" i="4" s="1"/>
  <c r="G29" i="16"/>
  <c r="G31" i="16" s="1"/>
  <c r="G154" i="4"/>
  <c r="G73" i="4"/>
  <c r="G87" i="4" s="1"/>
  <c r="G40" i="16"/>
  <c r="G41" i="16" s="1"/>
  <c r="G43" i="16" s="1"/>
  <c r="D69" i="15"/>
  <c r="J27" i="15"/>
  <c r="J80" i="15" s="1"/>
  <c r="E56" i="16"/>
  <c r="E58" i="16" s="1"/>
  <c r="E97" i="16" s="1"/>
  <c r="G81" i="4"/>
  <c r="D41" i="16"/>
  <c r="D43" i="16" s="1"/>
  <c r="K29" i="4"/>
  <c r="K30" i="4" s="1"/>
  <c r="J120" i="4" l="1"/>
  <c r="J124" i="4" s="1"/>
  <c r="J70" i="4" s="1"/>
  <c r="H31" i="16"/>
  <c r="H57" i="16" s="1"/>
  <c r="H70" i="16" s="1"/>
  <c r="H80" i="4"/>
  <c r="H81" i="4" s="1"/>
  <c r="H21" i="16"/>
  <c r="H24" i="16" s="1"/>
  <c r="H36" i="16" s="1"/>
  <c r="H38" i="16" s="1"/>
  <c r="H87" i="4"/>
  <c r="H68" i="15" s="1"/>
  <c r="H69" i="15" s="1"/>
  <c r="J57" i="4"/>
  <c r="J60" i="4" s="1"/>
  <c r="J62" i="4" s="1"/>
  <c r="M26" i="4"/>
  <c r="M28" i="4" s="1"/>
  <c r="M24" i="15"/>
  <c r="N19" i="4"/>
  <c r="L92" i="15"/>
  <c r="L26" i="15"/>
  <c r="I57" i="4"/>
  <c r="I60" i="4" s="1"/>
  <c r="I62" i="4" s="1"/>
  <c r="I28" i="16"/>
  <c r="I155" i="4"/>
  <c r="J116" i="4"/>
  <c r="J117" i="4"/>
  <c r="J72" i="4" s="1"/>
  <c r="I29" i="16"/>
  <c r="I73" i="4"/>
  <c r="I154" i="4"/>
  <c r="K27" i="15"/>
  <c r="K80" i="15" s="1"/>
  <c r="K51" i="15"/>
  <c r="K113" i="4"/>
  <c r="K40" i="4"/>
  <c r="K167" i="4" s="1"/>
  <c r="K103" i="4"/>
  <c r="K104" i="4" s="1"/>
  <c r="K105" i="4" s="1"/>
  <c r="K49" i="4"/>
  <c r="K50" i="4" s="1"/>
  <c r="K53" i="4" s="1"/>
  <c r="K120" i="4" s="1"/>
  <c r="D44" i="16"/>
  <c r="D48" i="16" s="1"/>
  <c r="G57" i="16"/>
  <c r="G70" i="16" s="1"/>
  <c r="E50" i="16"/>
  <c r="J172" i="4"/>
  <c r="J174" i="4" s="1"/>
  <c r="J173" i="4"/>
  <c r="J168" i="4"/>
  <c r="F45" i="16"/>
  <c r="F49" i="16" s="1"/>
  <c r="F69" i="16" s="1"/>
  <c r="F71" i="16" s="1"/>
  <c r="F98" i="16" s="1"/>
  <c r="G68" i="15"/>
  <c r="G88" i="4"/>
  <c r="G44" i="16"/>
  <c r="G48" i="16" s="1"/>
  <c r="L29" i="4"/>
  <c r="L30" i="4" s="1"/>
  <c r="F56" i="16"/>
  <c r="F58" i="16" s="1"/>
  <c r="F97" i="16" s="1"/>
  <c r="J123" i="4" l="1"/>
  <c r="K56" i="4"/>
  <c r="H88" i="4"/>
  <c r="I31" i="16"/>
  <c r="I57" i="16" s="1"/>
  <c r="I70" i="16" s="1"/>
  <c r="L113" i="4"/>
  <c r="L103" i="4"/>
  <c r="L104" i="4" s="1"/>
  <c r="L105" i="4" s="1"/>
  <c r="L49" i="4"/>
  <c r="L50" i="4" s="1"/>
  <c r="L53" i="4" s="1"/>
  <c r="L120" i="4" s="1"/>
  <c r="L40" i="4"/>
  <c r="L167" i="4" s="1"/>
  <c r="K123" i="4"/>
  <c r="K124" i="4"/>
  <c r="K70" i="4" s="1"/>
  <c r="J80" i="4"/>
  <c r="J21" i="16"/>
  <c r="J24" i="16" s="1"/>
  <c r="J36" i="16" s="1"/>
  <c r="J38" i="16" s="1"/>
  <c r="J41" i="16" s="1"/>
  <c r="J43" i="16" s="1"/>
  <c r="I80" i="4"/>
  <c r="I81" i="4" s="1"/>
  <c r="I87" i="4"/>
  <c r="I21" i="16"/>
  <c r="I24" i="16" s="1"/>
  <c r="I36" i="16" s="1"/>
  <c r="I38" i="16" s="1"/>
  <c r="I41" i="16" s="1"/>
  <c r="I43" i="16" s="1"/>
  <c r="G56" i="16"/>
  <c r="G58" i="16" s="1"/>
  <c r="G97" i="16" s="1"/>
  <c r="K173" i="4"/>
  <c r="K168" i="4"/>
  <c r="K172" i="4"/>
  <c r="K174" i="4" s="1"/>
  <c r="D56" i="16"/>
  <c r="M29" i="4"/>
  <c r="M30" i="4" s="1"/>
  <c r="G69" i="15"/>
  <c r="H40" i="16"/>
  <c r="H41" i="16" s="1"/>
  <c r="H43" i="16" s="1"/>
  <c r="M92" i="15"/>
  <c r="M26" i="15"/>
  <c r="K57" i="4"/>
  <c r="K60" i="4" s="1"/>
  <c r="K62" i="4" s="1"/>
  <c r="G45" i="16"/>
  <c r="G49" i="16" s="1"/>
  <c r="G69" i="16" s="1"/>
  <c r="G71" i="16" s="1"/>
  <c r="G98" i="16" s="1"/>
  <c r="L27" i="15"/>
  <c r="L80" i="15" s="1"/>
  <c r="L51" i="15"/>
  <c r="K117" i="4"/>
  <c r="K72" i="4" s="1"/>
  <c r="K116" i="4"/>
  <c r="F50" i="16"/>
  <c r="J155" i="4"/>
  <c r="J28" i="16"/>
  <c r="J73" i="4"/>
  <c r="J87" i="4" s="1"/>
  <c r="J68" i="15" s="1"/>
  <c r="J69" i="15" s="1"/>
  <c r="J154" i="4"/>
  <c r="J29" i="16"/>
  <c r="D45" i="16"/>
  <c r="D49" i="16" s="1"/>
  <c r="D69" i="16" s="1"/>
  <c r="N24" i="15"/>
  <c r="N26" i="4"/>
  <c r="N28" i="4" s="1"/>
  <c r="O19" i="4"/>
  <c r="H152" i="4"/>
  <c r="H84" i="4"/>
  <c r="J81" i="4" l="1"/>
  <c r="L123" i="4"/>
  <c r="L124" i="4"/>
  <c r="L70" i="4" s="1"/>
  <c r="K21" i="16"/>
  <c r="K24" i="16" s="1"/>
  <c r="K36" i="16" s="1"/>
  <c r="K38" i="16" s="1"/>
  <c r="K41" i="16" s="1"/>
  <c r="K43" i="16" s="1"/>
  <c r="K80" i="4"/>
  <c r="K155" i="4"/>
  <c r="K28" i="16"/>
  <c r="K31" i="16" s="1"/>
  <c r="D58" i="16"/>
  <c r="I68" i="15"/>
  <c r="L168" i="4"/>
  <c r="L172" i="4"/>
  <c r="L174" i="4" s="1"/>
  <c r="L173" i="4"/>
  <c r="I84" i="4"/>
  <c r="I152" i="4"/>
  <c r="I159" i="4" s="1"/>
  <c r="K73" i="4"/>
  <c r="K87" i="4" s="1"/>
  <c r="K154" i="4"/>
  <c r="K29" i="16"/>
  <c r="H159" i="4"/>
  <c r="I88" i="4"/>
  <c r="J88" i="4" s="1"/>
  <c r="M113" i="4"/>
  <c r="M49" i="4"/>
  <c r="M50" i="4" s="1"/>
  <c r="M53" i="4" s="1"/>
  <c r="M56" i="4" s="1"/>
  <c r="M103" i="4"/>
  <c r="M104" i="4" s="1"/>
  <c r="M105" i="4" s="1"/>
  <c r="M40" i="4"/>
  <c r="M167" i="4" s="1"/>
  <c r="G50" i="16"/>
  <c r="J152" i="4"/>
  <c r="J159" i="4" s="1"/>
  <c r="J84" i="4"/>
  <c r="L56" i="4"/>
  <c r="I44" i="16"/>
  <c r="I48" i="16" s="1"/>
  <c r="J31" i="16"/>
  <c r="J44" i="16"/>
  <c r="J48" i="16" s="1"/>
  <c r="O26" i="4"/>
  <c r="O28" i="4" s="1"/>
  <c r="O24" i="15"/>
  <c r="P19" i="4"/>
  <c r="N29" i="4"/>
  <c r="N30" i="4" s="1"/>
  <c r="D71" i="16"/>
  <c r="H44" i="16"/>
  <c r="H48" i="16" s="1"/>
  <c r="N26" i="15"/>
  <c r="N92" i="15"/>
  <c r="M27" i="15"/>
  <c r="M80" i="15" s="1"/>
  <c r="M51" i="15"/>
  <c r="D50" i="16"/>
  <c r="L117" i="4"/>
  <c r="L72" i="4" s="1"/>
  <c r="L116" i="4"/>
  <c r="H45" i="16" l="1"/>
  <c r="H49" i="16" s="1"/>
  <c r="H69" i="16" s="1"/>
  <c r="H71" i="16" s="1"/>
  <c r="I45" i="16"/>
  <c r="I49" i="16" s="1"/>
  <c r="I69" i="16" s="1"/>
  <c r="I71" i="16" s="1"/>
  <c r="I98" i="16" s="1"/>
  <c r="K68" i="15"/>
  <c r="K69" i="15" s="1"/>
  <c r="M57" i="4"/>
  <c r="M60" i="4" s="1"/>
  <c r="M62" i="4" s="1"/>
  <c r="M120" i="4"/>
  <c r="N27" i="15"/>
  <c r="N80" i="15" s="1"/>
  <c r="N51" i="15"/>
  <c r="L57" i="4"/>
  <c r="L60" i="4" s="1"/>
  <c r="L62" i="4" s="1"/>
  <c r="L155" i="4"/>
  <c r="L28" i="16"/>
  <c r="K44" i="16"/>
  <c r="K48" i="16" s="1"/>
  <c r="J45" i="16"/>
  <c r="J49" i="16" s="1"/>
  <c r="J69" i="16" s="1"/>
  <c r="N113" i="4"/>
  <c r="N49" i="4"/>
  <c r="N50" i="4" s="1"/>
  <c r="N53" i="4" s="1"/>
  <c r="N120" i="4" s="1"/>
  <c r="N103" i="4"/>
  <c r="N104" i="4" s="1"/>
  <c r="N105" i="4" s="1"/>
  <c r="N40" i="4"/>
  <c r="K57" i="16"/>
  <c r="K70" i="16" s="1"/>
  <c r="M117" i="4"/>
  <c r="M72" i="4" s="1"/>
  <c r="M116" i="4"/>
  <c r="O29" i="4"/>
  <c r="O30" i="4" s="1"/>
  <c r="K88" i="4"/>
  <c r="I69" i="15"/>
  <c r="K152" i="4"/>
  <c r="K159" i="4" s="1"/>
  <c r="K84" i="4"/>
  <c r="F72" i="16"/>
  <c r="E72" i="16"/>
  <c r="D98" i="16"/>
  <c r="G72" i="16"/>
  <c r="D73" i="16"/>
  <c r="D72" i="16"/>
  <c r="J57" i="16"/>
  <c r="J70" i="16" s="1"/>
  <c r="M168" i="4"/>
  <c r="M173" i="4"/>
  <c r="M172" i="4"/>
  <c r="M174" i="4" s="1"/>
  <c r="E59" i="16"/>
  <c r="F59" i="16"/>
  <c r="D59" i="16"/>
  <c r="D97" i="16"/>
  <c r="G59" i="16"/>
  <c r="D60" i="16"/>
  <c r="L154" i="4"/>
  <c r="L73" i="4"/>
  <c r="L29" i="16"/>
  <c r="P24" i="15"/>
  <c r="Q19" i="4"/>
  <c r="P26" i="4"/>
  <c r="P28" i="4" s="1"/>
  <c r="O26" i="15"/>
  <c r="O92" i="15"/>
  <c r="H50" i="16"/>
  <c r="H56" i="16"/>
  <c r="J56" i="16"/>
  <c r="I56" i="16"/>
  <c r="I58" i="16" s="1"/>
  <c r="I97" i="16" s="1"/>
  <c r="I50" i="16"/>
  <c r="K81" i="4"/>
  <c r="H98" i="16" l="1"/>
  <c r="H72" i="16"/>
  <c r="K45" i="16"/>
  <c r="K49" i="16" s="1"/>
  <c r="K69" i="16" s="1"/>
  <c r="K71" i="16" s="1"/>
  <c r="K98" i="16" s="1"/>
  <c r="I72" i="16"/>
  <c r="J50" i="16"/>
  <c r="L31" i="16"/>
  <c r="L57" i="16" s="1"/>
  <c r="L70" i="16" s="1"/>
  <c r="N56" i="4"/>
  <c r="N57" i="4" s="1"/>
  <c r="N60" i="4" s="1"/>
  <c r="N62" i="4" s="1"/>
  <c r="N124" i="4"/>
  <c r="N70" i="4" s="1"/>
  <c r="N123" i="4"/>
  <c r="L87" i="4"/>
  <c r="L88" i="4" s="1"/>
  <c r="L21" i="16"/>
  <c r="L24" i="16" s="1"/>
  <c r="L36" i="16" s="1"/>
  <c r="L38" i="16" s="1"/>
  <c r="L41" i="16" s="1"/>
  <c r="L43" i="16" s="1"/>
  <c r="L80" i="4"/>
  <c r="L81" i="4" s="1"/>
  <c r="O103" i="4"/>
  <c r="O104" i="4" s="1"/>
  <c r="O105" i="4" s="1"/>
  <c r="O113" i="4"/>
  <c r="O49" i="4"/>
  <c r="O50" i="4" s="1"/>
  <c r="O53" i="4" s="1"/>
  <c r="O56" i="4" s="1"/>
  <c r="O40" i="4"/>
  <c r="M21" i="16"/>
  <c r="M24" i="16" s="1"/>
  <c r="M36" i="16" s="1"/>
  <c r="M38" i="16" s="1"/>
  <c r="M41" i="16" s="1"/>
  <c r="M43" i="16" s="1"/>
  <c r="M80" i="4"/>
  <c r="M155" i="4"/>
  <c r="M28" i="16"/>
  <c r="N116" i="4"/>
  <c r="N117" i="4"/>
  <c r="N72" i="4" s="1"/>
  <c r="E73" i="16"/>
  <c r="D89" i="16"/>
  <c r="J71" i="16"/>
  <c r="O27" i="15"/>
  <c r="O80" i="15" s="1"/>
  <c r="O51" i="15"/>
  <c r="P29" i="4"/>
  <c r="P30" i="4" s="1"/>
  <c r="Q24" i="15"/>
  <c r="R19" i="4"/>
  <c r="Q26" i="4"/>
  <c r="Q28" i="4" s="1"/>
  <c r="P26" i="15"/>
  <c r="P92" i="15"/>
  <c r="M123" i="4"/>
  <c r="M124" i="4"/>
  <c r="M70" i="4" s="1"/>
  <c r="H58" i="16"/>
  <c r="E60" i="16"/>
  <c r="D88" i="16"/>
  <c r="J58" i="16"/>
  <c r="J97" i="16" s="1"/>
  <c r="K50" i="16"/>
  <c r="K56" i="16"/>
  <c r="K58" i="16" s="1"/>
  <c r="K97" i="16" s="1"/>
  <c r="M81" i="4" l="1"/>
  <c r="O120" i="4"/>
  <c r="O124" i="4" s="1"/>
  <c r="O70" i="4" s="1"/>
  <c r="P113" i="4"/>
  <c r="P103" i="4"/>
  <c r="P104" i="4" s="1"/>
  <c r="P105" i="4" s="1"/>
  <c r="P49" i="4"/>
  <c r="P50" i="4" s="1"/>
  <c r="P53" i="4" s="1"/>
  <c r="P120" i="4" s="1"/>
  <c r="P40" i="4"/>
  <c r="N80" i="4"/>
  <c r="N21" i="16"/>
  <c r="N24" i="16" s="1"/>
  <c r="N36" i="16" s="1"/>
  <c r="N38" i="16" s="1"/>
  <c r="N41" i="16" s="1"/>
  <c r="N43" i="16" s="1"/>
  <c r="O57" i="4"/>
  <c r="O60" i="4" s="1"/>
  <c r="O62" i="4" s="1"/>
  <c r="M154" i="4"/>
  <c r="M29" i="16"/>
  <c r="M31" i="16" s="1"/>
  <c r="M73" i="4"/>
  <c r="M87" i="4" s="1"/>
  <c r="M88" i="4" s="1"/>
  <c r="O123" i="4"/>
  <c r="O117" i="4"/>
  <c r="O72" i="4" s="1"/>
  <c r="O116" i="4"/>
  <c r="Q92" i="15"/>
  <c r="Q26" i="15"/>
  <c r="L44" i="16"/>
  <c r="L48" i="16" s="1"/>
  <c r="F73" i="16"/>
  <c r="E89" i="16"/>
  <c r="L68" i="15"/>
  <c r="R24" i="15"/>
  <c r="S19" i="4"/>
  <c r="R26" i="4"/>
  <c r="R28" i="4" s="1"/>
  <c r="J98" i="16"/>
  <c r="K72" i="16"/>
  <c r="J72" i="16"/>
  <c r="M84" i="4"/>
  <c r="M152" i="4"/>
  <c r="M159" i="4" s="1"/>
  <c r="M44" i="16"/>
  <c r="M48" i="16" s="1"/>
  <c r="P27" i="15"/>
  <c r="P80" i="15" s="1"/>
  <c r="P51" i="15"/>
  <c r="N28" i="16"/>
  <c r="N155" i="4"/>
  <c r="E88" i="16"/>
  <c r="F60" i="16"/>
  <c r="L84" i="4"/>
  <c r="L152" i="4"/>
  <c r="H97" i="16"/>
  <c r="H59" i="16"/>
  <c r="J59" i="16"/>
  <c r="I59" i="16"/>
  <c r="C66" i="16" s="1"/>
  <c r="K59" i="16"/>
  <c r="Q29" i="4"/>
  <c r="Q30" i="4" s="1"/>
  <c r="N73" i="4"/>
  <c r="N87" i="4" s="1"/>
  <c r="N29" i="16"/>
  <c r="N154" i="4"/>
  <c r="P56" i="4" l="1"/>
  <c r="N31" i="16"/>
  <c r="N88" i="4"/>
  <c r="M57" i="16"/>
  <c r="M70" i="16" s="1"/>
  <c r="Q113" i="4"/>
  <c r="Q103" i="4"/>
  <c r="Q104" i="4" s="1"/>
  <c r="Q105" i="4" s="1"/>
  <c r="Q49" i="4"/>
  <c r="Q50" i="4" s="1"/>
  <c r="Q53" i="4" s="1"/>
  <c r="Q120" i="4" s="1"/>
  <c r="Q40" i="4"/>
  <c r="P124" i="4"/>
  <c r="P70" i="4" s="1"/>
  <c r="P123" i="4"/>
  <c r="O80" i="4"/>
  <c r="O21" i="16"/>
  <c r="O24" i="16" s="1"/>
  <c r="O36" i="16" s="1"/>
  <c r="O38" i="16" s="1"/>
  <c r="O41" i="16" s="1"/>
  <c r="O43" i="16" s="1"/>
  <c r="O73" i="4"/>
  <c r="O87" i="4" s="1"/>
  <c r="O29" i="16"/>
  <c r="O154" i="4"/>
  <c r="N57" i="16"/>
  <c r="N70" i="16" s="1"/>
  <c r="M68" i="15"/>
  <c r="M69" i="15" s="1"/>
  <c r="L45" i="16"/>
  <c r="L49" i="16" s="1"/>
  <c r="L69" i="16" s="1"/>
  <c r="Q27" i="15"/>
  <c r="Q80" i="15" s="1"/>
  <c r="Q51" i="15"/>
  <c r="M56" i="16"/>
  <c r="P117" i="4"/>
  <c r="P72" i="4" s="1"/>
  <c r="P116" i="4"/>
  <c r="R26" i="15"/>
  <c r="R92" i="15"/>
  <c r="N68" i="15"/>
  <c r="N69" i="15" s="1"/>
  <c r="L56" i="16"/>
  <c r="R29" i="4"/>
  <c r="R30" i="4" s="1"/>
  <c r="N44" i="16"/>
  <c r="N48" i="16" s="1"/>
  <c r="P57" i="4"/>
  <c r="P60" i="4" s="1"/>
  <c r="P62" i="4" s="1"/>
  <c r="L159" i="4"/>
  <c r="L69" i="15"/>
  <c r="F88" i="16"/>
  <c r="G60" i="16"/>
  <c r="M45" i="16"/>
  <c r="M49" i="16" s="1"/>
  <c r="M69" i="16" s="1"/>
  <c r="O28" i="16"/>
  <c r="O155" i="4"/>
  <c r="S24" i="15"/>
  <c r="T19" i="4"/>
  <c r="S26" i="4"/>
  <c r="S28" i="4" s="1"/>
  <c r="G73" i="16"/>
  <c r="F89" i="16"/>
  <c r="N152" i="4"/>
  <c r="N159" i="4" s="1"/>
  <c r="N84" i="4"/>
  <c r="N81" i="4"/>
  <c r="M58" i="16" l="1"/>
  <c r="M97" i="16" s="1"/>
  <c r="N45" i="16"/>
  <c r="N49" i="16" s="1"/>
  <c r="N69" i="16" s="1"/>
  <c r="N71" i="16" s="1"/>
  <c r="N98" i="16" s="1"/>
  <c r="M50" i="16"/>
  <c r="Q123" i="4"/>
  <c r="Q124" i="4"/>
  <c r="Q70" i="4" s="1"/>
  <c r="O68" i="15"/>
  <c r="O69" i="15" s="1"/>
  <c r="O88" i="4"/>
  <c r="P80" i="4"/>
  <c r="P21" i="16"/>
  <c r="P24" i="16" s="1"/>
  <c r="P36" i="16" s="1"/>
  <c r="P38" i="16" s="1"/>
  <c r="P41" i="16" s="1"/>
  <c r="P43" i="16" s="1"/>
  <c r="R113" i="4"/>
  <c r="R103" i="4"/>
  <c r="R104" i="4" s="1"/>
  <c r="R105" i="4" s="1"/>
  <c r="R40" i="4"/>
  <c r="R49" i="4"/>
  <c r="R50" i="4" s="1"/>
  <c r="R53" i="4" s="1"/>
  <c r="R120" i="4" s="1"/>
  <c r="H60" i="16"/>
  <c r="G88" i="16"/>
  <c r="Q56" i="4"/>
  <c r="G89" i="16"/>
  <c r="H73" i="16"/>
  <c r="R27" i="15"/>
  <c r="R80" i="15" s="1"/>
  <c r="R51" i="15"/>
  <c r="P28" i="16"/>
  <c r="P155" i="4"/>
  <c r="O81" i="4"/>
  <c r="L50" i="16"/>
  <c r="Q117" i="4"/>
  <c r="Q72" i="4" s="1"/>
  <c r="Q116" i="4"/>
  <c r="N56" i="16"/>
  <c r="N58" i="16" s="1"/>
  <c r="N97" i="16" s="1"/>
  <c r="N50" i="16"/>
  <c r="T24" i="15"/>
  <c r="T26" i="4"/>
  <c r="T28" i="4" s="1"/>
  <c r="U19" i="4"/>
  <c r="O44" i="16"/>
  <c r="O48" i="16" s="1"/>
  <c r="S26" i="15"/>
  <c r="S92" i="15"/>
  <c r="L58" i="16"/>
  <c r="P154" i="4"/>
  <c r="P29" i="16"/>
  <c r="P73" i="4"/>
  <c r="P87" i="4" s="1"/>
  <c r="L71" i="16"/>
  <c r="S29" i="4"/>
  <c r="S30" i="4" s="1"/>
  <c r="O152" i="4"/>
  <c r="O84" i="4"/>
  <c r="O31" i="16"/>
  <c r="M71" i="16"/>
  <c r="M98" i="16" s="1"/>
  <c r="P81" i="4" l="1"/>
  <c r="R124" i="4"/>
  <c r="R70" i="4" s="1"/>
  <c r="R123" i="4"/>
  <c r="S113" i="4"/>
  <c r="S103" i="4"/>
  <c r="S104" i="4" s="1"/>
  <c r="S105" i="4" s="1"/>
  <c r="S40" i="4"/>
  <c r="S49" i="4"/>
  <c r="S50" i="4" s="1"/>
  <c r="S53" i="4" s="1"/>
  <c r="S120" i="4" s="1"/>
  <c r="P68" i="15"/>
  <c r="P69" i="15" s="1"/>
  <c r="I73" i="16"/>
  <c r="H89" i="16"/>
  <c r="Q28" i="16"/>
  <c r="Q155" i="4"/>
  <c r="H88" i="16"/>
  <c r="I60" i="16"/>
  <c r="O57" i="16"/>
  <c r="O70" i="16" s="1"/>
  <c r="O45" i="16"/>
  <c r="O49" i="16" s="1"/>
  <c r="O69" i="16" s="1"/>
  <c r="Q57" i="4"/>
  <c r="Q60" i="4" s="1"/>
  <c r="Q62" i="4" s="1"/>
  <c r="P44" i="16"/>
  <c r="P48" i="16" s="1"/>
  <c r="T92" i="15"/>
  <c r="T26" i="15"/>
  <c r="R56" i="4"/>
  <c r="Q29" i="16"/>
  <c r="Q73" i="4"/>
  <c r="Q154" i="4"/>
  <c r="L98" i="16"/>
  <c r="L72" i="16"/>
  <c r="N72" i="16"/>
  <c r="M72" i="16"/>
  <c r="S27" i="15"/>
  <c r="S80" i="15" s="1"/>
  <c r="S51" i="15"/>
  <c r="O56" i="16"/>
  <c r="O159" i="4"/>
  <c r="U24" i="15"/>
  <c r="U26" i="4"/>
  <c r="U28" i="4" s="1"/>
  <c r="V19" i="4"/>
  <c r="R117" i="4"/>
  <c r="R72" i="4" s="1"/>
  <c r="R116" i="4"/>
  <c r="T29" i="4"/>
  <c r="T30" i="4" s="1"/>
  <c r="P31" i="16"/>
  <c r="P84" i="4"/>
  <c r="P152" i="4"/>
  <c r="P159" i="4" s="1"/>
  <c r="L97" i="16"/>
  <c r="M59" i="16"/>
  <c r="L59" i="16"/>
  <c r="N59" i="16"/>
  <c r="P88" i="4"/>
  <c r="S123" i="4" l="1"/>
  <c r="S124" i="4"/>
  <c r="S70" i="4" s="1"/>
  <c r="T103" i="4"/>
  <c r="T104" i="4" s="1"/>
  <c r="T105" i="4" s="1"/>
  <c r="T49" i="4"/>
  <c r="T50" i="4" s="1"/>
  <c r="T53" i="4" s="1"/>
  <c r="T120" i="4" s="1"/>
  <c r="T113" i="4"/>
  <c r="T40" i="4"/>
  <c r="R28" i="16"/>
  <c r="R155" i="4"/>
  <c r="R57" i="4"/>
  <c r="R60" i="4" s="1"/>
  <c r="R62" i="4" s="1"/>
  <c r="O71" i="16"/>
  <c r="J73" i="16"/>
  <c r="I89" i="16"/>
  <c r="S56" i="4"/>
  <c r="T27" i="15"/>
  <c r="T80" i="15" s="1"/>
  <c r="T51" i="15"/>
  <c r="U92" i="15"/>
  <c r="U26" i="15"/>
  <c r="P56" i="16"/>
  <c r="P45" i="16"/>
  <c r="P49" i="16" s="1"/>
  <c r="P69" i="16" s="1"/>
  <c r="S116" i="4"/>
  <c r="S117" i="4"/>
  <c r="S72" i="4" s="1"/>
  <c r="P57" i="16"/>
  <c r="P70" i="16" s="1"/>
  <c r="J60" i="16"/>
  <c r="I88" i="16"/>
  <c r="Q21" i="16"/>
  <c r="Q24" i="16" s="1"/>
  <c r="Q36" i="16" s="1"/>
  <c r="Q38" i="16" s="1"/>
  <c r="Q41" i="16" s="1"/>
  <c r="Q43" i="16" s="1"/>
  <c r="Q80" i="4"/>
  <c r="Q87" i="4"/>
  <c r="Q88" i="4" s="1"/>
  <c r="V24" i="15"/>
  <c r="V26" i="4"/>
  <c r="V28" i="4" s="1"/>
  <c r="W19" i="4"/>
  <c r="U29" i="4"/>
  <c r="U30" i="4" s="1"/>
  <c r="O50" i="16"/>
  <c r="O58" i="16"/>
  <c r="Q31" i="16"/>
  <c r="R154" i="4"/>
  <c r="R29" i="16"/>
  <c r="R73" i="4"/>
  <c r="T56" i="4" l="1"/>
  <c r="P58" i="16"/>
  <c r="P97" i="16" s="1"/>
  <c r="P50" i="16"/>
  <c r="T123" i="4"/>
  <c r="T124" i="4"/>
  <c r="T70" i="4" s="1"/>
  <c r="U113" i="4"/>
  <c r="U40" i="4"/>
  <c r="U103" i="4"/>
  <c r="U104" i="4" s="1"/>
  <c r="U105" i="4" s="1"/>
  <c r="U49" i="4"/>
  <c r="U50" i="4" s="1"/>
  <c r="U53" i="4" s="1"/>
  <c r="U120" i="4" s="1"/>
  <c r="R21" i="16"/>
  <c r="R24" i="16" s="1"/>
  <c r="R36" i="16" s="1"/>
  <c r="R38" i="16" s="1"/>
  <c r="R41" i="16" s="1"/>
  <c r="R43" i="16" s="1"/>
  <c r="R87" i="4"/>
  <c r="R88" i="4" s="1"/>
  <c r="R80" i="4"/>
  <c r="J88" i="16"/>
  <c r="K60" i="16"/>
  <c r="T117" i="4"/>
  <c r="T72" i="4" s="1"/>
  <c r="T116" i="4"/>
  <c r="T57" i="4"/>
  <c r="T60" i="4" s="1"/>
  <c r="T62" i="4" s="1"/>
  <c r="U27" i="15"/>
  <c r="U80" i="15" s="1"/>
  <c r="U51" i="15"/>
  <c r="Q57" i="16"/>
  <c r="Q70" i="16"/>
  <c r="V26" i="15"/>
  <c r="V92" i="15"/>
  <c r="S155" i="4"/>
  <c r="S28" i="16"/>
  <c r="V29" i="4"/>
  <c r="V30" i="4" s="1"/>
  <c r="O98" i="16"/>
  <c r="O72" i="16"/>
  <c r="O97" i="16"/>
  <c r="O59" i="16"/>
  <c r="S57" i="4"/>
  <c r="S60" i="4" s="1"/>
  <c r="S62" i="4" s="1"/>
  <c r="S29" i="16"/>
  <c r="S154" i="4"/>
  <c r="S73" i="4"/>
  <c r="K73" i="16"/>
  <c r="J89" i="16"/>
  <c r="W24" i="15"/>
  <c r="W26" i="4"/>
  <c r="W28" i="4" s="1"/>
  <c r="X19" i="4"/>
  <c r="Q68" i="15"/>
  <c r="Q69" i="15" s="1"/>
  <c r="Q84" i="4"/>
  <c r="Q152" i="4"/>
  <c r="Q159" i="4" s="1"/>
  <c r="Q81" i="4"/>
  <c r="Q44" i="16"/>
  <c r="Q48" i="16" s="1"/>
  <c r="P71" i="16"/>
  <c r="P98" i="16" s="1"/>
  <c r="R31" i="16"/>
  <c r="R81" i="4" l="1"/>
  <c r="P72" i="16"/>
  <c r="P59" i="16"/>
  <c r="Q45" i="16"/>
  <c r="Q49" i="16" s="1"/>
  <c r="Q69" i="16" s="1"/>
  <c r="Q71" i="16" s="1"/>
  <c r="Q98" i="16" s="1"/>
  <c r="S87" i="4"/>
  <c r="S88" i="4" s="1"/>
  <c r="S80" i="4"/>
  <c r="S81" i="4" s="1"/>
  <c r="S21" i="16"/>
  <c r="S24" i="16" s="1"/>
  <c r="S36" i="16" s="1"/>
  <c r="S38" i="16" s="1"/>
  <c r="S41" i="16" s="1"/>
  <c r="S43" i="16" s="1"/>
  <c r="U123" i="4"/>
  <c r="U124" i="4"/>
  <c r="U70" i="4" s="1"/>
  <c r="V113" i="4"/>
  <c r="V103" i="4"/>
  <c r="V104" i="4" s="1"/>
  <c r="V105" i="4" s="1"/>
  <c r="V49" i="4"/>
  <c r="V50" i="4" s="1"/>
  <c r="V53" i="4" s="1"/>
  <c r="V56" i="4" s="1"/>
  <c r="V40" i="4"/>
  <c r="T155" i="4"/>
  <c r="T28" i="16"/>
  <c r="K88" i="16"/>
  <c r="L60" i="16"/>
  <c r="U56" i="4"/>
  <c r="T80" i="4"/>
  <c r="T21" i="16"/>
  <c r="T24" i="16" s="1"/>
  <c r="T36" i="16" s="1"/>
  <c r="T38" i="16" s="1"/>
  <c r="T41" i="16" s="1"/>
  <c r="T43" i="16" s="1"/>
  <c r="K89" i="16"/>
  <c r="L73" i="16"/>
  <c r="R152" i="4"/>
  <c r="R159" i="4" s="1"/>
  <c r="R84" i="4"/>
  <c r="U117" i="4"/>
  <c r="U72" i="4" s="1"/>
  <c r="U116" i="4"/>
  <c r="W29" i="4"/>
  <c r="W30" i="4" s="1"/>
  <c r="S31" i="16"/>
  <c r="R68" i="15"/>
  <c r="R69" i="15" s="1"/>
  <c r="T154" i="4"/>
  <c r="T73" i="4"/>
  <c r="T87" i="4" s="1"/>
  <c r="T29" i="16"/>
  <c r="R57" i="16"/>
  <c r="R70" i="16" s="1"/>
  <c r="W26" i="15"/>
  <c r="Z52" i="1"/>
  <c r="W92" i="15"/>
  <c r="V27" i="15"/>
  <c r="V80" i="15" s="1"/>
  <c r="V51" i="15"/>
  <c r="Q56" i="16"/>
  <c r="Q58" i="16" s="1"/>
  <c r="X24" i="15"/>
  <c r="Y19" i="4"/>
  <c r="X26" i="4"/>
  <c r="X28" i="4" s="1"/>
  <c r="R44" i="16"/>
  <c r="R48" i="16" s="1"/>
  <c r="T31" i="16" l="1"/>
  <c r="Q72" i="16"/>
  <c r="T81" i="4"/>
  <c r="Q50" i="16"/>
  <c r="V120" i="4"/>
  <c r="V124" i="4" s="1"/>
  <c r="V70" i="4" s="1"/>
  <c r="R45" i="16"/>
  <c r="R49" i="16" s="1"/>
  <c r="R69" i="16" s="1"/>
  <c r="R71" i="16" s="1"/>
  <c r="T68" i="15"/>
  <c r="T69" i="15" s="1"/>
  <c r="W49" i="4"/>
  <c r="W50" i="4" s="1"/>
  <c r="W53" i="4" s="1"/>
  <c r="W120" i="4" s="1"/>
  <c r="W113" i="4"/>
  <c r="W40" i="4"/>
  <c r="W103" i="4"/>
  <c r="W104" i="4" s="1"/>
  <c r="W105" i="4" s="1"/>
  <c r="C105" i="4" s="1"/>
  <c r="P32" i="1" s="1"/>
  <c r="V57" i="4"/>
  <c r="V60" i="4" s="1"/>
  <c r="V62" i="4" s="1"/>
  <c r="M60" i="16"/>
  <c r="L88" i="16"/>
  <c r="U28" i="16"/>
  <c r="U155" i="4"/>
  <c r="L89" i="16"/>
  <c r="M73" i="16"/>
  <c r="X92" i="15"/>
  <c r="X26" i="15"/>
  <c r="V117" i="4"/>
  <c r="V72" i="4" s="1"/>
  <c r="V116" i="4"/>
  <c r="U73" i="4"/>
  <c r="U29" i="16"/>
  <c r="U154" i="4"/>
  <c r="Y24" i="15"/>
  <c r="Y26" i="4"/>
  <c r="Y28" i="4" s="1"/>
  <c r="Z19" i="4"/>
  <c r="R56" i="16"/>
  <c r="R58" i="16" s="1"/>
  <c r="R97" i="16" s="1"/>
  <c r="T44" i="16"/>
  <c r="T48" i="16" s="1"/>
  <c r="S44" i="16"/>
  <c r="S48" i="16" s="1"/>
  <c r="X29" i="4"/>
  <c r="X30" i="4" s="1"/>
  <c r="U57" i="4"/>
  <c r="U60" i="4" s="1"/>
  <c r="U62" i="4" s="1"/>
  <c r="W27" i="15"/>
  <c r="W80" i="15" s="1"/>
  <c r="W51" i="15"/>
  <c r="T57" i="16"/>
  <c r="T70" i="16" s="1"/>
  <c r="T88" i="4"/>
  <c r="Q97" i="16"/>
  <c r="Q59" i="16"/>
  <c r="T152" i="4"/>
  <c r="T159" i="4" s="1"/>
  <c r="T84" i="4"/>
  <c r="S84" i="4"/>
  <c r="S152" i="4"/>
  <c r="S159" i="4" s="1"/>
  <c r="S57" i="16"/>
  <c r="S70" i="16" s="1"/>
  <c r="S68" i="15"/>
  <c r="S69" i="15" s="1"/>
  <c r="R59" i="16" l="1"/>
  <c r="R50" i="16"/>
  <c r="V123" i="4"/>
  <c r="T45" i="16"/>
  <c r="T49" i="16" s="1"/>
  <c r="T69" i="16" s="1"/>
  <c r="T71" i="16" s="1"/>
  <c r="T98" i="16" s="1"/>
  <c r="U31" i="16"/>
  <c r="U57" i="16" s="1"/>
  <c r="U70" i="16" s="1"/>
  <c r="S45" i="16"/>
  <c r="S49" i="16" s="1"/>
  <c r="S69" i="16" s="1"/>
  <c r="S71" i="16" s="1"/>
  <c r="W123" i="4"/>
  <c r="W124" i="4"/>
  <c r="W70" i="4" s="1"/>
  <c r="V21" i="16"/>
  <c r="V24" i="16" s="1"/>
  <c r="V36" i="16" s="1"/>
  <c r="V38" i="16" s="1"/>
  <c r="V41" i="16" s="1"/>
  <c r="V43" i="16" s="1"/>
  <c r="V80" i="4"/>
  <c r="U21" i="16"/>
  <c r="U24" i="16" s="1"/>
  <c r="U36" i="16" s="1"/>
  <c r="U38" i="16" s="1"/>
  <c r="U41" i="16" s="1"/>
  <c r="U43" i="16" s="1"/>
  <c r="U80" i="4"/>
  <c r="U87" i="4"/>
  <c r="R98" i="16"/>
  <c r="R72" i="16"/>
  <c r="W56" i="4"/>
  <c r="X40" i="4"/>
  <c r="X113" i="4"/>
  <c r="X49" i="4"/>
  <c r="X50" i="4" s="1"/>
  <c r="X53" i="4" s="1"/>
  <c r="X56" i="4" s="1"/>
  <c r="X103" i="4"/>
  <c r="X104" i="4" s="1"/>
  <c r="X105" i="4" s="1"/>
  <c r="V28" i="16"/>
  <c r="V155" i="4"/>
  <c r="W116" i="4"/>
  <c r="W117" i="4"/>
  <c r="W72" i="4" s="1"/>
  <c r="Z24" i="15"/>
  <c r="AA19" i="4"/>
  <c r="Z26" i="4"/>
  <c r="Z28" i="4" s="1"/>
  <c r="X27" i="15"/>
  <c r="X80" i="15" s="1"/>
  <c r="X51" i="15"/>
  <c r="Y29" i="4"/>
  <c r="Y30" i="4" s="1"/>
  <c r="N60" i="16"/>
  <c r="M88" i="16"/>
  <c r="S56" i="16"/>
  <c r="S58" i="16" s="1"/>
  <c r="Y26" i="15"/>
  <c r="Y92" i="15"/>
  <c r="V29" i="16"/>
  <c r="V73" i="4"/>
  <c r="V87" i="4" s="1"/>
  <c r="V154" i="4"/>
  <c r="T56" i="16"/>
  <c r="T58" i="16" s="1"/>
  <c r="N73" i="16"/>
  <c r="M89" i="16"/>
  <c r="X120" i="4" l="1"/>
  <c r="T50" i="16"/>
  <c r="V31" i="16"/>
  <c r="S50" i="16"/>
  <c r="N89" i="16"/>
  <c r="O73" i="16"/>
  <c r="U68" i="15"/>
  <c r="U69" i="15" s="1"/>
  <c r="S97" i="16"/>
  <c r="S59" i="16"/>
  <c r="U44" i="16"/>
  <c r="U48" i="16" s="1"/>
  <c r="X124" i="4"/>
  <c r="X70" i="4" s="1"/>
  <c r="X123" i="4"/>
  <c r="T97" i="16"/>
  <c r="T59" i="16"/>
  <c r="W57" i="4"/>
  <c r="W60" i="4" s="1"/>
  <c r="W62" i="4" s="1"/>
  <c r="Z29" i="4"/>
  <c r="Z30" i="4" s="1"/>
  <c r="V68" i="15"/>
  <c r="V69" i="15" s="1"/>
  <c r="U88" i="4"/>
  <c r="V88" i="4" s="1"/>
  <c r="X57" i="4"/>
  <c r="X60" i="4" s="1"/>
  <c r="X62" i="4" s="1"/>
  <c r="Z26" i="15"/>
  <c r="Z92" i="15"/>
  <c r="T72" i="16"/>
  <c r="V44" i="16"/>
  <c r="V48" i="16" s="1"/>
  <c r="AA24" i="15"/>
  <c r="AB19" i="4"/>
  <c r="AA26" i="4"/>
  <c r="AA28" i="4" s="1"/>
  <c r="V152" i="4"/>
  <c r="V159" i="4" s="1"/>
  <c r="V84" i="4"/>
  <c r="N88" i="16"/>
  <c r="O60" i="16"/>
  <c r="W73" i="4"/>
  <c r="W29" i="16"/>
  <c r="W154" i="4"/>
  <c r="Y113" i="4"/>
  <c r="Y49" i="4"/>
  <c r="Y50" i="4" s="1"/>
  <c r="Y53" i="4" s="1"/>
  <c r="Y120" i="4" s="1"/>
  <c r="Y40" i="4"/>
  <c r="Y103" i="4"/>
  <c r="Y104" i="4" s="1"/>
  <c r="Y105" i="4" s="1"/>
  <c r="U152" i="4"/>
  <c r="U159" i="4" s="1"/>
  <c r="U84" i="4"/>
  <c r="U81" i="4"/>
  <c r="V81" i="4" s="1"/>
  <c r="S98" i="16"/>
  <c r="S72" i="16"/>
  <c r="V57" i="16"/>
  <c r="V70" i="16" s="1"/>
  <c r="W155" i="4"/>
  <c r="W28" i="16"/>
  <c r="Y27" i="15"/>
  <c r="Y80" i="15" s="1"/>
  <c r="Y51" i="15"/>
  <c r="X116" i="4"/>
  <c r="X117" i="4"/>
  <c r="X72" i="4" s="1"/>
  <c r="V45" i="16" l="1"/>
  <c r="V49" i="16" s="1"/>
  <c r="V69" i="16" s="1"/>
  <c r="V71" i="16" s="1"/>
  <c r="U45" i="16"/>
  <c r="U49" i="16" s="1"/>
  <c r="U69" i="16" s="1"/>
  <c r="U71" i="16" s="1"/>
  <c r="U98" i="16" s="1"/>
  <c r="W31" i="16"/>
  <c r="X21" i="16"/>
  <c r="X24" i="16" s="1"/>
  <c r="X36" i="16" s="1"/>
  <c r="X38" i="16" s="1"/>
  <c r="X41" i="16" s="1"/>
  <c r="X43" i="16" s="1"/>
  <c r="X80" i="4"/>
  <c r="Z113" i="4"/>
  <c r="Z49" i="4"/>
  <c r="Z50" i="4" s="1"/>
  <c r="Z53" i="4" s="1"/>
  <c r="Z56" i="4" s="1"/>
  <c r="Z40" i="4"/>
  <c r="Z103" i="4"/>
  <c r="Z104" i="4" s="1"/>
  <c r="Z105" i="4" s="1"/>
  <c r="W21" i="16"/>
  <c r="W24" i="16" s="1"/>
  <c r="W36" i="16" s="1"/>
  <c r="W38" i="16" s="1"/>
  <c r="W41" i="16" s="1"/>
  <c r="W43" i="16" s="1"/>
  <c r="W87" i="4"/>
  <c r="W88" i="4" s="1"/>
  <c r="W80" i="4"/>
  <c r="W81" i="4" s="1"/>
  <c r="Y124" i="4"/>
  <c r="Y70" i="4" s="1"/>
  <c r="Y123" i="4"/>
  <c r="P60" i="16"/>
  <c r="O88" i="16"/>
  <c r="U56" i="16"/>
  <c r="U58" i="16" s="1"/>
  <c r="X154" i="4"/>
  <c r="X29" i="16"/>
  <c r="X73" i="4"/>
  <c r="X87" i="4" s="1"/>
  <c r="X155" i="4"/>
  <c r="X28" i="16"/>
  <c r="Y56" i="4"/>
  <c r="AA29" i="4"/>
  <c r="AA30" i="4" s="1"/>
  <c r="Z27" i="15"/>
  <c r="Z80" i="15" s="1"/>
  <c r="Z51" i="15"/>
  <c r="P73" i="16"/>
  <c r="O89" i="16"/>
  <c r="V56" i="16"/>
  <c r="V58" i="16" s="1"/>
  <c r="V50" i="16"/>
  <c r="Y116" i="4"/>
  <c r="Y117" i="4"/>
  <c r="Y72" i="4" s="1"/>
  <c r="AB24" i="15"/>
  <c r="AB26" i="4"/>
  <c r="AB28" i="4" s="1"/>
  <c r="W57" i="16"/>
  <c r="W70" i="16" s="1"/>
  <c r="AA92" i="15"/>
  <c r="AA26" i="15"/>
  <c r="U50" i="16" l="1"/>
  <c r="U72" i="16"/>
  <c r="X31" i="16"/>
  <c r="X81" i="4"/>
  <c r="X68" i="15"/>
  <c r="X69" i="15" s="1"/>
  <c r="Z57" i="4"/>
  <c r="Z60" i="4" s="1"/>
  <c r="Z62" i="4" s="1"/>
  <c r="AA113" i="4"/>
  <c r="AA103" i="4"/>
  <c r="AA104" i="4" s="1"/>
  <c r="AA105" i="4" s="1"/>
  <c r="AA40" i="4"/>
  <c r="AA49" i="4"/>
  <c r="AA50" i="4" s="1"/>
  <c r="AA53" i="4" s="1"/>
  <c r="AA120" i="4" s="1"/>
  <c r="AB26" i="15"/>
  <c r="AB92" i="15"/>
  <c r="Y155" i="4"/>
  <c r="Y28" i="16"/>
  <c r="V98" i="16"/>
  <c r="V72" i="16"/>
  <c r="W68" i="15"/>
  <c r="W69" i="15" s="1"/>
  <c r="X152" i="4"/>
  <c r="X159" i="4" s="1"/>
  <c r="X84" i="4"/>
  <c r="AB29" i="4"/>
  <c r="AB30" i="4"/>
  <c r="X57" i="16"/>
  <c r="X70" i="16" s="1"/>
  <c r="X88" i="4"/>
  <c r="Z120" i="4"/>
  <c r="W84" i="4"/>
  <c r="W152" i="4"/>
  <c r="W159" i="4" s="1"/>
  <c r="V97" i="16"/>
  <c r="V59" i="16"/>
  <c r="W44" i="16"/>
  <c r="W48" i="16" s="1"/>
  <c r="X44" i="16"/>
  <c r="X48" i="16" s="1"/>
  <c r="Q60" i="16"/>
  <c r="P88" i="16"/>
  <c r="Y73" i="4"/>
  <c r="Y154" i="4"/>
  <c r="Y29" i="16"/>
  <c r="AA27" i="15"/>
  <c r="AA80" i="15" s="1"/>
  <c r="AA51" i="15"/>
  <c r="Z117" i="4"/>
  <c r="Z72" i="4" s="1"/>
  <c r="Z116" i="4"/>
  <c r="Q73" i="16"/>
  <c r="P89" i="16"/>
  <c r="Y57" i="4"/>
  <c r="Y60" i="4" s="1"/>
  <c r="Y62" i="4" s="1"/>
  <c r="U97" i="16"/>
  <c r="U59" i="16"/>
  <c r="W45" i="16" l="1"/>
  <c r="W49" i="16" s="1"/>
  <c r="W69" i="16" s="1"/>
  <c r="W71" i="16" s="1"/>
  <c r="W98" i="16" s="1"/>
  <c r="AA56" i="4"/>
  <c r="X45" i="16"/>
  <c r="X49" i="16" s="1"/>
  <c r="X69" i="16" s="1"/>
  <c r="X71" i="16" s="1"/>
  <c r="AA124" i="4"/>
  <c r="AA70" i="4" s="1"/>
  <c r="AA123" i="4"/>
  <c r="Y21" i="16"/>
  <c r="Y24" i="16" s="1"/>
  <c r="Y36" i="16" s="1"/>
  <c r="Y38" i="16" s="1"/>
  <c r="Y41" i="16" s="1"/>
  <c r="Y43" i="16" s="1"/>
  <c r="Y87" i="4"/>
  <c r="Y80" i="4"/>
  <c r="Z21" i="16"/>
  <c r="Z24" i="16" s="1"/>
  <c r="Z36" i="16" s="1"/>
  <c r="Z38" i="16" s="1"/>
  <c r="Z41" i="16" s="1"/>
  <c r="Z43" i="16" s="1"/>
  <c r="Z80" i="4"/>
  <c r="W56" i="16"/>
  <c r="W58" i="16" s="1"/>
  <c r="AB103" i="4"/>
  <c r="AB104" i="4" s="1"/>
  <c r="AB105" i="4" s="1"/>
  <c r="AB113" i="4"/>
  <c r="AB40" i="4"/>
  <c r="AB49" i="4"/>
  <c r="AB50" i="4" s="1"/>
  <c r="AB53" i="4" s="1"/>
  <c r="AB120" i="4" s="1"/>
  <c r="AA117" i="4"/>
  <c r="AA72" i="4" s="1"/>
  <c r="AA116" i="4"/>
  <c r="R60" i="16"/>
  <c r="Q88" i="16"/>
  <c r="AB27" i="15"/>
  <c r="AB51" i="15"/>
  <c r="D44" i="15"/>
  <c r="D45" i="15" s="1"/>
  <c r="AA57" i="4"/>
  <c r="AA60" i="4" s="1"/>
  <c r="AA62" i="4" s="1"/>
  <c r="Z28" i="16"/>
  <c r="Z155" i="4"/>
  <c r="Y31" i="16"/>
  <c r="Q89" i="16"/>
  <c r="R73" i="16"/>
  <c r="X56" i="16"/>
  <c r="X58" i="16" s="1"/>
  <c r="Z124" i="4"/>
  <c r="Z70" i="4" s="1"/>
  <c r="Z123" i="4"/>
  <c r="W72" i="16" l="1"/>
  <c r="W50" i="16"/>
  <c r="X50" i="16"/>
  <c r="AA21" i="16"/>
  <c r="AA24" i="16" s="1"/>
  <c r="AA36" i="16" s="1"/>
  <c r="AA38" i="16" s="1"/>
  <c r="AA41" i="16" s="1"/>
  <c r="AA43" i="16" s="1"/>
  <c r="AA80" i="4"/>
  <c r="AB123" i="4"/>
  <c r="AB124" i="4"/>
  <c r="AB70" i="4" s="1"/>
  <c r="Z84" i="4"/>
  <c r="Z152" i="4"/>
  <c r="Z159" i="4" s="1"/>
  <c r="Z44" i="16"/>
  <c r="Z48" i="16" s="1"/>
  <c r="Y57" i="16"/>
  <c r="Y70" i="16" s="1"/>
  <c r="AB117" i="4"/>
  <c r="AB72" i="4" s="1"/>
  <c r="AB116" i="4"/>
  <c r="X97" i="16"/>
  <c r="X59" i="16"/>
  <c r="X98" i="16"/>
  <c r="X72" i="16"/>
  <c r="AB56" i="4"/>
  <c r="Y44" i="16"/>
  <c r="Y48" i="16" s="1"/>
  <c r="Z29" i="16"/>
  <c r="Z31" i="16" s="1"/>
  <c r="Z73" i="4"/>
  <c r="Z87" i="4" s="1"/>
  <c r="Z154" i="4"/>
  <c r="AB80" i="15"/>
  <c r="D28" i="15"/>
  <c r="Y84" i="4"/>
  <c r="Y152" i="4"/>
  <c r="Y159" i="4" s="1"/>
  <c r="Y81" i="4"/>
  <c r="Z81" i="4" s="1"/>
  <c r="Y68" i="15"/>
  <c r="Y69" i="15" s="1"/>
  <c r="R88" i="16"/>
  <c r="S60" i="16"/>
  <c r="S73" i="16"/>
  <c r="R89" i="16"/>
  <c r="Y88" i="4"/>
  <c r="W97" i="16"/>
  <c r="W59" i="16"/>
  <c r="AA155" i="4"/>
  <c r="AA28" i="16"/>
  <c r="AA154" i="4"/>
  <c r="AA73" i="4"/>
  <c r="AA87" i="4" s="1"/>
  <c r="AA29" i="16"/>
  <c r="Z88" i="4" l="1"/>
  <c r="Z45" i="16"/>
  <c r="Z49" i="16" s="1"/>
  <c r="Z69" i="16" s="1"/>
  <c r="AA31" i="16"/>
  <c r="AA81" i="4"/>
  <c r="Z57" i="16"/>
  <c r="Z70" i="16" s="1"/>
  <c r="AA68" i="15"/>
  <c r="AA69" i="15" s="1"/>
  <c r="AA57" i="16"/>
  <c r="AA70" i="16" s="1"/>
  <c r="Z68" i="15"/>
  <c r="Z69" i="15" s="1"/>
  <c r="Y56" i="16"/>
  <c r="Y58" i="16" s="1"/>
  <c r="AA88" i="4"/>
  <c r="Y45" i="16"/>
  <c r="Y49" i="16" s="1"/>
  <c r="Y69" i="16" s="1"/>
  <c r="Y71" i="16" s="1"/>
  <c r="AA152" i="4"/>
  <c r="AA159" i="4" s="1"/>
  <c r="AA84" i="4"/>
  <c r="AB28" i="16"/>
  <c r="AB155" i="4"/>
  <c r="E140" i="4" s="1"/>
  <c r="D81" i="15"/>
  <c r="AB57" i="4"/>
  <c r="AB60" i="4" s="1"/>
  <c r="AB62" i="4" s="1"/>
  <c r="AB154" i="4"/>
  <c r="E139" i="4" s="1"/>
  <c r="AB73" i="4"/>
  <c r="AB29" i="16"/>
  <c r="T73" i="16"/>
  <c r="S89" i="16"/>
  <c r="S88" i="16"/>
  <c r="T60" i="16"/>
  <c r="Z56" i="16"/>
  <c r="AA44" i="16"/>
  <c r="AA48" i="16" s="1"/>
  <c r="Z71" i="16" l="1"/>
  <c r="Z98" i="16" s="1"/>
  <c r="Z50" i="16"/>
  <c r="Y50" i="16"/>
  <c r="AA45" i="16"/>
  <c r="AA49" i="16" s="1"/>
  <c r="AA69" i="16" s="1"/>
  <c r="AA71" i="16" s="1"/>
  <c r="AB31" i="16"/>
  <c r="AB57" i="16" s="1"/>
  <c r="AB70" i="16" s="1"/>
  <c r="Z58" i="16"/>
  <c r="Z97" i="16" s="1"/>
  <c r="AB21" i="16"/>
  <c r="AB87" i="4"/>
  <c r="AB88" i="4" s="1"/>
  <c r="AB80" i="4"/>
  <c r="Z72" i="16"/>
  <c r="Y97" i="16"/>
  <c r="Y59" i="16"/>
  <c r="Y98" i="16"/>
  <c r="Y72" i="16"/>
  <c r="AA56" i="16"/>
  <c r="AA58" i="16" s="1"/>
  <c r="U73" i="16"/>
  <c r="T89" i="16"/>
  <c r="U60" i="16"/>
  <c r="T88" i="16"/>
  <c r="Z59" i="16" l="1"/>
  <c r="AA50" i="16"/>
  <c r="AB23" i="16"/>
  <c r="AB152" i="4"/>
  <c r="AB84" i="4"/>
  <c r="C84" i="4" s="1"/>
  <c r="C82" i="4"/>
  <c r="C83" i="4"/>
  <c r="P27" i="1" s="1"/>
  <c r="AB81" i="4"/>
  <c r="V60" i="16"/>
  <c r="U88" i="16"/>
  <c r="AA98" i="16"/>
  <c r="AA72" i="16"/>
  <c r="AB68" i="15"/>
  <c r="AA31" i="15"/>
  <c r="AB31" i="15"/>
  <c r="C89" i="4"/>
  <c r="P25" i="1" s="1"/>
  <c r="C90" i="4"/>
  <c r="P26" i="1" s="1"/>
  <c r="J31" i="15"/>
  <c r="K31" i="15"/>
  <c r="M31" i="15"/>
  <c r="L31" i="15"/>
  <c r="N31" i="15"/>
  <c r="O31" i="15"/>
  <c r="P31" i="15"/>
  <c r="Q31" i="15"/>
  <c r="S31" i="15"/>
  <c r="W31" i="15"/>
  <c r="T31" i="15"/>
  <c r="R31" i="15"/>
  <c r="Y31" i="15"/>
  <c r="Z31" i="15"/>
  <c r="X31" i="15"/>
  <c r="V31" i="15"/>
  <c r="U31" i="15"/>
  <c r="V73" i="16"/>
  <c r="U89" i="16"/>
  <c r="AA97" i="16"/>
  <c r="AA59" i="16"/>
  <c r="AB24" i="16"/>
  <c r="AB36" i="16" s="1"/>
  <c r="AB38" i="16" s="1"/>
  <c r="AB41" i="16" s="1"/>
  <c r="AB43" i="16" s="1"/>
  <c r="U34" i="15" l="1"/>
  <c r="U50" i="15"/>
  <c r="U53" i="15" s="1"/>
  <c r="S50" i="15"/>
  <c r="S53" i="15" s="1"/>
  <c r="S34" i="15"/>
  <c r="J50" i="15"/>
  <c r="J53" i="15" s="1"/>
  <c r="C57" i="15" s="1"/>
  <c r="J34" i="15"/>
  <c r="Z60" i="1" s="1"/>
  <c r="P41" i="1"/>
  <c r="X34" i="15"/>
  <c r="X50" i="15"/>
  <c r="X53" i="15" s="1"/>
  <c r="P34" i="15"/>
  <c r="P50" i="15"/>
  <c r="P53" i="15" s="1"/>
  <c r="AB44" i="16"/>
  <c r="AB48" i="16" s="1"/>
  <c r="O50" i="15"/>
  <c r="O53" i="15" s="1"/>
  <c r="O34" i="15"/>
  <c r="Y34" i="15"/>
  <c r="Y50" i="15"/>
  <c r="Y53" i="15" s="1"/>
  <c r="P30" i="1"/>
  <c r="P59" i="1"/>
  <c r="Z50" i="15"/>
  <c r="Z53" i="15" s="1"/>
  <c r="Z34" i="15"/>
  <c r="AB50" i="15"/>
  <c r="AB53" i="15" s="1"/>
  <c r="C61" i="15" s="1"/>
  <c r="C89" i="15" s="1"/>
  <c r="AB34" i="15"/>
  <c r="N34" i="15"/>
  <c r="N50" i="15"/>
  <c r="N53" i="15" s="1"/>
  <c r="AB159" i="4"/>
  <c r="E137" i="4"/>
  <c r="V34" i="15"/>
  <c r="V50" i="15"/>
  <c r="V53" i="15" s="1"/>
  <c r="Q34" i="15"/>
  <c r="Q50" i="15"/>
  <c r="Q53" i="15" s="1"/>
  <c r="V88" i="16"/>
  <c r="W60" i="16"/>
  <c r="AA50" i="15"/>
  <c r="AA53" i="15" s="1"/>
  <c r="AA34" i="15"/>
  <c r="R50" i="15"/>
  <c r="R53" i="15" s="1"/>
  <c r="C59" i="15" s="1"/>
  <c r="C87" i="15" s="1"/>
  <c r="R34" i="15"/>
  <c r="L50" i="15"/>
  <c r="L53" i="15" s="1"/>
  <c r="L34" i="15"/>
  <c r="AB69" i="15"/>
  <c r="C71" i="15" s="1"/>
  <c r="Z67" i="1" s="1"/>
  <c r="C70" i="15"/>
  <c r="T34" i="15"/>
  <c r="T50" i="15"/>
  <c r="T53" i="15" s="1"/>
  <c r="M34" i="15"/>
  <c r="AA60" i="1" s="1"/>
  <c r="M50" i="15"/>
  <c r="M53" i="15" s="1"/>
  <c r="C58" i="15" s="1"/>
  <c r="W73" i="16"/>
  <c r="V89" i="16"/>
  <c r="W50" i="15"/>
  <c r="W53" i="15" s="1"/>
  <c r="C60" i="15" s="1"/>
  <c r="C88" i="15" s="1"/>
  <c r="W34" i="15"/>
  <c r="K50" i="15"/>
  <c r="K53" i="15" s="1"/>
  <c r="K34" i="15"/>
  <c r="C86" i="15" l="1"/>
  <c r="AA62" i="1"/>
  <c r="C85" i="15"/>
  <c r="Z62" i="1"/>
  <c r="C93" i="1"/>
  <c r="AB45" i="16"/>
  <c r="AB49" i="16" s="1"/>
  <c r="AB69" i="16" s="1"/>
  <c r="Z66" i="1"/>
  <c r="X60" i="16"/>
  <c r="W88" i="16"/>
  <c r="W89" i="16"/>
  <c r="X73" i="16"/>
  <c r="AB56" i="16"/>
  <c r="E141" i="4"/>
  <c r="AB71" i="16" l="1"/>
  <c r="C77" i="16"/>
  <c r="O53" i="1" s="1"/>
  <c r="C76" i="16"/>
  <c r="Y73" i="16"/>
  <c r="X89" i="16"/>
  <c r="D138" i="4"/>
  <c r="D140" i="4"/>
  <c r="D139" i="4"/>
  <c r="X88" i="16"/>
  <c r="Y60" i="16"/>
  <c r="AB50" i="16"/>
  <c r="AB58" i="16"/>
  <c r="C64" i="16"/>
  <c r="P53" i="1" s="1"/>
  <c r="C63" i="16"/>
  <c r="D137" i="4"/>
  <c r="D141" i="4" l="1"/>
  <c r="AB97" i="16"/>
  <c r="C62" i="16"/>
  <c r="P51" i="1" s="1"/>
  <c r="P70" i="1" s="1"/>
  <c r="C61" i="16"/>
  <c r="P52" i="1" s="1"/>
  <c r="AB59" i="16"/>
  <c r="Y89" i="16"/>
  <c r="Z73" i="16"/>
  <c r="Y88" i="16"/>
  <c r="Z60" i="16"/>
  <c r="AB98" i="16"/>
  <c r="C74" i="16"/>
  <c r="O52" i="1" s="1"/>
  <c r="C75" i="16"/>
  <c r="O51" i="1" s="1"/>
  <c r="AB72" i="16"/>
  <c r="AA73" i="16" l="1"/>
  <c r="Z89" i="16"/>
  <c r="AA60" i="16"/>
  <c r="Z88" i="16"/>
  <c r="AA88" i="16" l="1"/>
  <c r="AB60" i="16"/>
  <c r="AB88" i="16" s="1"/>
  <c r="AB73" i="16"/>
  <c r="AB89" i="16" s="1"/>
  <c r="AA8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tc={DDCFB9D7-9ECE-5C44-A1FA-68D8FAC050BB}</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DDCFB9D7-9ECE-5C44-A1FA-68D8FAC050BB}">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<sst xmlns="http://schemas.openxmlformats.org/spreadsheetml/2006/main" count="591" uniqueCount="477">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</sst>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6" formatCode="&quot;$&quot;#,##0_);[Red]\(&quot;$&quot;#,##0\)"/>
    <numFmt numFmtId="7" formatCode="&quot;$&quot;#,##0.00_);\(&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8">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6" fontId="35" fillId="16" borderId="2" xfId="0" applyNumberFormat="1" applyFont="1" applyFill="1" applyBorder="1"/>
    <xf numFmtId="6" fontId="35" fillId="16" borderId="0" xfId="0" applyNumberFormat="1" applyFont="1" applyFill="1"/>
    <xf numFmtId="0" fontId="34" fillId="0" borderId="2" xfId="0" applyFont="1" applyBorder="1"/>
    <xf numFmtId="0" fontId="36" fillId="0" borderId="84" xfId="0" applyFont="1" applyBorder="1"/>
    <xf numFmtId="0" fontId="36" fillId="0" borderId="81" xfId="0" applyFont="1" applyBorder="1"/>
    <xf numFmtId="0" fontId="34" fillId="0" borderId="82" xfId="0" applyFont="1" applyBorder="1"/>
    <xf numFmtId="164" fontId="32" fillId="10" borderId="53" xfId="4" applyNumberFormat="1" applyBorder="1" applyProtection="1">
      <protection locked="0"/>
    </xf>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42" xfId="0" applyFont="1" applyFill="1" applyBorder="1" applyAlignment="1">
      <alignment horizont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9" fillId="4" borderId="0" xfId="0" applyFont="1" applyFill="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9" fillId="4" borderId="5" xfId="0" applyFont="1" applyFill="1" applyBorder="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-516721.91375344113</c:v>
                </c:pt>
                <c:pt idx="1">
                  <c:v>-341215.83165725251</c:v>
                </c:pt>
                <c:pt idx="2">
                  <c:v>-295238.55166376778</c:v>
                </c:pt>
                <c:pt idx="3">
                  <c:v>-260667.71211904593</c:v>
                </c:pt>
                <c:pt idx="4">
                  <c:v>-232802.19177732751</c:v>
                </c:pt>
                <c:pt idx="5">
                  <c:v>-204593.45182794065</c:v>
                </c:pt>
                <c:pt idx="6">
                  <c:v>-181316.08160512097</c:v>
                </c:pt>
                <c:pt idx="7">
                  <c:v>-162963.13801929183</c:v>
                </c:pt>
                <c:pt idx="8">
                  <c:v>-144246.14287849824</c:v>
                </c:pt>
                <c:pt idx="9">
                  <c:v>-125157.8749220614</c:v>
                </c:pt>
                <c:pt idx="10">
                  <c:v>-105690.96965202596</c:v>
                </c:pt>
                <c:pt idx="11">
                  <c:v>-85837.916492024873</c:v>
                </c:pt>
                <c:pt idx="12">
                  <c:v>-65591.055889790616</c:v>
                </c:pt>
                <c:pt idx="13">
                  <c:v>-44942.576362195221</c:v>
                </c:pt>
                <c:pt idx="14">
                  <c:v>-23884.511481679307</c:v>
                </c:pt>
                <c:pt idx="15">
                  <c:v>-2408.7368029073805</c:v>
                </c:pt>
                <c:pt idx="16">
                  <c:v>19493.033271536002</c:v>
                </c:pt>
                <c:pt idx="17">
                  <c:v>41829.248687618434</c:v>
                </c:pt>
                <c:pt idx="18">
                  <c:v>64608.526999733178</c:v>
                </c:pt>
                <c:pt idx="19">
                  <c:v>87839.656695231635</c:v>
                </c:pt>
                <c:pt idx="20">
                  <c:v>111531.60058489715</c:v>
                </c:pt>
                <c:pt idx="21">
                  <c:v>135693.49926066821</c:v>
                </c:pt>
                <c:pt idx="22">
                  <c:v>160334.67462194458</c:v>
                </c:pt>
                <c:pt idx="23">
                  <c:v>185464.63347183721</c:v>
                </c:pt>
                <c:pt idx="24">
                  <c:v>211093.07118474855</c:v>
                </c:pt>
                <c:pt idx="25">
                  <c:v>314738.16250971478</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516721.91375344113</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3887.4071055445561</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252.02710035484051</c:v>
                </c:pt>
                <c:pt idx="1">
                  <c:v>257.03613897439209</c:v>
                </c:pt>
                <c:pt idx="2">
                  <c:v>262.1447322365093</c:v>
                </c:pt>
                <c:pt idx="3">
                  <c:v>267.35485878971303</c:v>
                </c:pt>
                <c:pt idx="4">
                  <c:v>272.66853660815468</c:v>
                </c:pt>
                <c:pt idx="5">
                  <c:v>278.08782377323951</c:v>
                </c:pt>
                <c:pt idx="6">
                  <c:v>283.61481927073328</c:v>
                </c:pt>
                <c:pt idx="7">
                  <c:v>289.25166380373412</c:v>
                </c:pt>
                <c:pt idx="8">
                  <c:v>295.00054062184063</c:v>
                </c:pt>
                <c:pt idx="9">
                  <c:v>300.86367636669456</c:v>
                </c:pt>
                <c:pt idx="10">
                  <c:v>306.84334193448012</c:v>
                </c:pt>
                <c:pt idx="11">
                  <c:v>312.94185335543443</c:v>
                </c:pt>
                <c:pt idx="12">
                  <c:v>319.16157269087125</c:v>
                </c:pt>
                <c:pt idx="13">
                  <c:v>325.50490894809627</c:v>
                </c:pt>
                <c:pt idx="14">
                  <c:v>331.97431901343953</c:v>
                </c:pt>
                <c:pt idx="15">
                  <c:v>338.57230860383424</c:v>
                </c:pt>
                <c:pt idx="16">
                  <c:v>345.30143323734228</c:v>
                </c:pt>
                <c:pt idx="17">
                  <c:v>352.16429922293173</c:v>
                </c:pt>
                <c:pt idx="18">
                  <c:v>359.16356466998695</c:v>
                </c:pt>
                <c:pt idx="19">
                  <c:v>366.30194051780563</c:v>
                </c:pt>
                <c:pt idx="20">
                  <c:v>373.5821915855995</c:v>
                </c:pt>
                <c:pt idx="21">
                  <c:v>381.00713764336979</c:v>
                </c:pt>
                <c:pt idx="22">
                  <c:v>388.57965450402116</c:v>
                </c:pt>
                <c:pt idx="23">
                  <c:v>396.30267513729632</c:v>
                </c:pt>
                <c:pt idx="24">
                  <c:v>404.17919080564752</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4341619.9345465563</c:v>
                </c:pt>
                <c:pt idx="1">
                  <c:v>4343663.2345465561</c:v>
                </c:pt>
                <c:pt idx="2">
                  <c:v>4345696.3180465559</c:v>
                </c:pt>
                <c:pt idx="3">
                  <c:v>4347719.2361290557</c:v>
                </c:pt>
                <c:pt idx="4">
                  <c:v>4349732.0396211436</c:v>
                </c:pt>
                <c:pt idx="5">
                  <c:v>4351734.7790957708</c:v>
                </c:pt>
                <c:pt idx="6">
                  <c:v>4353727.5048730243</c:v>
                </c:pt>
                <c:pt idx="7">
                  <c:v>4355710.2670213925</c:v>
                </c:pt>
                <c:pt idx="8">
                  <c:v>4357683.1153590176</c:v>
                </c:pt>
                <c:pt idx="9">
                  <c:v>4359646.0994549552</c:v>
                </c:pt>
                <c:pt idx="10">
                  <c:v>4361599.2686304133</c:v>
                </c:pt>
                <c:pt idx="11">
                  <c:v>4363542.6719599944</c:v>
                </c:pt>
                <c:pt idx="12">
                  <c:v>4365476.3582729269</c:v>
                </c:pt>
                <c:pt idx="13">
                  <c:v>4367400.3761542952</c:v>
                </c:pt>
                <c:pt idx="14">
                  <c:v>4369314.7739462564</c:v>
                </c:pt>
                <c:pt idx="15">
                  <c:v>4371219.5997492578</c:v>
                </c:pt>
                <c:pt idx="16">
                  <c:v>4373114.9014232447</c:v>
                </c:pt>
                <c:pt idx="17">
                  <c:v>4375000.7265888611</c:v>
                </c:pt>
                <c:pt idx="18">
                  <c:v>4376877.1226286497</c:v>
                </c:pt>
                <c:pt idx="19">
                  <c:v>4378744.1366882389</c:v>
                </c:pt>
                <c:pt idx="20">
                  <c:v>4380601.8156775311</c:v>
                </c:pt>
                <c:pt idx="21">
                  <c:v>4382450.2062718756</c:v>
                </c:pt>
                <c:pt idx="22">
                  <c:v>4384289.3549132496</c:v>
                </c:pt>
                <c:pt idx="23">
                  <c:v>4386119.3078114158</c:v>
                </c:pt>
                <c:pt idx="24">
                  <c:v>4387940.1109450916</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408659.99999999942</c:v>
                </c:pt>
                <c:pt idx="1">
                  <c:v>406616.69999999943</c:v>
                </c:pt>
                <c:pt idx="2">
                  <c:v>404583.61649999942</c:v>
                </c:pt>
                <c:pt idx="3">
                  <c:v>402560.69841749943</c:v>
                </c:pt>
                <c:pt idx="4">
                  <c:v>400547.89492541191</c:v>
                </c:pt>
                <c:pt idx="5">
                  <c:v>398545.15545078483</c:v>
                </c:pt>
                <c:pt idx="6">
                  <c:v>396552.42967353092</c:v>
                </c:pt>
                <c:pt idx="7">
                  <c:v>394569.66752516327</c:v>
                </c:pt>
                <c:pt idx="8">
                  <c:v>392596.81918753748</c:v>
                </c:pt>
                <c:pt idx="9">
                  <c:v>390633.83509159979</c:v>
                </c:pt>
                <c:pt idx="10">
                  <c:v>388680.66591614176</c:v>
                </c:pt>
                <c:pt idx="11">
                  <c:v>386737.26258656103</c:v>
                </c:pt>
                <c:pt idx="12">
                  <c:v>384803.57627362822</c:v>
                </c:pt>
                <c:pt idx="13">
                  <c:v>382879.55839226005</c:v>
                </c:pt>
                <c:pt idx="14">
                  <c:v>380965.16060029872</c:v>
                </c:pt>
                <c:pt idx="15">
                  <c:v>379060.33479729726</c:v>
                </c:pt>
                <c:pt idx="16">
                  <c:v>377165.03312331077</c:v>
                </c:pt>
                <c:pt idx="17">
                  <c:v>375279.20795769419</c:v>
                </c:pt>
                <c:pt idx="18">
                  <c:v>373402.8119179057</c:v>
                </c:pt>
                <c:pt idx="19">
                  <c:v>371535.79785831616</c:v>
                </c:pt>
                <c:pt idx="20">
                  <c:v>369678.11886902456</c:v>
                </c:pt>
                <c:pt idx="21">
                  <c:v>367829.72827467945</c:v>
                </c:pt>
                <c:pt idx="22">
                  <c:v>365990.57963330607</c:v>
                </c:pt>
                <c:pt idx="23">
                  <c:v>364160.62673513952</c:v>
                </c:pt>
                <c:pt idx="24">
                  <c:v>362339.82360146381</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4341619.9345465563</c:v>
                </c:pt>
                <c:pt idx="1">
                  <c:v>408659.99999999942</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0.6019950740740494</c:v>
                </c:pt>
                <c:pt idx="1">
                  <c:v>0.28476292877256315</c:v>
                </c:pt>
                <c:pt idx="2">
                  <c:v>0.10350737498242166</c:v>
                </c:pt>
                <c:pt idx="3">
                  <c:v>9.7346221709658509E-3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21178.323562712052</c:v>
                </c:pt>
                <c:pt idx="1">
                  <c:v>21598.420542770953</c:v>
                </c:pt>
                <c:pt idx="2">
                  <c:v>22026.850506293529</c:v>
                </c:pt>
                <c:pt idx="3">
                  <c:v>22463.778742445807</c:v>
                </c:pt>
                <c:pt idx="4">
                  <c:v>22909.373818938406</c:v>
                </c:pt>
                <c:pt idx="5">
                  <c:v>23277.370222819682</c:v>
                </c:pt>
                <c:pt idx="6">
                  <c:v>18352.94358582914</c:v>
                </c:pt>
                <c:pt idx="7">
                  <c:v>18716.995140793573</c:v>
                </c:pt>
                <c:pt idx="8">
                  <c:v>19088.267956436848</c:v>
                </c:pt>
                <c:pt idx="9">
                  <c:v>19466.905270035437</c:v>
                </c:pt>
                <c:pt idx="10">
                  <c:v>19853.053160001084</c:v>
                </c:pt>
                <c:pt idx="11">
                  <c:v>20246.860602234261</c:v>
                </c:pt>
                <c:pt idx="12">
                  <c:v>20648.479527595395</c:v>
                </c:pt>
                <c:pt idx="13">
                  <c:v>21058.064880515914</c:v>
                </c:pt>
                <c:pt idx="14">
                  <c:v>21475.774678771926</c:v>
                </c:pt>
                <c:pt idx="15">
                  <c:v>21901.770074443382</c:v>
                </c:pt>
                <c:pt idx="16">
                  <c:v>22336.215416082432</c:v>
                </c:pt>
                <c:pt idx="17">
                  <c:v>22779.278312114744</c:v>
                </c:pt>
                <c:pt idx="18">
                  <c:v>23231.129695498457</c:v>
                </c:pt>
                <c:pt idx="19">
                  <c:v>23691.943889665519</c:v>
                </c:pt>
                <c:pt idx="20">
                  <c:v>24161.898675771045</c:v>
                </c:pt>
                <c:pt idx="21">
                  <c:v>24641.175361276375</c:v>
                </c:pt>
                <c:pt idx="22">
                  <c:v>25129.958849892624</c:v>
                </c:pt>
                <c:pt idx="23">
                  <c:v>25628.437712911327</c:v>
                </c:pt>
                <c:pt idx="24">
                  <c:v>103645.09132496623</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-232731.5499545499</c:v>
                </c:pt>
                <c:pt idx="1">
                  <c:v>162220.32440866696</c:v>
                </c:pt>
                <c:pt idx="2">
                  <c:v>33612.503917757698</c:v>
                </c:pt>
                <c:pt idx="3">
                  <c:v>21938.39677598382</c:v>
                </c:pt>
                <c:pt idx="4">
                  <c:v>14910.827706598764</c:v>
                </c:pt>
                <c:pt idx="5">
                  <c:v>14853.589905035598</c:v>
                </c:pt>
                <c:pt idx="6">
                  <c:v>1163.8685111409841</c:v>
                </c:pt>
                <c:pt idx="7">
                  <c:v>917.64717929145706</c:v>
                </c:pt>
                <c:pt idx="8">
                  <c:v>935.84975703967871</c:v>
                </c:pt>
                <c:pt idx="9">
                  <c:v>954.41339782184241</c:v>
                </c:pt>
                <c:pt idx="10">
                  <c:v>973.34526350177191</c:v>
                </c:pt>
                <c:pt idx="11">
                  <c:v>992.6526580000542</c:v>
                </c:pt>
                <c:pt idx="12">
                  <c:v>1012.3430301117131</c:v>
                </c:pt>
                <c:pt idx="13">
                  <c:v>1032.4239763797698</c:v>
                </c:pt>
                <c:pt idx="14">
                  <c:v>1052.9032440257959</c:v>
                </c:pt>
                <c:pt idx="15">
                  <c:v>1073.7887339385964</c:v>
                </c:pt>
                <c:pt idx="16">
                  <c:v>1095.0885037221692</c:v>
                </c:pt>
                <c:pt idx="17">
                  <c:v>1116.8107708041216</c:v>
                </c:pt>
                <c:pt idx="18">
                  <c:v>1138.9639156057372</c:v>
                </c:pt>
                <c:pt idx="19">
                  <c:v>1161.5564847749229</c:v>
                </c:pt>
                <c:pt idx="20">
                  <c:v>1184.5971944832761</c:v>
                </c:pt>
                <c:pt idx="21">
                  <c:v>1208.0949337885522</c:v>
                </c:pt>
                <c:pt idx="22">
                  <c:v>1232.0587680638189</c:v>
                </c:pt>
                <c:pt idx="23">
                  <c:v>1256.4979424946314</c:v>
                </c:pt>
                <c:pt idx="24">
                  <c:v>1281.4218856455664</c:v>
                </c:pt>
                <c:pt idx="25">
                  <c:v>5182.2545662483117</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-283990.36379889125</c:v>
                </c:pt>
                <c:pt idx="1">
                  <c:v>13285.757687521584</c:v>
                </c:pt>
                <c:pt idx="2">
                  <c:v>12364.776075727037</c:v>
                </c:pt>
                <c:pt idx="3">
                  <c:v>12632.442768738021</c:v>
                </c:pt>
                <c:pt idx="4">
                  <c:v>12954.692635119667</c:v>
                </c:pt>
                <c:pt idx="5">
                  <c:v>13355.150044351258</c:v>
                </c:pt>
                <c:pt idx="6">
                  <c:v>22113.501711678698</c:v>
                </c:pt>
                <c:pt idx="7">
                  <c:v>17435.296406537684</c:v>
                </c:pt>
                <c:pt idx="8">
                  <c:v>17781.145383753894</c:v>
                </c:pt>
                <c:pt idx="9">
                  <c:v>18133.854558615007</c:v>
                </c:pt>
                <c:pt idx="10">
                  <c:v>18493.560006533666</c:v>
                </c:pt>
                <c:pt idx="11">
                  <c:v>18860.40050200103</c:v>
                </c:pt>
                <c:pt idx="12">
                  <c:v>19234.51757212255</c:v>
                </c:pt>
                <c:pt idx="13">
                  <c:v>19616.055551215624</c:v>
                </c:pt>
                <c:pt idx="14">
                  <c:v>20005.16163649012</c:v>
                </c:pt>
                <c:pt idx="15">
                  <c:v>20401.98594483333</c:v>
                </c:pt>
                <c:pt idx="16">
                  <c:v>20806.681570721212</c:v>
                </c:pt>
                <c:pt idx="17">
                  <c:v>21219.404645278311</c:v>
                </c:pt>
                <c:pt idx="18">
                  <c:v>21640.314396509006</c:v>
                </c:pt>
                <c:pt idx="19">
                  <c:v>22069.573210723534</c:v>
                </c:pt>
                <c:pt idx="20">
                  <c:v>22507.346695182245</c:v>
                </c:pt>
                <c:pt idx="21">
                  <c:v>22953.80374198249</c:v>
                </c:pt>
                <c:pt idx="22">
                  <c:v>23409.116593212555</c:v>
                </c:pt>
                <c:pt idx="23">
                  <c:v>23873.460907397992</c:v>
                </c:pt>
                <c:pt idx="24">
                  <c:v>24347.015827265761</c:v>
                </c:pt>
                <c:pt idx="25">
                  <c:v>98462.836758717909</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-232731.5499545499</c:v>
                </c:pt>
                <c:pt idx="1">
                  <c:v>-70511.225545882946</c:v>
                </c:pt>
                <c:pt idx="2">
                  <c:v>-36898.721628125248</c:v>
                </c:pt>
                <c:pt idx="3">
                  <c:v>-14960.324852141428</c:v>
                </c:pt>
                <c:pt idx="4">
                  <c:v>-49.49714554266393</c:v>
                </c:pt>
                <c:pt idx="5">
                  <c:v>14804.092759492934</c:v>
                </c:pt>
                <c:pt idx="6">
                  <c:v>15967.961270633918</c:v>
                </c:pt>
                <c:pt idx="7">
                  <c:v>16885.608449925374</c:v>
                </c:pt>
                <c:pt idx="8">
                  <c:v>17821.458206965053</c:v>
                </c:pt>
                <c:pt idx="9">
                  <c:v>18775.871604786895</c:v>
                </c:pt>
                <c:pt idx="10">
                  <c:v>19749.216868288666</c:v>
                </c:pt>
                <c:pt idx="11">
                  <c:v>20741.869526288719</c:v>
                </c:pt>
                <c:pt idx="12">
                  <c:v>21754.212556400431</c:v>
                </c:pt>
                <c:pt idx="13">
                  <c:v>22786.636532780201</c:v>
                </c:pt>
                <c:pt idx="14">
                  <c:v>23839.539776805996</c:v>
                </c:pt>
                <c:pt idx="15">
                  <c:v>24913.328510744592</c:v>
                </c:pt>
                <c:pt idx="16">
                  <c:v>26008.417014466762</c:v>
                </c:pt>
                <c:pt idx="17">
                  <c:v>27125.227785270883</c:v>
                </c:pt>
                <c:pt idx="18">
                  <c:v>28264.191700876621</c:v>
                </c:pt>
                <c:pt idx="19">
                  <c:v>29425.748185651544</c:v>
                </c:pt>
                <c:pt idx="20">
                  <c:v>30610.345380134819</c:v>
                </c:pt>
                <c:pt idx="21">
                  <c:v>31818.440313923369</c:v>
                </c:pt>
                <c:pt idx="22">
                  <c:v>33050.499081987189</c:v>
                </c:pt>
                <c:pt idx="23">
                  <c:v>34306.997024481818</c:v>
                </c:pt>
                <c:pt idx="24">
                  <c:v>35588.418910127381</c:v>
                </c:pt>
                <c:pt idx="25">
                  <c:v>40770.67347637569</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-283990.36379889125</c:v>
                </c:pt>
                <c:pt idx="1">
                  <c:v>-270704.60611136968</c:v>
                </c:pt>
                <c:pt idx="2">
                  <c:v>-258339.83003564263</c:v>
                </c:pt>
                <c:pt idx="3">
                  <c:v>-245707.38726690461</c:v>
                </c:pt>
                <c:pt idx="4">
                  <c:v>-232752.69463178495</c:v>
                </c:pt>
                <c:pt idx="5">
                  <c:v>-219397.54458743369</c:v>
                </c:pt>
                <c:pt idx="6">
                  <c:v>-197284.042875755</c:v>
                </c:pt>
                <c:pt idx="7">
                  <c:v>-179848.74646921732</c:v>
                </c:pt>
                <c:pt idx="8">
                  <c:v>-162067.60108546342</c:v>
                </c:pt>
                <c:pt idx="9">
                  <c:v>-143933.74652684841</c:v>
                </c:pt>
                <c:pt idx="10">
                  <c:v>-125440.18652031475</c:v>
                </c:pt>
                <c:pt idx="11">
                  <c:v>-106579.78601831372</c:v>
                </c:pt>
                <c:pt idx="12">
                  <c:v>-87345.26844619117</c:v>
                </c:pt>
                <c:pt idx="13">
                  <c:v>-67729.212894975542</c:v>
                </c:pt>
                <c:pt idx="14">
                  <c:v>-47724.051258485422</c:v>
                </c:pt>
                <c:pt idx="15">
                  <c:v>-27322.065313652092</c:v>
                </c:pt>
                <c:pt idx="16">
                  <c:v>-6515.3837429308805</c:v>
                </c:pt>
                <c:pt idx="17">
                  <c:v>14704.020902347431</c:v>
                </c:pt>
                <c:pt idx="18">
                  <c:v>36344.335298856437</c:v>
                </c:pt>
                <c:pt idx="19">
                  <c:v>58413.908509579967</c:v>
                </c:pt>
                <c:pt idx="20">
                  <c:v>80921.255204762216</c:v>
                </c:pt>
                <c:pt idx="21">
                  <c:v>103875.05894674471</c:v>
                </c:pt>
                <c:pt idx="22">
                  <c:v>127284.17553995727</c:v>
                </c:pt>
                <c:pt idx="23">
                  <c:v>151157.63644735527</c:v>
                </c:pt>
                <c:pt idx="24">
                  <c:v>175504.65227462104</c:v>
                </c:pt>
                <c:pt idx="25">
                  <c:v>273967.48903333896</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232731.5499545499</c:v>
                </c:pt>
                <c:pt idx="1">
                  <c:v>283990.36379889125</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171778.35399487682</c:v>
                </c:pt>
                <c:pt idx="1">
                  <c:v>26818.847790151194</c:v>
                </c:pt>
                <c:pt idx="2">
                  <c:v>16091.308674090717</c:v>
                </c:pt>
                <c:pt idx="3">
                  <c:v>9654.7852044544306</c:v>
                </c:pt>
                <c:pt idx="4">
                  <c:v>9654.7852044544306</c:v>
                </c:pt>
                <c:pt idx="5">
                  <c:v>4827.3926022272153</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21178.323562712052</c:v>
                </c:pt>
                <c:pt idx="1">
                  <c:v>21598.420542770957</c:v>
                </c:pt>
                <c:pt idx="2">
                  <c:v>22026.850506293522</c:v>
                </c:pt>
                <c:pt idx="3">
                  <c:v>22463.778742445807</c:v>
                </c:pt>
                <c:pt idx="4">
                  <c:v>22909.373818938406</c:v>
                </c:pt>
                <c:pt idx="5">
                  <c:v>23363.80764705603</c:v>
                </c:pt>
                <c:pt idx="6">
                  <c:v>23827.255547976813</c:v>
                </c:pt>
                <c:pt idx="7">
                  <c:v>24299.896320407108</c:v>
                </c:pt>
                <c:pt idx="8">
                  <c:v>24781.912309557738</c:v>
                </c:pt>
                <c:pt idx="9">
                  <c:v>25273.489477488394</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171778.35399487682</c:v>
                </c:pt>
                <c:pt idx="1">
                  <c:v>26818.847790151194</c:v>
                </c:pt>
                <c:pt idx="2">
                  <c:v>16091.308674090717</c:v>
                </c:pt>
                <c:pt idx="3">
                  <c:v>9654.7852044544306</c:v>
                </c:pt>
                <c:pt idx="4">
                  <c:v>9654.7852044544306</c:v>
                </c:pt>
                <c:pt idx="5">
                  <c:v>4827.3926022272153</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150600.03043216476</c:v>
                </c:pt>
                <c:pt idx="1">
                  <c:v>155820.45767954498</c:v>
                </c:pt>
                <c:pt idx="2">
                  <c:v>149884.91584734217</c:v>
                </c:pt>
                <c:pt idx="3">
                  <c:v>137075.9223093508</c:v>
                </c:pt>
                <c:pt idx="4">
                  <c:v>123821.33369486684</c:v>
                </c:pt>
                <c:pt idx="5">
                  <c:v>105284.91865003803</c:v>
                </c:pt>
                <c:pt idx="6">
                  <c:v>81457.663102061226</c:v>
                </c:pt>
                <c:pt idx="7">
                  <c:v>57157.766781654122</c:v>
                </c:pt>
                <c:pt idx="8">
                  <c:v>32375.854472096384</c:v>
                </c:pt>
                <c:pt idx="9">
                  <c:v>7102.3649946079895</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6.4230132116856881E-2</c:v>
                </c:pt>
                <c:pt idx="1">
                  <c:v>5.9921503919419229E-2</c:v>
                </c:pt>
                <c:pt idx="2">
                  <c:v>6.8998893254983359E-2</c:v>
                </c:pt>
                <c:pt idx="3">
                  <c:v>8.3555060822166877E-2</c:v>
                </c:pt>
                <c:pt idx="4">
                  <c:v>9.6670065956400764E-2</c:v>
                </c:pt>
                <c:pt idx="5">
                  <c:v>0.11034078496741632</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3887.4071055445561</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252.02710035484051</c:v>
                </c:pt>
                <c:pt idx="1">
                  <c:v>257.03613897439209</c:v>
                </c:pt>
                <c:pt idx="2">
                  <c:v>262.1447322365093</c:v>
                </c:pt>
                <c:pt idx="3">
                  <c:v>267.35485878971303</c:v>
                </c:pt>
                <c:pt idx="4">
                  <c:v>272.66853660815468</c:v>
                </c:pt>
                <c:pt idx="5">
                  <c:v>278.08782377323951</c:v>
                </c:pt>
                <c:pt idx="6">
                  <c:v>283.61481927073328</c:v>
                </c:pt>
                <c:pt idx="7">
                  <c:v>289.25166380373412</c:v>
                </c:pt>
                <c:pt idx="8">
                  <c:v>295.00054062184063</c:v>
                </c:pt>
                <c:pt idx="9">
                  <c:v>300.86367636669456</c:v>
                </c:pt>
                <c:pt idx="10">
                  <c:v>306.84334193448012</c:v>
                </c:pt>
                <c:pt idx="11">
                  <c:v>312.94185335543443</c:v>
                </c:pt>
                <c:pt idx="12">
                  <c:v>319.16157269087125</c:v>
                </c:pt>
                <c:pt idx="13">
                  <c:v>325.50490894809627</c:v>
                </c:pt>
                <c:pt idx="14">
                  <c:v>331.97431901343953</c:v>
                </c:pt>
                <c:pt idx="15">
                  <c:v>338.57230860383424</c:v>
                </c:pt>
                <c:pt idx="16">
                  <c:v>345.30143323734228</c:v>
                </c:pt>
                <c:pt idx="17">
                  <c:v>352.16429922293173</c:v>
                </c:pt>
                <c:pt idx="18">
                  <c:v>359.16356466998695</c:v>
                </c:pt>
                <c:pt idx="19">
                  <c:v>366.30194051780563</c:v>
                </c:pt>
                <c:pt idx="20">
                  <c:v>373.5821915855995</c:v>
                </c:pt>
                <c:pt idx="21">
                  <c:v>381.00713764336979</c:v>
                </c:pt>
                <c:pt idx="22">
                  <c:v>388.57965450402116</c:v>
                </c:pt>
                <c:pt idx="23">
                  <c:v>396.30267513729632</c:v>
                </c:pt>
                <c:pt idx="24">
                  <c:v>404.17919080564752</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4341619.9345465563</c:v>
                </c:pt>
                <c:pt idx="1">
                  <c:v>4343663.2345465561</c:v>
                </c:pt>
                <c:pt idx="2">
                  <c:v>4345696.3180465559</c:v>
                </c:pt>
                <c:pt idx="3">
                  <c:v>4347719.2361290557</c:v>
                </c:pt>
                <c:pt idx="4">
                  <c:v>4349732.0396211436</c:v>
                </c:pt>
                <c:pt idx="5">
                  <c:v>4351734.7790957708</c:v>
                </c:pt>
                <c:pt idx="6">
                  <c:v>4353727.5048730243</c:v>
                </c:pt>
                <c:pt idx="7">
                  <c:v>4355710.2670213925</c:v>
                </c:pt>
                <c:pt idx="8">
                  <c:v>4357683.1153590176</c:v>
                </c:pt>
                <c:pt idx="9">
                  <c:v>4359646.0994549552</c:v>
                </c:pt>
                <c:pt idx="10">
                  <c:v>4361599.2686304133</c:v>
                </c:pt>
                <c:pt idx="11">
                  <c:v>4363542.6719599944</c:v>
                </c:pt>
                <c:pt idx="12">
                  <c:v>4365476.3582729269</c:v>
                </c:pt>
                <c:pt idx="13">
                  <c:v>4367400.3761542952</c:v>
                </c:pt>
                <c:pt idx="14">
                  <c:v>4369314.7739462564</c:v>
                </c:pt>
                <c:pt idx="15">
                  <c:v>4371219.5997492578</c:v>
                </c:pt>
                <c:pt idx="16">
                  <c:v>4373114.9014232447</c:v>
                </c:pt>
                <c:pt idx="17">
                  <c:v>4375000.7265888611</c:v>
                </c:pt>
                <c:pt idx="18">
                  <c:v>4376877.1226286497</c:v>
                </c:pt>
                <c:pt idx="19">
                  <c:v>4378744.1366882389</c:v>
                </c:pt>
                <c:pt idx="20">
                  <c:v>4380601.8156775311</c:v>
                </c:pt>
                <c:pt idx="21">
                  <c:v>4382450.2062718756</c:v>
                </c:pt>
                <c:pt idx="22">
                  <c:v>4384289.3549132496</c:v>
                </c:pt>
                <c:pt idx="23">
                  <c:v>4386119.3078114158</c:v>
                </c:pt>
                <c:pt idx="24">
                  <c:v>4387940.1109450916</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408659.99999999942</c:v>
                </c:pt>
                <c:pt idx="1">
                  <c:v>406616.69999999943</c:v>
                </c:pt>
                <c:pt idx="2">
                  <c:v>404583.61649999942</c:v>
                </c:pt>
                <c:pt idx="3">
                  <c:v>402560.69841749943</c:v>
                </c:pt>
                <c:pt idx="4">
                  <c:v>400547.89492541191</c:v>
                </c:pt>
                <c:pt idx="5">
                  <c:v>398545.15545078483</c:v>
                </c:pt>
                <c:pt idx="6">
                  <c:v>396552.42967353092</c:v>
                </c:pt>
                <c:pt idx="7">
                  <c:v>394569.66752516327</c:v>
                </c:pt>
                <c:pt idx="8">
                  <c:v>392596.81918753748</c:v>
                </c:pt>
                <c:pt idx="9">
                  <c:v>390633.83509159979</c:v>
                </c:pt>
                <c:pt idx="10">
                  <c:v>388680.66591614176</c:v>
                </c:pt>
                <c:pt idx="11">
                  <c:v>386737.26258656103</c:v>
                </c:pt>
                <c:pt idx="12">
                  <c:v>384803.57627362822</c:v>
                </c:pt>
                <c:pt idx="13">
                  <c:v>382879.55839226005</c:v>
                </c:pt>
                <c:pt idx="14">
                  <c:v>380965.16060029872</c:v>
                </c:pt>
                <c:pt idx="15">
                  <c:v>379060.33479729726</c:v>
                </c:pt>
                <c:pt idx="16">
                  <c:v>377165.03312331077</c:v>
                </c:pt>
                <c:pt idx="17">
                  <c:v>375279.20795769419</c:v>
                </c:pt>
                <c:pt idx="18">
                  <c:v>373402.8119179057</c:v>
                </c:pt>
                <c:pt idx="19">
                  <c:v>371535.79785831616</c:v>
                </c:pt>
                <c:pt idx="20">
                  <c:v>369678.11886902456</c:v>
                </c:pt>
                <c:pt idx="21">
                  <c:v>367829.72827467945</c:v>
                </c:pt>
                <c:pt idx="22">
                  <c:v>365990.57963330607</c:v>
                </c:pt>
                <c:pt idx="23">
                  <c:v>364160.62673513952</c:v>
                </c:pt>
                <c:pt idx="24">
                  <c:v>362339.82360146381</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4341619.9345465563</c:v>
                </c:pt>
                <c:pt idx="1">
                  <c:v>408659.99999999942</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DDCFB9D7-9ECE-5C44-A1FA-68D8FAC050BB}">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28" zoomScaleNormal="100" workbookViewId="0">
      <selection activeCell="C33" sqref="C33"/>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0" customWidth="1"/>
  </cols>
  <sheetData>
    <row r="2" spans="2:14" ht="56" customHeight="1" x14ac:dyDescent="0.15">
      <c r="D2" s="34"/>
      <c r="E2" s="3"/>
      <c r="F2" s="3"/>
      <c r="G2" s="3"/>
      <c r="H2"/>
      <c r="I2"/>
      <c r="J2"/>
      <c r="K2"/>
      <c r="L2"/>
      <c r="M2"/>
      <c r="N2"/>
    </row>
    <row r="3" spans="2:14" ht="18" x14ac:dyDescent="0.2">
      <c r="D3" s="3"/>
      <c r="F3" s="454" t="s">
        <v>149</v>
      </c>
      <c r="H3"/>
      <c r="I3"/>
      <c r="J3"/>
      <c r="K3"/>
      <c r="L3"/>
      <c r="M3"/>
      <c r="N3"/>
    </row>
    <row r="4" spans="2:14" ht="14" thickBot="1" x14ac:dyDescent="0.2">
      <c r="D4" s="3"/>
      <c r="G4" s="3"/>
      <c r="H4"/>
      <c r="I4"/>
      <c r="J4"/>
      <c r="K4"/>
      <c r="L4"/>
      <c r="M4"/>
      <c r="N4"/>
    </row>
    <row r="5" spans="2:14" ht="20" customHeight="1" x14ac:dyDescent="0.25">
      <c r="D5" s="13"/>
      <c r="F5" s="474" t="s">
        <v>0</v>
      </c>
      <c r="G5" s="475"/>
      <c r="H5" s="475"/>
      <c r="I5" s="475"/>
      <c r="J5" s="476"/>
      <c r="K5"/>
      <c r="L5"/>
      <c r="M5"/>
      <c r="N5"/>
    </row>
    <row r="6" spans="2:14" ht="14" customHeight="1" x14ac:dyDescent="0.15">
      <c r="F6" s="477" t="s">
        <v>463</v>
      </c>
      <c r="G6" s="478"/>
      <c r="H6" s="478"/>
      <c r="I6" s="478"/>
      <c r="J6" s="479"/>
      <c r="K6"/>
      <c r="L6"/>
      <c r="M6"/>
      <c r="N6"/>
    </row>
    <row r="7" spans="2:14" ht="15" customHeight="1" x14ac:dyDescent="0.15">
      <c r="F7" s="477"/>
      <c r="G7" s="478"/>
      <c r="H7" s="478"/>
      <c r="I7" s="478"/>
      <c r="J7" s="479"/>
      <c r="K7"/>
      <c r="L7"/>
      <c r="M7"/>
      <c r="N7"/>
    </row>
    <row r="8" spans="2:14" ht="14" customHeight="1" x14ac:dyDescent="0.15">
      <c r="F8" s="477"/>
      <c r="G8" s="478"/>
      <c r="H8" s="478"/>
      <c r="I8" s="478"/>
      <c r="J8" s="479"/>
      <c r="K8"/>
      <c r="L8"/>
      <c r="M8"/>
      <c r="N8"/>
    </row>
    <row r="9" spans="2:14" ht="14" customHeight="1" x14ac:dyDescent="0.15">
      <c r="D9" s="3"/>
      <c r="F9" s="477"/>
      <c r="G9" s="478"/>
      <c r="H9" s="478"/>
      <c r="I9" s="478"/>
      <c r="J9" s="479"/>
      <c r="K9"/>
      <c r="L9"/>
      <c r="M9"/>
      <c r="N9"/>
    </row>
    <row r="10" spans="2:14" ht="14" customHeight="1" x14ac:dyDescent="0.15">
      <c r="D10" s="3"/>
      <c r="F10" s="477"/>
      <c r="G10" s="478"/>
      <c r="H10" s="478"/>
      <c r="I10" s="478"/>
      <c r="J10" s="479"/>
      <c r="K10"/>
      <c r="L10"/>
      <c r="M10"/>
      <c r="N10"/>
    </row>
    <row r="11" spans="2:14" ht="14" customHeight="1" x14ac:dyDescent="0.15">
      <c r="D11" s="3"/>
      <c r="F11" s="477"/>
      <c r="G11" s="478"/>
      <c r="H11" s="478"/>
      <c r="I11" s="478"/>
      <c r="J11" s="479"/>
      <c r="K11"/>
      <c r="L11"/>
      <c r="M11"/>
      <c r="N11"/>
    </row>
    <row r="12" spans="2:14" ht="14" customHeight="1" x14ac:dyDescent="0.15">
      <c r="D12" s="3"/>
      <c r="F12" s="477"/>
      <c r="G12" s="478"/>
      <c r="H12" s="478"/>
      <c r="I12" s="478"/>
      <c r="J12" s="479"/>
      <c r="K12"/>
      <c r="L12"/>
      <c r="M12"/>
      <c r="N12"/>
    </row>
    <row r="13" spans="2:14" ht="14" customHeight="1" x14ac:dyDescent="0.15">
      <c r="D13" s="3"/>
      <c r="F13" s="477"/>
      <c r="G13" s="478"/>
      <c r="H13" s="478"/>
      <c r="I13" s="478"/>
      <c r="J13" s="479"/>
      <c r="K13"/>
      <c r="L13"/>
      <c r="M13"/>
      <c r="N13"/>
    </row>
    <row r="14" spans="2:14" ht="14" customHeight="1" thickBot="1" x14ac:dyDescent="0.2">
      <c r="D14" s="3"/>
      <c r="F14" s="477"/>
      <c r="G14" s="478"/>
      <c r="H14" s="478"/>
      <c r="I14" s="478"/>
      <c r="J14" s="479"/>
      <c r="K14"/>
      <c r="L14"/>
      <c r="M14"/>
      <c r="N14"/>
    </row>
    <row r="15" spans="2:14" ht="14" customHeight="1" x14ac:dyDescent="0.15">
      <c r="B15" s="37" t="s">
        <v>215</v>
      </c>
      <c r="C15" s="38"/>
      <c r="D15" s="3"/>
      <c r="F15" s="477"/>
      <c r="G15" s="478"/>
      <c r="H15" s="478"/>
      <c r="I15" s="478"/>
      <c r="J15" s="479"/>
      <c r="K15"/>
      <c r="L15"/>
      <c r="M15"/>
      <c r="N15"/>
    </row>
    <row r="16" spans="2:14" ht="14" customHeight="1" thickBot="1" x14ac:dyDescent="0.2">
      <c r="B16" s="39" t="s">
        <v>217</v>
      </c>
      <c r="C16" s="40"/>
      <c r="D16" s="3"/>
      <c r="F16" s="477"/>
      <c r="G16" s="478"/>
      <c r="H16" s="478"/>
      <c r="I16" s="478"/>
      <c r="J16" s="479"/>
      <c r="K16"/>
      <c r="L16"/>
      <c r="M16"/>
      <c r="N16"/>
    </row>
    <row r="17" spans="2:14" ht="14" customHeight="1" x14ac:dyDescent="0.15">
      <c r="D17" s="3"/>
      <c r="E17" s="453"/>
      <c r="F17" s="477"/>
      <c r="G17" s="478"/>
      <c r="H17" s="478"/>
      <c r="I17" s="478"/>
      <c r="J17" s="479"/>
      <c r="K17"/>
      <c r="L17"/>
      <c r="M17"/>
      <c r="N17"/>
    </row>
    <row r="18" spans="2:14" ht="14" customHeight="1" x14ac:dyDescent="0.15">
      <c r="B18" s="473" t="s">
        <v>464</v>
      </c>
      <c r="C18" s="473"/>
      <c r="D18" s="473"/>
      <c r="E18" s="453"/>
      <c r="F18" s="477"/>
      <c r="G18" s="478"/>
      <c r="H18" s="478"/>
      <c r="I18" s="478"/>
      <c r="J18" s="479"/>
      <c r="K18"/>
      <c r="L18"/>
      <c r="M18"/>
      <c r="N18"/>
    </row>
    <row r="19" spans="2:14" ht="14" customHeight="1" thickBot="1" x14ac:dyDescent="0.25">
      <c r="B19" s="473"/>
      <c r="C19" s="473"/>
      <c r="D19" s="473"/>
      <c r="E19" s="31"/>
      <c r="F19" s="480"/>
      <c r="G19" s="481"/>
      <c r="H19" s="481"/>
      <c r="I19" s="481"/>
      <c r="J19" s="482"/>
      <c r="K19"/>
      <c r="L19"/>
      <c r="M19"/>
      <c r="N19"/>
    </row>
    <row r="20" spans="2:14" ht="14" customHeight="1" x14ac:dyDescent="0.15">
      <c r="B20" s="473"/>
      <c r="C20" s="473"/>
      <c r="D20" s="473"/>
      <c r="E20" s="453"/>
      <c r="F20" s="63"/>
      <c r="G20" s="3"/>
      <c r="H20"/>
      <c r="I20"/>
      <c r="J20"/>
      <c r="K20"/>
      <c r="L20"/>
      <c r="M20"/>
      <c r="N20"/>
    </row>
    <row r="21" spans="2:14" ht="14" customHeight="1" x14ac:dyDescent="0.15">
      <c r="B21" s="473"/>
      <c r="C21" s="473"/>
      <c r="D21" s="473"/>
      <c r="E21" s="453"/>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1"/>
      <c r="I24" s="452"/>
      <c r="J24" s="452"/>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3" t="s">
        <v>22</v>
      </c>
      <c r="C30" s="24" t="s">
        <v>86</v>
      </c>
      <c r="E30" s="22" t="s">
        <v>87</v>
      </c>
    </row>
    <row r="31" spans="2:14" ht="17" x14ac:dyDescent="0.2">
      <c r="B31" s="484"/>
      <c r="C31" s="25" t="s">
        <v>205</v>
      </c>
      <c r="E31" s="23" t="s">
        <v>125</v>
      </c>
    </row>
    <row r="32" spans="2:14" ht="17" thickBot="1" x14ac:dyDescent="0.25">
      <c r="B32" s="485"/>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C30" zoomScale="75" zoomScaleNormal="12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4"/>
    </row>
    <row r="2" spans="1:44" ht="20" thickBot="1" x14ac:dyDescent="0.3">
      <c r="H2" s="28" t="s">
        <v>149</v>
      </c>
    </row>
    <row r="3" spans="1:44" ht="21" customHeight="1" x14ac:dyDescent="0.25">
      <c r="H3" s="31" t="s">
        <v>407</v>
      </c>
      <c r="I3" s="31"/>
      <c r="L3" s="29"/>
      <c r="M3" s="29"/>
      <c r="N3" s="29"/>
      <c r="P3" s="525" t="s">
        <v>0</v>
      </c>
      <c r="Q3" s="526"/>
      <c r="R3" s="526"/>
      <c r="S3" s="526"/>
      <c r="T3" s="526"/>
      <c r="U3" s="526"/>
      <c r="V3" s="526"/>
      <c r="W3" s="526"/>
      <c r="X3" s="527"/>
    </row>
    <row r="4" spans="1:44" ht="20" customHeight="1" x14ac:dyDescent="0.25">
      <c r="A4" s="13"/>
      <c r="H4" s="32" t="s">
        <v>27</v>
      </c>
      <c r="I4" s="32"/>
      <c r="P4" s="528" t="s">
        <v>312</v>
      </c>
      <c r="Q4" s="529"/>
      <c r="R4" s="529"/>
      <c r="S4" s="529"/>
      <c r="T4" s="529"/>
      <c r="U4" s="529"/>
      <c r="V4" s="529"/>
      <c r="W4" s="529"/>
      <c r="X4" s="530"/>
    </row>
    <row r="5" spans="1:44" ht="26" customHeight="1" thickBot="1" x14ac:dyDescent="0.3">
      <c r="A5"/>
      <c r="I5" s="174"/>
      <c r="J5"/>
      <c r="K5"/>
      <c r="L5" s="473" t="s">
        <v>462</v>
      </c>
      <c r="M5" s="473"/>
      <c r="N5" s="473"/>
      <c r="P5" s="528"/>
      <c r="Q5" s="529"/>
      <c r="R5" s="529"/>
      <c r="S5" s="529"/>
      <c r="T5" s="529"/>
      <c r="U5" s="529"/>
      <c r="V5" s="529"/>
      <c r="W5" s="529"/>
      <c r="X5" s="530"/>
    </row>
    <row r="6" spans="1:44" ht="16" customHeight="1" x14ac:dyDescent="0.15">
      <c r="A6"/>
      <c r="H6" s="542" t="s">
        <v>199</v>
      </c>
      <c r="I6" s="543"/>
      <c r="J6" s="447" t="s">
        <v>314</v>
      </c>
      <c r="K6"/>
      <c r="L6" s="473"/>
      <c r="M6" s="473"/>
      <c r="N6" s="473"/>
      <c r="P6" s="528"/>
      <c r="Q6" s="529"/>
      <c r="R6" s="529"/>
      <c r="S6" s="529"/>
      <c r="T6" s="529"/>
      <c r="U6" s="529"/>
      <c r="V6" s="529"/>
      <c r="W6" s="529"/>
      <c r="X6" s="530"/>
    </row>
    <row r="7" spans="1:44" ht="15" customHeight="1" x14ac:dyDescent="0.2">
      <c r="A7"/>
      <c r="H7" s="544"/>
      <c r="I7" s="545"/>
      <c r="J7" s="448" t="s">
        <v>245</v>
      </c>
      <c r="K7" s="14"/>
      <c r="L7" s="473"/>
      <c r="M7" s="473"/>
      <c r="N7" s="473"/>
      <c r="P7" s="528"/>
      <c r="Q7" s="529"/>
      <c r="R7" s="529"/>
      <c r="S7" s="529"/>
      <c r="T7" s="529"/>
      <c r="U7" s="529"/>
      <c r="V7" s="529"/>
      <c r="W7" s="529"/>
      <c r="X7" s="530"/>
    </row>
    <row r="8" spans="1:44" ht="13" customHeight="1" thickBot="1" x14ac:dyDescent="0.25">
      <c r="H8" s="546"/>
      <c r="I8" s="547"/>
      <c r="J8" s="449" t="s">
        <v>219</v>
      </c>
      <c r="K8"/>
      <c r="L8" s="473"/>
      <c r="M8" s="473"/>
      <c r="N8" s="473"/>
      <c r="P8" s="528"/>
      <c r="Q8" s="529"/>
      <c r="R8" s="529"/>
      <c r="S8" s="529"/>
      <c r="T8" s="529"/>
      <c r="U8" s="529"/>
      <c r="V8" s="529"/>
      <c r="W8" s="529"/>
      <c r="X8" s="530"/>
    </row>
    <row r="9" spans="1:44" ht="22" customHeight="1" thickBot="1" x14ac:dyDescent="0.25">
      <c r="L9" s="473"/>
      <c r="M9" s="473"/>
      <c r="N9" s="473"/>
      <c r="P9" s="528"/>
      <c r="Q9" s="529"/>
      <c r="R9" s="529"/>
      <c r="S9" s="529"/>
      <c r="T9" s="529"/>
      <c r="U9" s="529"/>
      <c r="V9" s="529"/>
      <c r="W9" s="529"/>
      <c r="X9" s="530"/>
      <c r="Y9" s="2"/>
      <c r="Z9" s="2"/>
      <c r="AA9" s="2"/>
    </row>
    <row r="10" spans="1:44" ht="15" customHeight="1" thickBot="1" x14ac:dyDescent="0.25">
      <c r="E10" s="3">
        <f>Aggregate_Project_Cost</f>
        <v>516721.91375344113</v>
      </c>
      <c r="G10" s="3">
        <v>1</v>
      </c>
      <c r="H10" s="521" t="s">
        <v>214</v>
      </c>
      <c r="I10" s="522"/>
      <c r="J10" s="455"/>
      <c r="K10"/>
      <c r="L10" s="473"/>
      <c r="M10" s="473"/>
      <c r="N10" s="473"/>
      <c r="P10" s="531"/>
      <c r="Q10" s="532"/>
      <c r="R10" s="532"/>
      <c r="S10" s="532"/>
      <c r="T10" s="532"/>
      <c r="U10" s="532"/>
      <c r="V10" s="532"/>
      <c r="W10" s="532"/>
      <c r="X10" s="533"/>
      <c r="Y10" s="2"/>
      <c r="Z10" s="2"/>
      <c r="AA10" s="2"/>
    </row>
    <row r="11" spans="1:44" customFormat="1" ht="13" customHeight="1" thickBot="1" x14ac:dyDescent="0.25">
      <c r="B11" s="465">
        <v>1</v>
      </c>
      <c r="C11" s="3"/>
      <c r="D11" s="3"/>
      <c r="E11" s="3"/>
      <c r="F11" s="3"/>
      <c r="G11" s="3"/>
      <c r="H11" s="523" t="s">
        <v>216</v>
      </c>
      <c r="I11" s="524"/>
      <c r="J11" s="456"/>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39" t="s">
        <v>259</v>
      </c>
      <c r="O16" s="540"/>
      <c r="P16" s="541"/>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0"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0</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0</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0</v>
      </c>
      <c r="I20" s="161"/>
      <c r="J20" s="78" t="s">
        <v>1</v>
      </c>
      <c r="K20" s="420"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0</v>
      </c>
      <c r="I21" s="161"/>
      <c r="J21" s="71" t="s">
        <v>102</v>
      </c>
      <c r="K21" s="113">
        <v>110</v>
      </c>
      <c r="L21" s="164"/>
      <c r="M21" s="131"/>
      <c r="N21" s="536" t="s">
        <v>128</v>
      </c>
      <c r="O21" s="537"/>
      <c r="P21" s="538"/>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516721.91375344113</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345100</v>
      </c>
      <c r="E23" s="120">
        <f>Size_of_System_in_W_DC/$E$30</f>
        <v>287583.33333333337</v>
      </c>
      <c r="F23" s="161"/>
      <c r="G23" s="70" t="s">
        <v>144</v>
      </c>
      <c r="H23" s="110">
        <f>Aggregate_Project_Cost</f>
        <v>516721.91375344113</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516721.91375344113</v>
      </c>
      <c r="I24" s="161"/>
      <c r="J24" s="80" t="s">
        <v>101</v>
      </c>
      <c r="K24" s="105">
        <v>10</v>
      </c>
      <c r="L24" s="164"/>
      <c r="M24" s="131"/>
      <c r="N24" s="269" t="s">
        <v>75</v>
      </c>
      <c r="O24" s="264"/>
      <c r="P24" s="280">
        <f>P22-P23</f>
        <v>516721.91375344113</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1184.1784989857995</v>
      </c>
      <c r="F25" s="161"/>
      <c r="G25" s="80" t="s">
        <v>374</v>
      </c>
      <c r="H25" s="108">
        <v>6.5000000000000002E-2</v>
      </c>
      <c r="I25" s="161"/>
      <c r="J25" s="75" t="s">
        <v>62</v>
      </c>
      <c r="K25" s="76"/>
      <c r="L25" s="164"/>
      <c r="M25" s="131"/>
      <c r="N25" s="270" t="s">
        <v>148</v>
      </c>
      <c r="O25" s="271"/>
      <c r="P25" s="280">
        <f>Unstructured!C89</f>
        <v>-52270.688783776888</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5.0089624634982899E-2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3">
        <v>0.96</v>
      </c>
      <c r="F27" s="168">
        <v>1</v>
      </c>
      <c r="G27" s="70" t="s">
        <v>39</v>
      </c>
      <c r="H27" s="420" t="s">
        <v>309</v>
      </c>
      <c r="I27" s="161"/>
      <c r="J27" s="71" t="s">
        <v>192</v>
      </c>
      <c r="K27" s="121">
        <f>K34</f>
        <v>250000</v>
      </c>
      <c r="L27" s="164"/>
      <c r="M27" s="131"/>
      <c r="N27" s="272" t="s">
        <v>60</v>
      </c>
      <c r="O27" s="266"/>
      <c r="P27" s="284">
        <f>Unstructured!C83</f>
        <v>1.3773463511052908E-2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4">
        <f>(Size_of_System_in_W_DC/1000)*$E$25</f>
        <v>408659.99999999942</v>
      </c>
      <c r="F28" s="169"/>
      <c r="G28" s="71" t="s">
        <v>40</v>
      </c>
      <c r="H28" s="105">
        <v>20</v>
      </c>
      <c r="I28" s="161"/>
      <c r="J28" s="71" t="s">
        <v>375</v>
      </c>
      <c r="K28" s="324">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392313.59999999945</v>
      </c>
      <c r="F29" s="161"/>
      <c r="G29" s="71" t="s">
        <v>41</v>
      </c>
      <c r="H29" s="108">
        <v>5.5E-2</v>
      </c>
      <c r="I29" s="161"/>
      <c r="J29" s="71" t="s">
        <v>180</v>
      </c>
      <c r="K29" s="325">
        <v>0</v>
      </c>
      <c r="L29" s="164"/>
      <c r="M29" s="131"/>
      <c r="N29" s="539" t="s">
        <v>194</v>
      </c>
      <c r="O29" s="540"/>
      <c r="P29" s="541"/>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206688.76550137647</v>
      </c>
      <c r="I30" s="161"/>
      <c r="J30" s="71" t="s">
        <v>301</v>
      </c>
      <c r="K30" s="326">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0" t="s">
        <v>85</v>
      </c>
      <c r="C31" s="511"/>
      <c r="D31" s="512"/>
      <c r="E31" s="513"/>
      <c r="F31" s="161"/>
      <c r="G31" s="71" t="s">
        <v>136</v>
      </c>
      <c r="H31" s="108">
        <v>1.2</v>
      </c>
      <c r="I31" s="161"/>
      <c r="J31" s="80" t="s">
        <v>302</v>
      </c>
      <c r="K31" s="327">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57" t="s">
        <v>88</v>
      </c>
      <c r="C32" s="458"/>
      <c r="D32" s="460"/>
      <c r="E32" s="121">
        <f>Size_of_System_in_W_DC*$D$18</f>
        <v>444806.18846999994</v>
      </c>
      <c r="F32" s="161"/>
      <c r="G32" s="80" t="s">
        <v>137</v>
      </c>
      <c r="H32" s="320"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08" t="s">
        <v>317</v>
      </c>
      <c r="H33" s="509"/>
      <c r="I33" s="161"/>
      <c r="J33" s="71" t="s">
        <v>10</v>
      </c>
      <c r="K33" s="420"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19" t="s">
        <v>458</v>
      </c>
      <c r="I34" s="161"/>
      <c r="J34" s="71" t="s">
        <v>377</v>
      </c>
      <c r="K34" s="110">
        <v>250000</v>
      </c>
      <c r="L34" s="164"/>
      <c r="M34" s="131"/>
      <c r="N34" s="269" t="s">
        <v>82</v>
      </c>
      <c r="O34" s="264"/>
      <c r="P34" s="288">
        <f>E32</f>
        <v>444806.18846999994</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49422.909829999997</v>
      </c>
      <c r="F35" s="161"/>
      <c r="G35" s="71" t="s">
        <v>235</v>
      </c>
      <c r="H35" s="419" t="s">
        <v>456</v>
      </c>
      <c r="I35" s="161"/>
      <c r="J35" s="71" t="s">
        <v>94</v>
      </c>
      <c r="K35" s="420"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19" t="s">
        <v>373</v>
      </c>
      <c r="I36" s="161"/>
      <c r="J36" s="71" t="s">
        <v>376</v>
      </c>
      <c r="K36" s="420" t="s">
        <v>309</v>
      </c>
      <c r="L36" s="164"/>
      <c r="M36" s="131"/>
      <c r="N36" s="269" t="s">
        <v>58</v>
      </c>
      <c r="O36" s="271"/>
      <c r="P36" s="288">
        <f>E35</f>
        <v>49422.909829999997</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22492.815453441177</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22492.815453441177</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1"/>
      <c r="E39" s="123">
        <f>SUM(E32:E38)</f>
        <v>516721.91375344113</v>
      </c>
      <c r="F39" s="161"/>
      <c r="G39" s="459" t="s">
        <v>437</v>
      </c>
      <c r="H39" s="419" t="s">
        <v>329</v>
      </c>
      <c r="I39" s="161"/>
      <c r="J39" s="71" t="s">
        <v>107</v>
      </c>
      <c r="K39" s="114">
        <v>2.5000000000000001E-2</v>
      </c>
      <c r="L39" s="164"/>
      <c r="M39" s="131"/>
      <c r="N39" s="270" t="s">
        <v>54</v>
      </c>
      <c r="O39" s="264"/>
      <c r="P39" s="288">
        <f>SUM(P34:P38)</f>
        <v>516721.91375344113</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459" t="s">
        <v>438</v>
      </c>
      <c r="H40" s="419"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4" t="s">
        <v>28</v>
      </c>
      <c r="C41" s="515"/>
      <c r="D41" s="516"/>
      <c r="E41" s="517"/>
      <c r="F41" s="166"/>
      <c r="G41" s="71" t="s">
        <v>97</v>
      </c>
      <c r="H41" s="409">
        <f>SUMIF($E$65:$E$68,"Yes",$D$65:$D$68)</f>
        <v>0.3</v>
      </c>
      <c r="I41" s="161"/>
      <c r="J41" s="71" t="s">
        <v>304</v>
      </c>
      <c r="K41" s="115">
        <f>15.21/1000</f>
        <v>1.5210000000000001E-2</v>
      </c>
      <c r="L41" s="164"/>
      <c r="M41" s="131"/>
      <c r="N41" s="272" t="s">
        <v>69</v>
      </c>
      <c r="O41" s="266"/>
      <c r="P41" s="289">
        <f>P26-H25</f>
        <v>-1.4910375365017103E-2</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69" t="s">
        <v>53</v>
      </c>
      <c r="C42" s="470"/>
      <c r="D42" s="471"/>
      <c r="E42" s="472">
        <v>7.3648296020305801E-2</v>
      </c>
      <c r="F42" s="166"/>
      <c r="G42" s="459"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68"/>
      <c r="E43" s="200">
        <v>0</v>
      </c>
      <c r="F43" s="166"/>
      <c r="G43" s="459" t="s">
        <v>439</v>
      </c>
      <c r="H43" s="421">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68"/>
      <c r="E44" s="200">
        <v>2.5000000000000001E-2</v>
      </c>
      <c r="F44" s="151"/>
      <c r="G44" s="459" t="s">
        <v>430</v>
      </c>
      <c r="H44" s="421">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68"/>
      <c r="E45" s="339">
        <v>395856.66121221293</v>
      </c>
      <c r="F45" s="151"/>
      <c r="G45" s="459" t="s">
        <v>431</v>
      </c>
      <c r="H45" s="422">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68"/>
      <c r="E46" s="200">
        <v>0.06</v>
      </c>
      <c r="F46" s="151"/>
      <c r="G46" s="459" t="s">
        <v>432</v>
      </c>
      <c r="H46" s="115">
        <v>26</v>
      </c>
      <c r="I46" s="146"/>
      <c r="J46" s="151"/>
      <c r="K46" s="151"/>
      <c r="L46" s="162"/>
      <c r="M46" s="138"/>
      <c r="N46" s="131"/>
      <c r="O46" s="131"/>
      <c r="P46" s="131"/>
      <c r="Q46" s="128"/>
      <c r="R46" s="497" t="str">
        <f>IF(Project_Debt?="Yes", "Partnership data compromised. Debt should be turned off in cell H27.","")</f>
        <v/>
      </c>
      <c r="S46" s="497"/>
      <c r="T46" s="497"/>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0">
        <v>0.2</v>
      </c>
      <c r="F47" s="154"/>
      <c r="G47" s="459" t="s">
        <v>433</v>
      </c>
      <c r="H47" s="112">
        <v>0.02</v>
      </c>
      <c r="I47" s="146"/>
      <c r="J47" s="154"/>
      <c r="K47" s="154"/>
      <c r="L47" s="163"/>
      <c r="M47" s="131"/>
      <c r="N47" s="131"/>
      <c r="O47" s="131"/>
      <c r="P47" s="131"/>
      <c r="Q47" s="128"/>
      <c r="R47" s="497"/>
      <c r="S47" s="497"/>
      <c r="T47" s="497"/>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59" t="s">
        <v>434</v>
      </c>
      <c r="H48" s="112">
        <v>0.05</v>
      </c>
      <c r="I48" s="146"/>
      <c r="J48" s="146"/>
      <c r="K48" s="148"/>
      <c r="L48" s="150"/>
      <c r="M48" s="128"/>
      <c r="N48" s="502" t="s">
        <v>190</v>
      </c>
      <c r="O48" s="503"/>
      <c r="P48" s="504"/>
      <c r="Q48" s="128"/>
      <c r="R48" s="497"/>
      <c r="S48" s="497"/>
      <c r="T48" s="497"/>
      <c r="U48" s="128"/>
      <c r="V48" s="143"/>
      <c r="W48" s="128"/>
      <c r="X48" s="534" t="s">
        <v>152</v>
      </c>
      <c r="Y48" s="535"/>
      <c r="Z48" s="535"/>
      <c r="AA48" s="535"/>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18" t="s">
        <v>427</v>
      </c>
      <c r="C49" s="519"/>
      <c r="D49" s="519"/>
      <c r="E49" s="519"/>
      <c r="F49" s="146"/>
      <c r="G49" s="459" t="s">
        <v>435</v>
      </c>
      <c r="H49" s="410">
        <f>(1-Additional_ITC_Basis_Reducer_Fine_Tuning)*(Project_Sale_Price-(Site_Purchase_Price+Roof_Upgrade_Cost+Other_Closing_Costs_Fees+IF($E$23&gt;5000000,Interconnection_Costs,0)))</f>
        <v>469517.64338499994</v>
      </c>
      <c r="I49" s="146"/>
      <c r="J49" s="146"/>
      <c r="K49" s="148"/>
      <c r="L49" s="159"/>
      <c r="M49" s="128"/>
      <c r="N49" s="68"/>
      <c r="O49" s="102" t="s">
        <v>262</v>
      </c>
      <c r="P49" s="103" t="s">
        <v>263</v>
      </c>
      <c r="Q49" s="128"/>
      <c r="R49" s="128"/>
      <c r="S49" s="128"/>
      <c r="T49" s="128"/>
      <c r="U49" s="128"/>
      <c r="V49" s="143"/>
      <c r="W49" s="128"/>
      <c r="X49" s="300"/>
      <c r="Y49" s="262"/>
      <c r="Z49" s="262"/>
      <c r="AA49" s="302"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08" t="s">
        <v>436</v>
      </c>
      <c r="H50" s="411">
        <f>H49*Federal_ITC_Rate*IF(AND(Owner_is_Taxpayer_Non_Taxpayer?="Non-Taxpayer", Project_Debt?="Yes"),1-MIN(0.15,Project_Loan_Amount/Project_Sale_Price),1)</f>
        <v>140855.29301549998</v>
      </c>
      <c r="I50" s="146"/>
      <c r="J50" s="146"/>
      <c r="K50" s="148"/>
      <c r="L50" s="159"/>
      <c r="M50" s="128"/>
      <c r="N50" s="270" t="s">
        <v>280</v>
      </c>
      <c r="O50" s="290">
        <f>'Partnership Flip'!C69</f>
        <v>-283990.36379889125</v>
      </c>
      <c r="P50" s="291">
        <f>'Partnership Flip'!C56</f>
        <v>-232731.5499545499</v>
      </c>
      <c r="Q50" s="128"/>
      <c r="R50" s="128"/>
      <c r="S50" s="128"/>
      <c r="T50" s="128"/>
      <c r="U50" s="128"/>
      <c r="V50" s="143"/>
      <c r="W50" s="128"/>
      <c r="X50" s="270" t="s">
        <v>123</v>
      </c>
      <c r="Y50" s="303" t="s">
        <v>173</v>
      </c>
      <c r="Z50" s="303" t="s">
        <v>175</v>
      </c>
      <c r="AA50" s="302"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399089.99687724991</v>
      </c>
      <c r="F51" s="146"/>
      <c r="G51" s="508" t="s">
        <v>318</v>
      </c>
      <c r="H51" s="509"/>
      <c r="I51" s="146"/>
      <c r="J51" s="146"/>
      <c r="K51" s="148"/>
      <c r="L51" s="158"/>
      <c r="M51" s="128"/>
      <c r="N51" s="273" t="s">
        <v>254</v>
      </c>
      <c r="O51" s="321">
        <f>'Partnership Flip'!C75</f>
        <v>4.8147257405136923E-2</v>
      </c>
      <c r="P51" s="322">
        <f>'Partnership Flip'!C62</f>
        <v>6.3387855440086627E-2</v>
      </c>
      <c r="Q51" s="128"/>
      <c r="R51" s="128"/>
      <c r="S51" s="128"/>
      <c r="T51" s="128"/>
      <c r="U51" s="128"/>
      <c r="V51" s="143"/>
      <c r="W51" s="128"/>
      <c r="X51" s="269" t="s">
        <v>361</v>
      </c>
      <c r="Y51" s="304">
        <f>'Customer Analysis'!$D$22+'Customer Analysis'!$D$23</f>
        <v>7.3648296020305801E-2</v>
      </c>
      <c r="Z51" s="304">
        <f>'Customer Analysis'!$W$22+'Customer Analysis'!$W$23</f>
        <v>0.11773786210560654</v>
      </c>
      <c r="AA51" s="305">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467">
        <f>'Partnership Flip'!C74</f>
        <v>-51499.607350928447</v>
      </c>
      <c r="P52" s="466">
        <f>'Partnership Flip'!C61</f>
        <v>-771.08143284849939</v>
      </c>
      <c r="Q52" s="128"/>
      <c r="R52" s="128"/>
      <c r="S52" s="128"/>
      <c r="T52" s="128"/>
      <c r="U52" s="128"/>
      <c r="V52" s="143"/>
      <c r="W52" s="128"/>
      <c r="X52" s="269" t="s">
        <v>122</v>
      </c>
      <c r="Y52" s="304">
        <f>'Customer Analysis'!$D$24</f>
        <v>7.3031580167629145E-2</v>
      </c>
      <c r="Z52" s="304">
        <f>'Customer Analysis'!$W$24</f>
        <v>0.11675194919323223</v>
      </c>
      <c r="AA52" s="305">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2">
        <f>'Partnership Flip'!C77</f>
        <v>4.7612911295340066E-2</v>
      </c>
      <c r="P53" s="293">
        <f>'Partnership Flip'!C64</f>
        <v>-9.3185236979306918E-2</v>
      </c>
      <c r="Q53" s="128"/>
      <c r="R53" s="128"/>
      <c r="S53" s="128"/>
      <c r="T53" s="128"/>
      <c r="U53" s="128"/>
      <c r="V53" s="143"/>
      <c r="W53" s="128"/>
      <c r="X53" s="269"/>
      <c r="Y53" s="304"/>
      <c r="Z53" s="304"/>
      <c r="AA53" s="306"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79817.999375449988</v>
      </c>
      <c r="E54" s="94">
        <f t="shared" ref="E54:E59" si="0">Depreciation_Basis*C54</f>
        <v>79817.999375449988</v>
      </c>
      <c r="F54" s="146"/>
      <c r="G54" s="71" t="s">
        <v>319</v>
      </c>
      <c r="H54" s="180">
        <v>0</v>
      </c>
      <c r="I54" s="157"/>
      <c r="J54" s="146"/>
      <c r="K54" s="148"/>
      <c r="L54" s="158"/>
      <c r="M54" s="128"/>
      <c r="N54" s="273"/>
      <c r="O54" s="294"/>
      <c r="P54" s="287"/>
      <c r="Q54" s="128"/>
      <c r="R54" s="128"/>
      <c r="S54" s="128"/>
      <c r="T54" s="128"/>
      <c r="U54" s="128"/>
      <c r="V54" s="143"/>
      <c r="W54" s="128"/>
      <c r="X54" s="270" t="s">
        <v>264</v>
      </c>
      <c r="Y54" s="307" t="s">
        <v>173</v>
      </c>
      <c r="Z54" s="307" t="s">
        <v>175</v>
      </c>
      <c r="AA54" s="306"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127708.79900071997</v>
      </c>
      <c r="E55" s="94">
        <f t="shared" si="0"/>
        <v>127708.79900071997</v>
      </c>
      <c r="F55" s="146"/>
      <c r="G55" s="71" t="s">
        <v>320</v>
      </c>
      <c r="H55" s="110">
        <f>Depreciation_Basis</f>
        <v>399089.99687724991</v>
      </c>
      <c r="I55" s="157"/>
      <c r="J55" s="146"/>
      <c r="K55" s="148"/>
      <c r="L55" s="158"/>
      <c r="M55" s="128"/>
      <c r="N55" s="273" t="s">
        <v>65</v>
      </c>
      <c r="O55" s="294"/>
      <c r="P55" s="295">
        <f>'Partnership Flip'!C65</f>
        <v>6</v>
      </c>
      <c r="Q55" s="128"/>
      <c r="R55" s="128"/>
      <c r="S55" s="128"/>
      <c r="T55" s="128"/>
      <c r="U55" s="128"/>
      <c r="V55" s="143"/>
      <c r="W55" s="128"/>
      <c r="X55" s="269" t="s">
        <v>265</v>
      </c>
      <c r="Y55" s="308">
        <f>'Customer Analysis'!$D$19</f>
        <v>4341619.9345465563</v>
      </c>
      <c r="Z55" s="308">
        <f>'Customer Analysis'!$W$19</f>
        <v>4378744.1366882389</v>
      </c>
      <c r="AA55" s="305">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76625.279400431988</v>
      </c>
      <c r="E56" s="94">
        <f t="shared" si="0"/>
        <v>76625.279400431988</v>
      </c>
      <c r="F56" s="146"/>
      <c r="G56" s="80" t="s">
        <v>2</v>
      </c>
      <c r="H56" s="112">
        <v>7.0000000000000007E-2</v>
      </c>
      <c r="I56" s="157"/>
      <c r="J56" s="146"/>
      <c r="K56" s="148"/>
      <c r="L56" s="158"/>
      <c r="M56" s="128"/>
      <c r="N56" s="265" t="s">
        <v>281</v>
      </c>
      <c r="O56" s="296"/>
      <c r="P56" s="297" t="str">
        <f>(100*Dashboard!$H$62) &amp;"%  to " &amp;(100*Dashboard!$H$63)&amp;"% Ratio"</f>
        <v>45.04%  to 54.96% Ratio</v>
      </c>
      <c r="Q56" s="128"/>
      <c r="R56" s="128"/>
      <c r="S56" s="128"/>
      <c r="T56" s="128"/>
      <c r="U56" s="128"/>
      <c r="V56" s="143"/>
      <c r="W56" s="128"/>
      <c r="X56" s="301" t="s">
        <v>221</v>
      </c>
      <c r="Y56" s="309">
        <f>'Customer Analysis'!$D$21</f>
        <v>408659.99999999942</v>
      </c>
      <c r="Z56" s="309">
        <f>'Customer Analysis'!$W$21</f>
        <v>371535.79785831616</v>
      </c>
      <c r="AA56" s="310">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45975.167640259191</v>
      </c>
      <c r="E57" s="94">
        <f t="shared" si="0"/>
        <v>45975.167640259191</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45975.167640259191</v>
      </c>
      <c r="E58" s="94">
        <f t="shared" si="0"/>
        <v>45975.167640259191</v>
      </c>
      <c r="F58" s="146"/>
      <c r="G58" s="71" t="s">
        <v>37</v>
      </c>
      <c r="H58" s="200">
        <v>0.99</v>
      </c>
      <c r="I58" s="157"/>
      <c r="J58" s="146"/>
      <c r="K58" s="148"/>
      <c r="L58" s="158"/>
      <c r="M58" s="128"/>
      <c r="N58" s="514" t="s">
        <v>211</v>
      </c>
      <c r="O58" s="515"/>
      <c r="P58" s="520"/>
      <c r="Q58" s="128"/>
      <c r="R58" s="128"/>
      <c r="S58" s="128"/>
      <c r="T58" s="128"/>
      <c r="U58" s="128"/>
      <c r="V58" s="143"/>
      <c r="W58" s="128"/>
      <c r="X58" s="502" t="s">
        <v>313</v>
      </c>
      <c r="Y58" s="503"/>
      <c r="Z58" s="503"/>
      <c r="AA58" s="504"/>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22987.583820129596</v>
      </c>
      <c r="E59" s="94">
        <f t="shared" si="0"/>
        <v>22987.583820129596</v>
      </c>
      <c r="F59" s="146"/>
      <c r="G59" s="71" t="s">
        <v>38</v>
      </c>
      <c r="H59" s="258">
        <f>1-$H$58</f>
        <v>1.0000000000000009E-2</v>
      </c>
      <c r="I59" s="157"/>
      <c r="J59" s="146"/>
      <c r="K59" s="148"/>
      <c r="L59" s="158"/>
      <c r="M59" s="128"/>
      <c r="N59" s="270" t="s">
        <v>212</v>
      </c>
      <c r="O59" s="271"/>
      <c r="P59" s="298" t="str">
        <f>Unstructured!$C$84</f>
        <v>Pass</v>
      </c>
      <c r="Q59" s="128"/>
      <c r="R59" s="128"/>
      <c r="S59" s="128"/>
      <c r="T59" s="128"/>
      <c r="U59" s="128"/>
      <c r="V59" s="143"/>
      <c r="W59" s="128"/>
      <c r="X59" s="275"/>
      <c r="Y59" s="319" t="s">
        <v>173</v>
      </c>
      <c r="Z59" s="319" t="s">
        <v>153</v>
      </c>
      <c r="AA59" s="302"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399089.99687724991</v>
      </c>
      <c r="E60" s="100">
        <f>SUM(E54:E59)</f>
        <v>399089.99687724991</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1">
        <f>Dashboard!H23</f>
        <v>516721.91375344113</v>
      </c>
      <c r="Z60" s="311">
        <f>'Customer Analysis'!$J$34</f>
        <v>260659.98658340407</v>
      </c>
      <c r="AA60" s="312">
        <f>'Customer Analysis'!$M$34</f>
        <v>249719.3295365654</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299" t="s">
        <v>234</v>
      </c>
      <c r="Q61" s="128"/>
      <c r="R61" s="128"/>
      <c r="S61" s="128"/>
      <c r="T61" s="128"/>
      <c r="U61" s="128"/>
      <c r="V61" s="143"/>
      <c r="W61" s="128"/>
      <c r="X61" s="275"/>
      <c r="Y61" s="311"/>
      <c r="Z61" s="294"/>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5">
        <f>'Customer Analysis'!$C$56</f>
        <v>6.4230132116856881E-2</v>
      </c>
      <c r="Z62" s="395">
        <f>'Customer Analysis'!$C$57</f>
        <v>5.9921503919419229E-2</v>
      </c>
      <c r="AA62" s="396">
        <f>'Customer Analysis'!$C$58</f>
        <v>6.8998893254983359E-2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05" t="s">
        <v>428</v>
      </c>
      <c r="C63" s="506"/>
      <c r="D63" s="506"/>
      <c r="E63" s="507"/>
      <c r="F63" s="146"/>
      <c r="G63" s="71" t="s">
        <v>11</v>
      </c>
      <c r="H63" s="258">
        <f>1-Tax_Equity_Investment_Share</f>
        <v>0.54959999999999998</v>
      </c>
      <c r="I63" s="157"/>
      <c r="J63" s="146"/>
      <c r="K63" s="148"/>
      <c r="L63" s="159"/>
      <c r="M63" s="128"/>
      <c r="N63" s="269" t="s">
        <v>82</v>
      </c>
      <c r="O63" s="264"/>
      <c r="P63" s="288">
        <f>E32</f>
        <v>444806.18846999994</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6" t="s">
        <v>421</v>
      </c>
      <c r="C64" s="406"/>
      <c r="D64" s="407" t="s">
        <v>422</v>
      </c>
      <c r="E64" s="417" t="s">
        <v>429</v>
      </c>
      <c r="F64" s="146"/>
      <c r="G64" s="71" t="s">
        <v>447</v>
      </c>
      <c r="H64" s="431">
        <v>5</v>
      </c>
      <c r="I64" s="146"/>
      <c r="J64" s="146"/>
      <c r="K64" s="148"/>
      <c r="L64" s="159"/>
      <c r="M64" s="128"/>
      <c r="N64" s="269" t="s">
        <v>310</v>
      </c>
      <c r="O64" s="264"/>
      <c r="P64" s="288">
        <f>Roof_Upgrade_Cost</f>
        <v>0</v>
      </c>
      <c r="Q64" s="128"/>
      <c r="R64" s="128"/>
      <c r="S64" s="128"/>
      <c r="T64" s="128"/>
      <c r="U64" s="128"/>
      <c r="V64" s="143"/>
      <c r="W64" s="128"/>
      <c r="X64" s="496" t="s">
        <v>469</v>
      </c>
      <c r="Y64" s="496"/>
      <c r="Z64" s="496"/>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2" t="s">
        <v>423</v>
      </c>
      <c r="D65" s="415">
        <v>0.3</v>
      </c>
      <c r="E65" s="421" t="s">
        <v>419</v>
      </c>
      <c r="F65" s="146"/>
      <c r="G65" s="71" t="s">
        <v>355</v>
      </c>
      <c r="H65" s="258">
        <f>Investor_Discount_Rate</f>
        <v>6.5000000000000002E-2</v>
      </c>
      <c r="I65" s="146"/>
      <c r="J65" s="146"/>
      <c r="K65" s="148"/>
      <c r="L65" s="159"/>
      <c r="M65" s="128"/>
      <c r="N65" s="269" t="s">
        <v>58</v>
      </c>
      <c r="O65" s="271"/>
      <c r="P65" s="288">
        <f>E35</f>
        <v>49422.909829999997</v>
      </c>
      <c r="Q65" s="128"/>
      <c r="R65" s="128"/>
      <c r="S65" s="128"/>
      <c r="T65" s="128"/>
      <c r="U65" s="128"/>
      <c r="V65" s="143"/>
      <c r="W65" s="128"/>
      <c r="X65" s="314" t="s">
        <v>282</v>
      </c>
      <c r="Y65" s="315"/>
      <c r="Z65" s="313">
        <f>Y60</f>
        <v>516721.91375344113</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2" t="s">
        <v>424</v>
      </c>
      <c r="D66" s="415">
        <v>0.1</v>
      </c>
      <c r="E66" s="421" t="s">
        <v>309</v>
      </c>
      <c r="F66" s="146"/>
      <c r="G66" s="71" t="s">
        <v>356</v>
      </c>
      <c r="H66" s="201">
        <v>3.5000000000000003E-2</v>
      </c>
      <c r="I66" s="146"/>
      <c r="J66" s="146"/>
      <c r="K66" s="148"/>
      <c r="L66" s="159"/>
      <c r="M66" s="128"/>
      <c r="N66" s="269" t="s">
        <v>59</v>
      </c>
      <c r="O66" s="264"/>
      <c r="P66" s="288">
        <f>SUM(E36:E38)</f>
        <v>22492.815453441177</v>
      </c>
      <c r="Q66" s="128"/>
      <c r="R66" s="128"/>
      <c r="S66" s="128"/>
      <c r="T66" s="128"/>
      <c r="U66" s="128"/>
      <c r="V66" s="143"/>
      <c r="W66" s="128"/>
      <c r="X66" s="316" t="s">
        <v>283</v>
      </c>
      <c r="Y66" s="317"/>
      <c r="Z66" s="312">
        <f>'Customer Analysis'!$C$70</f>
        <v>-34041.230292456283</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2" t="s">
        <v>425</v>
      </c>
      <c r="D67" s="415">
        <v>0.1</v>
      </c>
      <c r="E67" s="421"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18"/>
      <c r="Z67" s="310">
        <f>'Customer Analysis'!$C$71</f>
        <v>7.8633056929559908E-2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3" t="s">
        <v>426</v>
      </c>
      <c r="C68" s="464"/>
      <c r="D68" s="418">
        <v>0.1</v>
      </c>
      <c r="E68" s="421" t="s">
        <v>309</v>
      </c>
      <c r="F68" s="146"/>
      <c r="G68" s="146"/>
      <c r="H68" s="146"/>
      <c r="I68" s="157"/>
      <c r="J68" s="435"/>
      <c r="K68" s="148"/>
      <c r="L68" s="159"/>
      <c r="M68" s="128"/>
      <c r="N68" s="270" t="s">
        <v>54</v>
      </c>
      <c r="O68" s="264"/>
      <c r="P68" s="288">
        <f>SUM(P63:P67)</f>
        <v>516721.91375344113</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490" t="s">
        <v>445</v>
      </c>
      <c r="C70" s="491"/>
      <c r="D70" s="491"/>
      <c r="E70" s="492"/>
      <c r="F70" s="146"/>
      <c r="G70" s="146"/>
      <c r="H70" s="160"/>
      <c r="I70" s="146"/>
      <c r="J70" s="146"/>
      <c r="K70" s="148"/>
      <c r="L70" s="159"/>
      <c r="M70" s="128"/>
      <c r="N70" s="272" t="s">
        <v>69</v>
      </c>
      <c r="O70" s="266"/>
      <c r="P70" s="289">
        <f>P51-H25</f>
        <v>-1.6121445599133755E-3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493"/>
      <c r="C71" s="494"/>
      <c r="D71" s="494"/>
      <c r="E71" s="495"/>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28" t="s">
        <v>442</v>
      </c>
      <c r="C72" s="429">
        <v>0.12</v>
      </c>
      <c r="D72" s="429">
        <v>0.15</v>
      </c>
      <c r="E72" s="429">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4" t="s">
        <v>443</v>
      </c>
      <c r="C73" s="423">
        <f>Aggregate_Project_Cost*C72</f>
        <v>62006.629650412935</v>
      </c>
      <c r="D73" s="423">
        <f>Aggregate_Project_Cost*D72</f>
        <v>77508.287063016163</v>
      </c>
      <c r="E73" s="424">
        <f>Aggregate_Project_Cost*E72</f>
        <v>93009.944475619399</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5" t="s">
        <v>444</v>
      </c>
      <c r="C74" s="426"/>
      <c r="D74" s="421" t="s">
        <v>311</v>
      </c>
      <c r="E74" s="427">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5"/>
      <c r="B78" s="445"/>
      <c r="C78" s="445"/>
      <c r="D78" s="445"/>
      <c r="E78" s="445"/>
      <c r="F78" s="445"/>
      <c r="G78" s="445"/>
      <c r="H78" s="445"/>
      <c r="I78" s="445"/>
      <c r="J78" s="445"/>
      <c r="K78" s="445"/>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6"/>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4"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0" t="s">
        <v>457</v>
      </c>
      <c r="C81" s="441" t="str">
        <f>"Solar System size is set to "&amp;TEXT(Size_of_System_in_W_DC,"0,0")&amp;" W(dc), with an AC/DC Conversion Ratio of "&amp;TEXT($E$30*100,0)&amp;"%."</f>
        <v>Solar System size is set to 345,100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0" t="s">
        <v>457</v>
      </c>
      <c r="C82" s="441" t="str">
        <f>"Solar Production is based upon a manual entry of "&amp;TEXT(Manual_Entry_Estimated_P50_Production,"0,0")&amp;" kWhs per kW(dc)."</f>
        <v>Solar Production is based upon a manual entry of 1,184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2" t="s">
        <v>457</v>
      </c>
      <c r="C83" s="443" t="str">
        <f>"P50 Solar Production for the 1st Year is estimated to be "&amp;TEXT(P50_Production_1st_Yr,"#,#")&amp;" kWhs."</f>
        <v>P50 Solar Production for the 1st Year is estimated to be 408,660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0" t="s">
        <v>457</v>
      </c>
      <c r="C84" s="443"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0" t="s">
        <v>457</v>
      </c>
      <c r="C85" s="443" t="str">
        <f>"Development Margins are set to $"&amp;TEXT(D21,"0.00")&amp;" per W(dc), for a total Development Margin of $"&amp;TEXT(ROUNDUP(E35,0),"0,0")&amp;"."</f>
        <v>Development Margins are set to $0.14 per W(dc), for a total Development Margin of $49,423.</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0" t="s">
        <v>457</v>
      </c>
      <c r="C86" s="443" t="str">
        <f>"Constsruction Costs are set to $"&amp;TEXT(D18,"0.00")&amp;" per W(dc), for a total build cost of $"&amp;TEXT(ROUNDUP(Aggregate_Construction_Cost,0),"0,0")&amp;", excluding Interconnection Costs and Development Costs."</f>
        <v>Constsruction Costs are set to $1.29 per W(dc), for a total build cost of $444,807,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0" t="s">
        <v>457</v>
      </c>
      <c r="C87" s="443"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0" t="s">
        <v>457</v>
      </c>
      <c r="C88" s="443"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0" t="s">
        <v>457</v>
      </c>
      <c r="C89" s="443"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0" t="s">
        <v>457</v>
      </c>
      <c r="C90" s="443"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0" t="s">
        <v>457</v>
      </c>
      <c r="C91" s="443"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0" t="s">
        <v>457</v>
      </c>
      <c r="C92" s="443"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0" t="s">
        <v>457</v>
      </c>
      <c r="C93" s="443"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0" t="s">
        <v>457</v>
      </c>
      <c r="C94" s="443"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0" t="s">
        <v>457</v>
      </c>
      <c r="C95" s="443"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0" t="s">
        <v>457</v>
      </c>
      <c r="C96" s="443"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0" t="s">
        <v>457</v>
      </c>
      <c r="C97" s="443"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$516,722. That termination value is $77,508.</v>
      </c>
      <c r="D97" s="154"/>
      <c r="E97" s="154"/>
      <c r="F97" s="154"/>
      <c r="G97" s="154"/>
      <c r="H97" s="435"/>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6"/>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37"/>
      <c r="C99" s="435"/>
      <c r="D99" s="435"/>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5"/>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5"/>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5"/>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5"/>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5"/>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5"/>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2"/>
      <c r="N130" s="1"/>
      <c r="O130"/>
      <c r="P130"/>
      <c r="Q130"/>
      <c r="R130"/>
      <c r="S130"/>
      <c r="T130" s="2"/>
      <c r="U130" s="2"/>
      <c r="V130" s="2"/>
      <c r="W130" s="2"/>
      <c r="X130" s="2"/>
      <c r="Y130" s="2"/>
      <c r="Z130" s="2"/>
      <c r="AA130" s="2"/>
      <c r="AB130" s="2"/>
      <c r="AC130" s="2"/>
    </row>
    <row r="131" spans="4:29" ht="14" x14ac:dyDescent="0.2">
      <c r="D131"/>
      <c r="E131"/>
      <c r="F131"/>
      <c r="G131"/>
      <c r="H131"/>
      <c r="I131"/>
      <c r="M131" s="413"/>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498" t="s">
        <v>470</v>
      </c>
      <c r="O140" s="498"/>
      <c r="P140" s="2"/>
      <c r="Q140" s="2"/>
      <c r="R140" s="2"/>
      <c r="S140" s="2"/>
      <c r="T140" s="2"/>
      <c r="U140" s="2"/>
      <c r="V140" s="2"/>
      <c r="W140" s="2"/>
      <c r="X140" s="2"/>
      <c r="Y140" s="2"/>
      <c r="Z140" s="2"/>
      <c r="AA140" s="2"/>
      <c r="AB140" s="2"/>
    </row>
    <row r="141" spans="4:29" ht="16" x14ac:dyDescent="0.2">
      <c r="H141"/>
      <c r="I141"/>
      <c r="J141" s="499" t="s">
        <v>199</v>
      </c>
      <c r="K141" s="439" t="s">
        <v>314</v>
      </c>
      <c r="L141"/>
      <c r="M141"/>
      <c r="N141" s="498"/>
      <c r="O141" s="498"/>
      <c r="P141" s="2"/>
      <c r="Q141" s="2"/>
      <c r="R141" s="2"/>
      <c r="S141" s="2"/>
      <c r="T141" s="2"/>
      <c r="U141" s="2"/>
      <c r="V141" s="2"/>
      <c r="W141" s="2"/>
      <c r="X141" s="2"/>
      <c r="Y141" s="2"/>
      <c r="Z141" s="2"/>
      <c r="AA141" s="2"/>
    </row>
    <row r="142" spans="4:29" ht="16" x14ac:dyDescent="0.2">
      <c r="H142"/>
      <c r="I142"/>
      <c r="J142" s="500"/>
      <c r="K142" s="122" t="s">
        <v>245</v>
      </c>
      <c r="M142" s="14"/>
      <c r="N142" s="498"/>
      <c r="O142" s="498"/>
      <c r="P142" s="2"/>
      <c r="Q142" s="2"/>
      <c r="R142" s="2"/>
      <c r="S142" s="2"/>
      <c r="T142" s="2"/>
      <c r="U142" s="2"/>
      <c r="V142" s="2"/>
      <c r="W142" s="2"/>
      <c r="X142" s="2"/>
      <c r="Y142" s="2"/>
      <c r="Z142" s="2"/>
      <c r="AA142" s="2"/>
    </row>
    <row r="143" spans="4:29" ht="15" thickBot="1" x14ac:dyDescent="0.25">
      <c r="H143"/>
      <c r="I143"/>
      <c r="J143" s="501"/>
      <c r="K143" s="172" t="s">
        <v>219</v>
      </c>
      <c r="M143"/>
      <c r="N143" s="498"/>
      <c r="O143" s="498"/>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486"/>
      <c r="L145" s="487"/>
      <c r="P145" s="2"/>
      <c r="Q145" s="2"/>
      <c r="R145" s="2"/>
      <c r="S145" s="2"/>
      <c r="T145" s="2"/>
      <c r="U145" s="2"/>
      <c r="V145" s="2"/>
      <c r="W145" s="2"/>
      <c r="X145" s="2"/>
      <c r="Y145" s="2"/>
      <c r="Z145" s="2"/>
    </row>
    <row r="146" spans="1:27" ht="17" thickBot="1" x14ac:dyDescent="0.25">
      <c r="H146"/>
      <c r="I146"/>
      <c r="J146" s="176" t="s">
        <v>216</v>
      </c>
      <c r="K146" s="488"/>
      <c r="L146" s="489"/>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H10:I10"/>
    <mergeCell ref="H11:I11"/>
    <mergeCell ref="P3:X3"/>
    <mergeCell ref="P4:X10"/>
    <mergeCell ref="X48:AA48"/>
    <mergeCell ref="N21:P21"/>
    <mergeCell ref="N29:P29"/>
    <mergeCell ref="N16:P16"/>
    <mergeCell ref="H6:I8"/>
    <mergeCell ref="L5:N10"/>
    <mergeCell ref="B31:E31"/>
    <mergeCell ref="B41:E41"/>
    <mergeCell ref="B49:E49"/>
    <mergeCell ref="G33:H33"/>
    <mergeCell ref="N58:P58"/>
    <mergeCell ref="N48:P48"/>
    <mergeCell ref="K145:L145"/>
    <mergeCell ref="K146:L146"/>
    <mergeCell ref="B70:E71"/>
    <mergeCell ref="X64:Z64"/>
    <mergeCell ref="R46:T48"/>
    <mergeCell ref="N140:O143"/>
    <mergeCell ref="J141:J143"/>
    <mergeCell ref="X58:AA58"/>
    <mergeCell ref="B63:E63"/>
    <mergeCell ref="G51:H51"/>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090E20A6-256C-504B-B11D-F6BF3FC22DED}">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D22"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zoomScale="138" zoomScaleNormal="100" workbookViewId="0">
      <selection activeCell="D21" sqref="D21"/>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51" t="s">
        <v>0</v>
      </c>
      <c r="P4" s="552"/>
      <c r="Q4" s="552"/>
      <c r="R4" s="552"/>
      <c r="S4" s="552"/>
      <c r="T4" s="552"/>
      <c r="U4" s="552"/>
      <c r="V4" s="552"/>
      <c r="W4" s="552"/>
      <c r="X4" s="552"/>
      <c r="Y4" s="552"/>
      <c r="Z4" s="552"/>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53" t="s">
        <v>134</v>
      </c>
      <c r="P5" s="554"/>
      <c r="Q5" s="554"/>
      <c r="R5" s="554"/>
      <c r="S5" s="554"/>
      <c r="T5" s="554"/>
      <c r="U5" s="554"/>
      <c r="V5" s="554"/>
      <c r="W5" s="554"/>
      <c r="X5" s="554"/>
      <c r="Y5" s="554"/>
      <c r="Z5" s="555"/>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56"/>
      <c r="P6" s="557"/>
      <c r="Q6" s="557"/>
      <c r="R6" s="557"/>
      <c r="S6" s="557"/>
      <c r="T6" s="557"/>
      <c r="U6" s="557"/>
      <c r="V6" s="557"/>
      <c r="W6" s="557"/>
      <c r="X6" s="557"/>
      <c r="Y6" s="557"/>
      <c r="Z6" s="558"/>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3" t="s">
        <v>64</v>
      </c>
      <c r="I7" s="473"/>
      <c r="J7" s="473"/>
      <c r="K7" s="473"/>
      <c r="L7" s="473"/>
      <c r="N7" s="62"/>
      <c r="O7" s="556"/>
      <c r="P7" s="557"/>
      <c r="Q7" s="557"/>
      <c r="R7" s="557"/>
      <c r="S7" s="557"/>
      <c r="T7" s="557"/>
      <c r="U7" s="557"/>
      <c r="V7" s="557"/>
      <c r="W7" s="557"/>
      <c r="X7" s="557"/>
      <c r="Y7" s="557"/>
      <c r="Z7" s="558"/>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3"/>
      <c r="I8" s="473"/>
      <c r="J8" s="473"/>
      <c r="K8" s="473"/>
      <c r="L8" s="473"/>
      <c r="M8" s="3"/>
      <c r="O8" s="556"/>
      <c r="P8" s="557"/>
      <c r="Q8" s="557"/>
      <c r="R8" s="557"/>
      <c r="S8" s="557"/>
      <c r="T8" s="557"/>
      <c r="U8" s="557"/>
      <c r="V8" s="557"/>
      <c r="W8" s="557"/>
      <c r="X8" s="557"/>
      <c r="Y8" s="557"/>
      <c r="Z8" s="558"/>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56"/>
      <c r="P9" s="557"/>
      <c r="Q9" s="557"/>
      <c r="R9" s="557"/>
      <c r="S9" s="557"/>
      <c r="T9" s="557"/>
      <c r="U9" s="557"/>
      <c r="V9" s="557"/>
      <c r="W9" s="557"/>
      <c r="X9" s="557"/>
      <c r="Y9" s="557"/>
      <c r="Z9" s="558"/>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521" t="s">
        <v>214</v>
      </c>
      <c r="I10" s="522"/>
      <c r="J10" s="569"/>
      <c r="K10" s="570"/>
      <c r="L10" s="3"/>
      <c r="M10" s="3"/>
      <c r="O10" s="556"/>
      <c r="P10" s="557"/>
      <c r="Q10" s="557"/>
      <c r="R10" s="557"/>
      <c r="S10" s="557"/>
      <c r="T10" s="557"/>
      <c r="U10" s="557"/>
      <c r="V10" s="557"/>
      <c r="W10" s="557"/>
      <c r="X10" s="557"/>
      <c r="Y10" s="557"/>
      <c r="Z10" s="558"/>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82" t="s">
        <v>216</v>
      </c>
      <c r="I11" s="583"/>
      <c r="J11" s="571"/>
      <c r="K11" s="572"/>
      <c r="L11" s="3"/>
      <c r="O11" s="559"/>
      <c r="P11" s="560"/>
      <c r="Q11" s="560"/>
      <c r="R11" s="560"/>
      <c r="S11" s="560"/>
      <c r="T11" s="560"/>
      <c r="U11" s="560"/>
      <c r="V11" s="560"/>
      <c r="W11" s="560"/>
      <c r="X11" s="560"/>
      <c r="Y11" s="560"/>
      <c r="Z11" s="561"/>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66" t="s">
        <v>284</v>
      </c>
      <c r="C16" s="567"/>
      <c r="D16" s="567"/>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28" t="s">
        <v>32</v>
      </c>
      <c r="C17" s="329">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0" t="s">
        <v>371</v>
      </c>
      <c r="C18" s="192"/>
      <c r="D18" s="331"/>
      <c r="E18" s="331"/>
      <c r="F18" s="331"/>
      <c r="G18" s="331"/>
      <c r="H18" s="331"/>
      <c r="I18" s="331"/>
      <c r="J18" s="331"/>
      <c r="K18" s="331"/>
      <c r="L18" s="331"/>
      <c r="M18" s="331"/>
      <c r="N18" s="331"/>
      <c r="O18" s="331"/>
      <c r="P18" s="331"/>
      <c r="Q18" s="331"/>
      <c r="R18" s="331"/>
      <c r="S18" s="331"/>
      <c r="T18" s="331"/>
      <c r="U18" s="331"/>
      <c r="V18" s="331"/>
      <c r="W18" s="331"/>
      <c r="X18" s="331"/>
      <c r="Y18" s="331"/>
      <c r="Z18" s="331"/>
      <c r="AA18" s="331"/>
      <c r="AB18" s="331"/>
      <c r="AC18" s="331"/>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3">
        <f>IF(AND(SRECs_Applicable?="Yes",D17&lt;=SREC_Term_Yrs),SREC_Price,0)</f>
        <v>0</v>
      </c>
      <c r="E20" s="323">
        <f t="shared" ref="E20:V20" si="4">IF(AND(SRECs_Applicable?="Yes",E17&lt;=SREC_Term_Yrs),D20,0)*(1+SREC_Increase_Decrease)</f>
        <v>0</v>
      </c>
      <c r="F20" s="323">
        <f t="shared" si="4"/>
        <v>0</v>
      </c>
      <c r="G20" s="323">
        <f t="shared" si="4"/>
        <v>0</v>
      </c>
      <c r="H20" s="323">
        <f t="shared" si="4"/>
        <v>0</v>
      </c>
      <c r="I20" s="323">
        <f t="shared" si="4"/>
        <v>0</v>
      </c>
      <c r="J20" s="323">
        <f t="shared" si="4"/>
        <v>0</v>
      </c>
      <c r="K20" s="323">
        <f t="shared" si="4"/>
        <v>0</v>
      </c>
      <c r="L20" s="323">
        <f t="shared" si="4"/>
        <v>0</v>
      </c>
      <c r="M20" s="323">
        <f t="shared" si="4"/>
        <v>0</v>
      </c>
      <c r="N20" s="323">
        <f t="shared" si="4"/>
        <v>0</v>
      </c>
      <c r="O20" s="323">
        <f t="shared" si="4"/>
        <v>0</v>
      </c>
      <c r="P20" s="323">
        <f t="shared" si="4"/>
        <v>0</v>
      </c>
      <c r="Q20" s="323">
        <f t="shared" si="4"/>
        <v>0</v>
      </c>
      <c r="R20" s="323">
        <f t="shared" si="4"/>
        <v>0</v>
      </c>
      <c r="S20" s="323">
        <f t="shared" si="4"/>
        <v>0</v>
      </c>
      <c r="T20" s="323">
        <f t="shared" si="4"/>
        <v>0</v>
      </c>
      <c r="U20" s="323">
        <f t="shared" si="4"/>
        <v>0</v>
      </c>
      <c r="V20" s="323">
        <f t="shared" si="4"/>
        <v>0</v>
      </c>
      <c r="W20" s="323">
        <f t="shared" ref="W20:AB20" si="5">IF(AND(SRECs_Applicable?="Yes",W17&lt;=SREC_Term_Yrs),V20,0)*(1+SREC_Increase_Decrease)</f>
        <v>0</v>
      </c>
      <c r="X20" s="323">
        <f t="shared" si="5"/>
        <v>0</v>
      </c>
      <c r="Y20" s="323">
        <f t="shared" si="5"/>
        <v>0</v>
      </c>
      <c r="Z20" s="323">
        <f t="shared" si="5"/>
        <v>0</v>
      </c>
      <c r="AA20" s="323">
        <f t="shared" si="5"/>
        <v>0</v>
      </c>
      <c r="AB20" s="323">
        <f t="shared" si="5"/>
        <v>0</v>
      </c>
      <c r="AC20" s="323"/>
    </row>
    <row r="21" spans="1:29" ht="14" x14ac:dyDescent="0.2">
      <c r="A21" s="3"/>
      <c r="B21" s="210" t="s">
        <v>241</v>
      </c>
      <c r="C21" s="229"/>
      <c r="D21" s="250">
        <f>P50_Production_1st_Yr</f>
        <v>408659.99999999942</v>
      </c>
      <c r="E21" s="250">
        <f t="shared" ref="E21:V21" si="6">D21*(1-Panel_Degradation_Rate)</f>
        <v>406616.69999999943</v>
      </c>
      <c r="F21" s="250">
        <f t="shared" si="6"/>
        <v>404583.61649999942</v>
      </c>
      <c r="G21" s="250">
        <f t="shared" si="6"/>
        <v>402560.69841749943</v>
      </c>
      <c r="H21" s="250">
        <f t="shared" si="6"/>
        <v>400547.89492541191</v>
      </c>
      <c r="I21" s="250">
        <f t="shared" si="6"/>
        <v>398545.15545078483</v>
      </c>
      <c r="J21" s="250">
        <f t="shared" si="6"/>
        <v>396552.42967353092</v>
      </c>
      <c r="K21" s="250">
        <f t="shared" si="6"/>
        <v>394569.66752516327</v>
      </c>
      <c r="L21" s="250">
        <f t="shared" si="6"/>
        <v>392596.81918753748</v>
      </c>
      <c r="M21" s="250">
        <f t="shared" si="6"/>
        <v>390633.83509159979</v>
      </c>
      <c r="N21" s="250">
        <f t="shared" si="6"/>
        <v>388680.66591614176</v>
      </c>
      <c r="O21" s="250">
        <f t="shared" si="6"/>
        <v>386737.26258656103</v>
      </c>
      <c r="P21" s="250">
        <f t="shared" si="6"/>
        <v>384803.57627362822</v>
      </c>
      <c r="Q21" s="250">
        <f t="shared" si="6"/>
        <v>382879.55839226005</v>
      </c>
      <c r="R21" s="250">
        <f t="shared" si="6"/>
        <v>380965.16060029872</v>
      </c>
      <c r="S21" s="250">
        <f t="shared" si="6"/>
        <v>379060.33479729726</v>
      </c>
      <c r="T21" s="250">
        <f t="shared" si="6"/>
        <v>377165.03312331077</v>
      </c>
      <c r="U21" s="250">
        <f t="shared" si="6"/>
        <v>375279.20795769419</v>
      </c>
      <c r="V21" s="250">
        <f t="shared" si="6"/>
        <v>373402.8119179057</v>
      </c>
      <c r="W21" s="250">
        <f t="shared" ref="W21:AB21" si="7">V21*(1-Panel_Degradation_Rate)</f>
        <v>371535.79785831616</v>
      </c>
      <c r="X21" s="250">
        <f t="shared" si="7"/>
        <v>369678.11886902456</v>
      </c>
      <c r="Y21" s="250">
        <f t="shared" si="7"/>
        <v>367829.72827467945</v>
      </c>
      <c r="Z21" s="250">
        <f t="shared" si="7"/>
        <v>365990.57963330607</v>
      </c>
      <c r="AA21" s="250">
        <f t="shared" si="7"/>
        <v>364160.62673513952</v>
      </c>
      <c r="AB21" s="250">
        <f t="shared" si="7"/>
        <v>362339.82360146381</v>
      </c>
      <c r="AC21" s="250"/>
    </row>
    <row r="22" spans="1:29" ht="14" x14ac:dyDescent="0.2">
      <c r="A22" s="3"/>
      <c r="B22" s="210" t="s">
        <v>455</v>
      </c>
      <c r="C22" s="229"/>
      <c r="D22" s="323">
        <f>PTC_Starting_Rate_Dollars_per_MWh</f>
        <v>26</v>
      </c>
      <c r="E22" s="323">
        <f t="shared" ref="E22:AB22" si="8">IF(E17&lt;=PTC_Term_in_Years,D22*(1+PTC_Annual_Inflator_Rate_Percent),0)</f>
        <v>26.52</v>
      </c>
      <c r="F22" s="323">
        <f t="shared" si="8"/>
        <v>27.0504</v>
      </c>
      <c r="G22" s="323">
        <f t="shared" si="8"/>
        <v>27.591408000000001</v>
      </c>
      <c r="H22" s="323">
        <f t="shared" si="8"/>
        <v>28.143236160000001</v>
      </c>
      <c r="I22" s="323">
        <f t="shared" si="8"/>
        <v>28.706100883200001</v>
      </c>
      <c r="J22" s="323">
        <f t="shared" si="8"/>
        <v>29.280222900864</v>
      </c>
      <c r="K22" s="323">
        <f t="shared" si="8"/>
        <v>29.86582735888128</v>
      </c>
      <c r="L22" s="323">
        <f t="shared" si="8"/>
        <v>30.463143906058907</v>
      </c>
      <c r="M22" s="323">
        <f t="shared" si="8"/>
        <v>31.072406784180085</v>
      </c>
      <c r="N22" s="323">
        <f t="shared" si="8"/>
        <v>0</v>
      </c>
      <c r="O22" s="323">
        <f t="shared" si="8"/>
        <v>0</v>
      </c>
      <c r="P22" s="323">
        <f t="shared" si="8"/>
        <v>0</v>
      </c>
      <c r="Q22" s="323">
        <f t="shared" si="8"/>
        <v>0</v>
      </c>
      <c r="R22" s="323">
        <f t="shared" si="8"/>
        <v>0</v>
      </c>
      <c r="S22" s="323">
        <f t="shared" si="8"/>
        <v>0</v>
      </c>
      <c r="T22" s="323">
        <f t="shared" si="8"/>
        <v>0</v>
      </c>
      <c r="U22" s="323">
        <f t="shared" si="8"/>
        <v>0</v>
      </c>
      <c r="V22" s="323">
        <f t="shared" si="8"/>
        <v>0</v>
      </c>
      <c r="W22" s="323">
        <f t="shared" si="8"/>
        <v>0</v>
      </c>
      <c r="X22" s="323">
        <f t="shared" si="8"/>
        <v>0</v>
      </c>
      <c r="Y22" s="323">
        <f t="shared" si="8"/>
        <v>0</v>
      </c>
      <c r="Z22" s="323">
        <f t="shared" si="8"/>
        <v>0</v>
      </c>
      <c r="AA22" s="323">
        <f t="shared" si="8"/>
        <v>0</v>
      </c>
      <c r="AB22" s="323">
        <f t="shared" si="8"/>
        <v>0</v>
      </c>
      <c r="AC22" s="250"/>
    </row>
    <row r="23" spans="1:29" ht="14" x14ac:dyDescent="0.2">
      <c r="A23" s="3"/>
      <c r="B23" s="210" t="s">
        <v>252</v>
      </c>
      <c r="C23" s="229"/>
      <c r="D23" s="250">
        <f t="shared" ref="D23:AB23" si="9">IF(D17&lt;=SREC_Term_Yrs,D21/SREC_Size_kWh_per_SREC,0)</f>
        <v>408.6599999999994</v>
      </c>
      <c r="E23" s="250">
        <f t="shared" si="9"/>
        <v>406.61669999999941</v>
      </c>
      <c r="F23" s="250">
        <f t="shared" si="9"/>
        <v>404.58361649999944</v>
      </c>
      <c r="G23" s="250">
        <f t="shared" si="9"/>
        <v>402.56069841749945</v>
      </c>
      <c r="H23" s="250">
        <f t="shared" si="9"/>
        <v>400.54789492541192</v>
      </c>
      <c r="I23" s="250">
        <f t="shared" si="9"/>
        <v>398.54515545078482</v>
      </c>
      <c r="J23" s="250">
        <f t="shared" si="9"/>
        <v>396.55242967353092</v>
      </c>
      <c r="K23" s="250">
        <f t="shared" si="9"/>
        <v>394.56966752516325</v>
      </c>
      <c r="L23" s="250">
        <f t="shared" si="9"/>
        <v>392.59681918753745</v>
      </c>
      <c r="M23" s="250">
        <f t="shared" si="9"/>
        <v>390.63383509159979</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29845.085551303284</v>
      </c>
      <c r="E26" s="228">
        <f t="shared" si="10"/>
        <v>30438.256626635437</v>
      </c>
      <c r="F26" s="228">
        <f t="shared" si="10"/>
        <v>31043.216977089811</v>
      </c>
      <c r="G26" s="228">
        <f t="shared" si="10"/>
        <v>31660.200914509467</v>
      </c>
      <c r="H26" s="228">
        <f t="shared" si="10"/>
        <v>32289.44740768534</v>
      </c>
      <c r="I26" s="228">
        <f t="shared" si="10"/>
        <v>32931.200174913087</v>
      </c>
      <c r="J26" s="228">
        <f t="shared" si="10"/>
        <v>33585.707778389478</v>
      </c>
      <c r="K26" s="228">
        <f t="shared" si="10"/>
        <v>34253.223720484966</v>
      </c>
      <c r="L26" s="228">
        <f t="shared" si="10"/>
        <v>34934.006541929601</v>
      </c>
      <c r="M26" s="228">
        <f t="shared" si="10"/>
        <v>35628.319921950453</v>
      </c>
      <c r="N26" s="228">
        <f t="shared" si="10"/>
        <v>36336.432780399213</v>
      </c>
      <c r="O26" s="228">
        <f t="shared" si="10"/>
        <v>37058.619381909637</v>
      </c>
      <c r="P26" s="228">
        <f t="shared" si="10"/>
        <v>37795.159442125085</v>
      </c>
      <c r="Q26" s="228">
        <f t="shared" si="10"/>
        <v>38546.338236037322</v>
      </c>
      <c r="R26" s="228">
        <f t="shared" si="10"/>
        <v>39312.446708478557</v>
      </c>
      <c r="S26" s="228">
        <f t="shared" si="10"/>
        <v>40093.781586809564</v>
      </c>
      <c r="T26" s="228">
        <f t="shared" si="10"/>
        <v>40890.645495847399</v>
      </c>
      <c r="U26" s="228">
        <f t="shared" si="10"/>
        <v>41703.347075077363</v>
      </c>
      <c r="V26" s="228">
        <f t="shared" si="10"/>
        <v>42532.20109819452</v>
      </c>
      <c r="W26" s="228">
        <f t="shared" si="10"/>
        <v>43377.528595021126</v>
      </c>
      <c r="X26" s="228">
        <f t="shared" si="10"/>
        <v>44239.656975847167</v>
      </c>
      <c r="Y26" s="228">
        <f t="shared" si="10"/>
        <v>45118.920158242123</v>
      </c>
      <c r="Z26" s="228">
        <f t="shared" si="10"/>
        <v>46015.658696387189</v>
      </c>
      <c r="AA26" s="228">
        <f t="shared" si="10"/>
        <v>46930.219912977875</v>
      </c>
      <c r="AB26" s="228">
        <f t="shared" si="10"/>
        <v>47862.958033748298</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29845.085551303284</v>
      </c>
      <c r="E28" s="183">
        <f t="shared" ref="E28:V28" si="12">SUM(E26:E27)</f>
        <v>30438.256626635437</v>
      </c>
      <c r="F28" s="183">
        <f t="shared" si="12"/>
        <v>31043.216977089811</v>
      </c>
      <c r="G28" s="183">
        <f t="shared" si="12"/>
        <v>31660.200914509467</v>
      </c>
      <c r="H28" s="183">
        <f t="shared" si="12"/>
        <v>32289.44740768534</v>
      </c>
      <c r="I28" s="183">
        <f t="shared" si="12"/>
        <v>32931.200174913087</v>
      </c>
      <c r="J28" s="183">
        <f t="shared" si="12"/>
        <v>33585.707778389478</v>
      </c>
      <c r="K28" s="183">
        <f t="shared" si="12"/>
        <v>34253.223720484966</v>
      </c>
      <c r="L28" s="183">
        <f t="shared" si="12"/>
        <v>34934.006541929601</v>
      </c>
      <c r="M28" s="183">
        <f t="shared" si="12"/>
        <v>35628.319921950453</v>
      </c>
      <c r="N28" s="183">
        <f t="shared" si="12"/>
        <v>36336.432780399213</v>
      </c>
      <c r="O28" s="183">
        <f t="shared" si="12"/>
        <v>37058.619381909637</v>
      </c>
      <c r="P28" s="183">
        <f t="shared" si="12"/>
        <v>37795.159442125085</v>
      </c>
      <c r="Q28" s="183">
        <f t="shared" si="12"/>
        <v>38546.338236037322</v>
      </c>
      <c r="R28" s="183">
        <f t="shared" si="12"/>
        <v>39312.446708478557</v>
      </c>
      <c r="S28" s="183">
        <f t="shared" si="12"/>
        <v>40093.781586809564</v>
      </c>
      <c r="T28" s="183">
        <f t="shared" si="12"/>
        <v>40890.645495847399</v>
      </c>
      <c r="U28" s="183">
        <f t="shared" si="12"/>
        <v>41703.347075077363</v>
      </c>
      <c r="V28" s="183">
        <f t="shared" si="12"/>
        <v>42532.20109819452</v>
      </c>
      <c r="W28" s="183">
        <f t="shared" ref="W28:AB28" si="13">SUM(W26:W27)</f>
        <v>43377.528595021126</v>
      </c>
      <c r="X28" s="183">
        <f t="shared" si="13"/>
        <v>44239.656975847167</v>
      </c>
      <c r="Y28" s="183">
        <f t="shared" si="13"/>
        <v>45118.920158242123</v>
      </c>
      <c r="Z28" s="183">
        <f t="shared" si="13"/>
        <v>46015.658696387189</v>
      </c>
      <c r="AA28" s="183">
        <f t="shared" si="13"/>
        <v>46930.219912977875</v>
      </c>
      <c r="AB28" s="183">
        <f t="shared" si="13"/>
        <v>47862.958033748298</v>
      </c>
      <c r="AC28" s="183"/>
    </row>
    <row r="29" spans="1:29" ht="15" thickBot="1" x14ac:dyDescent="0.25">
      <c r="A29" s="3"/>
      <c r="B29" s="216" t="s">
        <v>197</v>
      </c>
      <c r="C29" s="253"/>
      <c r="D29" s="247">
        <f>State_Sales_Tax*Unstructured!D28</f>
        <v>2089.1559885912302</v>
      </c>
      <c r="E29" s="247">
        <f>State_Sales_Tax*Unstructured!E28</f>
        <v>2130.6779638644807</v>
      </c>
      <c r="F29" s="247">
        <f>State_Sales_Tax*Unstructured!F28</f>
        <v>2173.0251883962869</v>
      </c>
      <c r="G29" s="247">
        <f>State_Sales_Tax*Unstructured!G28</f>
        <v>2216.2140640156631</v>
      </c>
      <c r="H29" s="247">
        <f>State_Sales_Tax*Unstructured!H28</f>
        <v>2260.2613185379741</v>
      </c>
      <c r="I29" s="247">
        <f>State_Sales_Tax*Unstructured!I28</f>
        <v>2305.1840122439162</v>
      </c>
      <c r="J29" s="247">
        <f>State_Sales_Tax*Unstructured!J28</f>
        <v>2350.9995444872638</v>
      </c>
      <c r="K29" s="247">
        <f>State_Sales_Tax*Unstructured!K28</f>
        <v>2397.7256604339477</v>
      </c>
      <c r="L29" s="247">
        <f>State_Sales_Tax*Unstructured!L28</f>
        <v>2445.3804579350722</v>
      </c>
      <c r="M29" s="247">
        <f>State_Sales_Tax*Unstructured!M28</f>
        <v>2493.982394536532</v>
      </c>
      <c r="N29" s="247">
        <f>State_Sales_Tax*Unstructured!N28</f>
        <v>2543.5502946279453</v>
      </c>
      <c r="O29" s="247">
        <f>State_Sales_Tax*Unstructured!O28</f>
        <v>2594.1033567336749</v>
      </c>
      <c r="P29" s="247">
        <f>State_Sales_Tax*Unstructured!P28</f>
        <v>2645.6611609487563</v>
      </c>
      <c r="Q29" s="247">
        <f>State_Sales_Tax*Unstructured!Q28</f>
        <v>2698.243676522613</v>
      </c>
      <c r="R29" s="247">
        <f>State_Sales_Tax*Unstructured!R28</f>
        <v>2751.8712695934992</v>
      </c>
      <c r="S29" s="247">
        <f>State_Sales_Tax*Unstructured!S28</f>
        <v>2806.5647110766699</v>
      </c>
      <c r="T29" s="247">
        <f>State_Sales_Tax*Unstructured!T28</f>
        <v>2862.3451847093183</v>
      </c>
      <c r="U29" s="247">
        <f>State_Sales_Tax*Unstructured!U28</f>
        <v>2919.2342952554159</v>
      </c>
      <c r="V29" s="247">
        <f>State_Sales_Tax*Unstructured!V28</f>
        <v>2977.2540768736167</v>
      </c>
      <c r="W29" s="247">
        <f>State_Sales_Tax*Unstructured!W28</f>
        <v>3036.4270016514793</v>
      </c>
      <c r="X29" s="247">
        <f>State_Sales_Tax*Unstructured!X28</f>
        <v>3096.7759883093022</v>
      </c>
      <c r="Y29" s="247">
        <f>State_Sales_Tax*Unstructured!Y28</f>
        <v>3158.3244110769488</v>
      </c>
      <c r="Z29" s="247">
        <f>State_Sales_Tax*Unstructured!Z28</f>
        <v>3221.0961087471037</v>
      </c>
      <c r="AA29" s="247">
        <f>State_Sales_Tax*Unstructured!AA28</f>
        <v>3285.1153939084516</v>
      </c>
      <c r="AB29" s="247">
        <f>State_Sales_Tax*Unstructured!AB28</f>
        <v>3350.4070623623811</v>
      </c>
      <c r="AC29" s="247"/>
    </row>
    <row r="30" spans="1:29" ht="15" thickTop="1" x14ac:dyDescent="0.2">
      <c r="A30" s="3"/>
      <c r="B30" s="233" t="s">
        <v>143</v>
      </c>
      <c r="C30" s="253"/>
      <c r="D30" s="254">
        <f>SUM(D28-D29)</f>
        <v>27755.929562712052</v>
      </c>
      <c r="E30" s="254">
        <f t="shared" ref="E30:V30" si="14">SUM(E28-E29)</f>
        <v>28307.578662770957</v>
      </c>
      <c r="F30" s="254">
        <f t="shared" si="14"/>
        <v>28870.191788693523</v>
      </c>
      <c r="G30" s="254">
        <f t="shared" si="14"/>
        <v>29443.986850493806</v>
      </c>
      <c r="H30" s="254">
        <f t="shared" si="14"/>
        <v>30029.186089147366</v>
      </c>
      <c r="I30" s="254">
        <f t="shared" si="14"/>
        <v>30626.01616266917</v>
      </c>
      <c r="J30" s="254">
        <f t="shared" si="14"/>
        <v>31234.708233902216</v>
      </c>
      <c r="K30" s="254">
        <f t="shared" si="14"/>
        <v>31855.498060051017</v>
      </c>
      <c r="L30" s="254">
        <f t="shared" si="14"/>
        <v>32488.626083994528</v>
      </c>
      <c r="M30" s="254">
        <f t="shared" si="14"/>
        <v>33134.337527413918</v>
      </c>
      <c r="N30" s="254">
        <f t="shared" si="14"/>
        <v>33792.882485771268</v>
      </c>
      <c r="O30" s="254">
        <f t="shared" si="14"/>
        <v>34464.516025175959</v>
      </c>
      <c r="P30" s="254">
        <f t="shared" si="14"/>
        <v>35149.498281176326</v>
      </c>
      <c r="Q30" s="254">
        <f t="shared" si="14"/>
        <v>35848.094559514706</v>
      </c>
      <c r="R30" s="254">
        <f t="shared" si="14"/>
        <v>36560.575438885062</v>
      </c>
      <c r="S30" s="254">
        <f t="shared" si="14"/>
        <v>37287.216875732891</v>
      </c>
      <c r="T30" s="254">
        <f t="shared" si="14"/>
        <v>38028.300311138082</v>
      </c>
      <c r="U30" s="254">
        <f t="shared" si="14"/>
        <v>38784.112779821946</v>
      </c>
      <c r="V30" s="254">
        <f t="shared" si="14"/>
        <v>39554.947021320906</v>
      </c>
      <c r="W30" s="254">
        <f t="shared" ref="W30:AB30" si="15">SUM(W28-W29)</f>
        <v>40341.101593369647</v>
      </c>
      <c r="X30" s="254">
        <f t="shared" si="15"/>
        <v>41142.880987537865</v>
      </c>
      <c r="Y30" s="254">
        <f t="shared" si="15"/>
        <v>41960.595747165171</v>
      </c>
      <c r="Z30" s="254">
        <f t="shared" si="15"/>
        <v>42794.562587640088</v>
      </c>
      <c r="AA30" s="254">
        <f t="shared" si="15"/>
        <v>43645.10451906942</v>
      </c>
      <c r="AB30" s="254">
        <f t="shared" si="15"/>
        <v>44512.550971385921</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5248.9710000000005</v>
      </c>
      <c r="E33" s="228">
        <f t="shared" ref="E33:AB33" si="16">Size_of_System_in_W_DC*(OandM_Cost_per_W_DC*((1+OandM_Cost_Escalator)^(E17-1)))</f>
        <v>5353.950420000001</v>
      </c>
      <c r="F33" s="228">
        <f t="shared" si="16"/>
        <v>5461.0294284000001</v>
      </c>
      <c r="G33" s="228">
        <f t="shared" si="16"/>
        <v>5570.2500169679997</v>
      </c>
      <c r="H33" s="228">
        <f t="shared" si="16"/>
        <v>5681.6550173073601</v>
      </c>
      <c r="I33" s="228">
        <f t="shared" si="16"/>
        <v>5795.2881176535075</v>
      </c>
      <c r="J33" s="228">
        <f t="shared" si="16"/>
        <v>5911.1938800065782</v>
      </c>
      <c r="K33" s="228">
        <f t="shared" si="16"/>
        <v>6029.4177576067086</v>
      </c>
      <c r="L33" s="228">
        <f t="shared" si="16"/>
        <v>6150.0061127588433</v>
      </c>
      <c r="M33" s="228">
        <f t="shared" si="16"/>
        <v>6273.0062350140197</v>
      </c>
      <c r="N33" s="228">
        <f t="shared" si="16"/>
        <v>6398.4663597143008</v>
      </c>
      <c r="O33" s="228">
        <f t="shared" si="16"/>
        <v>6526.4356869085859</v>
      </c>
      <c r="P33" s="228">
        <f t="shared" si="16"/>
        <v>6656.9644006467579</v>
      </c>
      <c r="Q33" s="228">
        <f t="shared" si="16"/>
        <v>6790.103688659693</v>
      </c>
      <c r="R33" s="228">
        <f t="shared" si="16"/>
        <v>6925.905762432888</v>
      </c>
      <c r="S33" s="228">
        <f t="shared" si="16"/>
        <v>7064.4238776815437</v>
      </c>
      <c r="T33" s="228">
        <f t="shared" si="16"/>
        <v>7205.712355235175</v>
      </c>
      <c r="U33" s="228">
        <f t="shared" si="16"/>
        <v>7349.8266023398792</v>
      </c>
      <c r="V33" s="228">
        <f t="shared" si="16"/>
        <v>7496.8231343866764</v>
      </c>
      <c r="W33" s="228">
        <f t="shared" si="16"/>
        <v>7646.7595970744105</v>
      </c>
      <c r="X33" s="228">
        <f t="shared" si="16"/>
        <v>7799.694789015899</v>
      </c>
      <c r="Y33" s="228">
        <f t="shared" si="16"/>
        <v>7955.688684796216</v>
      </c>
      <c r="Z33" s="228">
        <f t="shared" si="16"/>
        <v>8114.8024584921413</v>
      </c>
      <c r="AA33" s="228">
        <f t="shared" si="16"/>
        <v>8277.0985076619818</v>
      </c>
      <c r="AB33" s="228">
        <f t="shared" si="16"/>
        <v>8442.6404778152228</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1328.635</v>
      </c>
      <c r="E37" s="247">
        <f t="shared" ref="E37:AB37" si="21">Size_of_System_in_W_DC*((1+Insurance_Cost_Escalator)^(E17-1)*Insurance_Cost_per_Watt_DC)</f>
        <v>1355.2076999999999</v>
      </c>
      <c r="F37" s="247">
        <f t="shared" si="21"/>
        <v>1382.311854</v>
      </c>
      <c r="G37" s="247">
        <f t="shared" si="21"/>
        <v>1409.95809108</v>
      </c>
      <c r="H37" s="247">
        <f t="shared" si="21"/>
        <v>1438.1572529015998</v>
      </c>
      <c r="I37" s="247">
        <f t="shared" si="21"/>
        <v>1466.9203979596323</v>
      </c>
      <c r="J37" s="247">
        <f t="shared" si="21"/>
        <v>1496.2588059188249</v>
      </c>
      <c r="K37" s="247">
        <f t="shared" si="21"/>
        <v>1526.1839820372008</v>
      </c>
      <c r="L37" s="247">
        <f t="shared" si="21"/>
        <v>1556.707661677945</v>
      </c>
      <c r="M37" s="247">
        <f t="shared" si="21"/>
        <v>1587.8418149115039</v>
      </c>
      <c r="N37" s="247">
        <f t="shared" si="21"/>
        <v>1619.5986512097343</v>
      </c>
      <c r="O37" s="247">
        <f t="shared" si="21"/>
        <v>1651.9906242339284</v>
      </c>
      <c r="P37" s="247">
        <f t="shared" si="21"/>
        <v>1685.0304367186072</v>
      </c>
      <c r="Q37" s="247">
        <f t="shared" si="21"/>
        <v>1718.7310454529795</v>
      </c>
      <c r="R37" s="247">
        <f t="shared" si="21"/>
        <v>1753.1056663620393</v>
      </c>
      <c r="S37" s="247">
        <f t="shared" si="21"/>
        <v>1788.1677796892795</v>
      </c>
      <c r="T37" s="247">
        <f t="shared" si="21"/>
        <v>1823.9311352830653</v>
      </c>
      <c r="U37" s="247">
        <f t="shared" si="21"/>
        <v>1860.4097579887268</v>
      </c>
      <c r="V37" s="247">
        <f t="shared" si="21"/>
        <v>1897.6179531485013</v>
      </c>
      <c r="W37" s="247">
        <f t="shared" si="21"/>
        <v>1935.5703122114712</v>
      </c>
      <c r="X37" s="247">
        <f t="shared" si="21"/>
        <v>1974.2817184557007</v>
      </c>
      <c r="Y37" s="247">
        <f t="shared" si="21"/>
        <v>2013.7673528248147</v>
      </c>
      <c r="Z37" s="247">
        <f t="shared" si="21"/>
        <v>2054.0426998813109</v>
      </c>
      <c r="AA37" s="247">
        <f t="shared" si="21"/>
        <v>2095.1235538789369</v>
      </c>
      <c r="AB37" s="247">
        <f t="shared" si="21"/>
        <v>2137.0260249565158</v>
      </c>
      <c r="AC37" s="247"/>
    </row>
    <row r="38" spans="1:29" ht="15" thickTop="1" x14ac:dyDescent="0.2">
      <c r="A38" s="3"/>
      <c r="B38" s="211" t="s">
        <v>271</v>
      </c>
      <c r="C38" s="253"/>
      <c r="D38" s="228">
        <f>SUM(D33:D37)</f>
        <v>6577.6060000000007</v>
      </c>
      <c r="E38" s="228">
        <f>SUM(E33:E37)</f>
        <v>6709.158120000001</v>
      </c>
      <c r="F38" s="228">
        <f t="shared" ref="F38:V38" si="22">SUM(F33:F37)</f>
        <v>6843.3412824000006</v>
      </c>
      <c r="G38" s="228">
        <f t="shared" si="22"/>
        <v>6980.2081080480002</v>
      </c>
      <c r="H38" s="228">
        <f t="shared" si="22"/>
        <v>7119.8122702089604</v>
      </c>
      <c r="I38" s="228">
        <f t="shared" si="22"/>
        <v>7262.2085156131398</v>
      </c>
      <c r="J38" s="228">
        <f t="shared" si="22"/>
        <v>7407.4526859254029</v>
      </c>
      <c r="K38" s="228">
        <f t="shared" si="22"/>
        <v>7555.6017396439092</v>
      </c>
      <c r="L38" s="228">
        <f t="shared" si="22"/>
        <v>7706.7137744367883</v>
      </c>
      <c r="M38" s="228">
        <f t="shared" si="22"/>
        <v>7860.8480499255238</v>
      </c>
      <c r="N38" s="228">
        <f t="shared" si="22"/>
        <v>8018.0650109240351</v>
      </c>
      <c r="O38" s="228">
        <f t="shared" si="22"/>
        <v>8178.4263111425144</v>
      </c>
      <c r="P38" s="228">
        <f t="shared" si="22"/>
        <v>8341.9948373653642</v>
      </c>
      <c r="Q38" s="228">
        <f t="shared" si="22"/>
        <v>8508.8347341126719</v>
      </c>
      <c r="R38" s="228">
        <f t="shared" si="22"/>
        <v>8679.0114287949273</v>
      </c>
      <c r="S38" s="228">
        <f t="shared" si="22"/>
        <v>8852.5916573708237</v>
      </c>
      <c r="T38" s="228">
        <f t="shared" si="22"/>
        <v>9029.6434905182396</v>
      </c>
      <c r="U38" s="228">
        <f t="shared" si="22"/>
        <v>9210.2363603286067</v>
      </c>
      <c r="V38" s="228">
        <f t="shared" si="22"/>
        <v>9394.4410875351787</v>
      </c>
      <c r="W38" s="228">
        <f t="shared" ref="W38:AB38" si="23">SUM(W33:W37)</f>
        <v>9582.3299092858815</v>
      </c>
      <c r="X38" s="228">
        <f t="shared" si="23"/>
        <v>9773.9765074715997</v>
      </c>
      <c r="Y38" s="228">
        <f t="shared" si="23"/>
        <v>9969.4560376210302</v>
      </c>
      <c r="Z38" s="228">
        <f t="shared" si="23"/>
        <v>10168.845158373453</v>
      </c>
      <c r="AA38" s="228">
        <f t="shared" si="23"/>
        <v>10372.222061540919</v>
      </c>
      <c r="AB38" s="228">
        <f t="shared" si="23"/>
        <v>10579.666502771739</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21178.323562712052</v>
      </c>
      <c r="E40" s="228">
        <f t="shared" ref="E40:V40" si="24">E30-E38</f>
        <v>21598.420542770957</v>
      </c>
      <c r="F40" s="228">
        <f t="shared" si="24"/>
        <v>22026.850506293522</v>
      </c>
      <c r="G40" s="228">
        <f t="shared" si="24"/>
        <v>22463.778742445807</v>
      </c>
      <c r="H40" s="228">
        <f t="shared" si="24"/>
        <v>22909.373818938406</v>
      </c>
      <c r="I40" s="228">
        <f t="shared" si="24"/>
        <v>23363.80764705603</v>
      </c>
      <c r="J40" s="228">
        <f t="shared" si="24"/>
        <v>23827.255547976813</v>
      </c>
      <c r="K40" s="228">
        <f t="shared" si="24"/>
        <v>24299.896320407108</v>
      </c>
      <c r="L40" s="228">
        <f t="shared" si="24"/>
        <v>24781.912309557738</v>
      </c>
      <c r="M40" s="228">
        <f t="shared" si="24"/>
        <v>25273.489477488394</v>
      </c>
      <c r="N40" s="228">
        <f t="shared" si="24"/>
        <v>25774.817474847234</v>
      </c>
      <c r="O40" s="228">
        <f t="shared" si="24"/>
        <v>26286.089714033445</v>
      </c>
      <c r="P40" s="228">
        <f t="shared" si="24"/>
        <v>26807.503443810961</v>
      </c>
      <c r="Q40" s="228">
        <f t="shared" si="24"/>
        <v>27339.259825402034</v>
      </c>
      <c r="R40" s="228">
        <f t="shared" si="24"/>
        <v>27881.564010090136</v>
      </c>
      <c r="S40" s="228">
        <f t="shared" si="24"/>
        <v>28434.625218362067</v>
      </c>
      <c r="T40" s="228">
        <f t="shared" si="24"/>
        <v>28998.656820619843</v>
      </c>
      <c r="U40" s="228">
        <f t="shared" si="24"/>
        <v>29573.876419493339</v>
      </c>
      <c r="V40" s="228">
        <f t="shared" si="24"/>
        <v>30160.505933785727</v>
      </c>
      <c r="W40" s="228">
        <f t="shared" ref="W40:AB40" si="25">W30-W38</f>
        <v>30758.771684083767</v>
      </c>
      <c r="X40" s="228">
        <f t="shared" si="25"/>
        <v>31368.904480066267</v>
      </c>
      <c r="Y40" s="228">
        <f t="shared" si="25"/>
        <v>31991.139709544143</v>
      </c>
      <c r="Z40" s="228">
        <f t="shared" si="25"/>
        <v>32625.717429266635</v>
      </c>
      <c r="AA40" s="228">
        <f t="shared" si="25"/>
        <v>33272.882457528503</v>
      </c>
      <c r="AB40" s="228">
        <f t="shared" si="25"/>
        <v>33932.884468614182</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79817.999375449988</v>
      </c>
      <c r="E45" s="228">
        <f>IF(OR(Tax_Efficient_Status?="Not Efficient",Tax_Efficient_Status?="Federal Only"),(Unstructured!E114+Unstructured!E115),E114)</f>
        <v>127708.79900071997</v>
      </c>
      <c r="F45" s="228">
        <f>IF(OR(Tax_Efficient_Status?="Not Efficient",Tax_Efficient_Status?="Federal Only"),(Unstructured!F114+Unstructured!F115),F114)</f>
        <v>76625.279400431988</v>
      </c>
      <c r="G45" s="228">
        <f>IF(OR(Tax_Efficient_Status?="Not Efficient",Tax_Efficient_Status?="Federal Only"),(Unstructured!G114+Unstructured!G115),G114)</f>
        <v>45975.167640259191</v>
      </c>
      <c r="H45" s="228">
        <f>IF(OR(Tax_Efficient_Status?="Not Efficient",Tax_Efficient_Status?="Federal Only"),(Unstructured!H114+Unstructured!H115),H114)</f>
        <v>45975.167640259191</v>
      </c>
      <c r="I45" s="228">
        <f>IF(OR(Tax_Efficient_Status?="Not Efficient",Tax_Efficient_Status?="Federal Only"),(Unstructured!I114+Unstructured!I115),I114)</f>
        <v>22987.583820129596</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79817.999375449988</v>
      </c>
      <c r="E46" s="228">
        <f>IF(Tax_Efficient_Status?="Not Efficient",(Unstructured!E121+Unstructured!E122),E121)</f>
        <v>127708.79900071997</v>
      </c>
      <c r="F46" s="228">
        <f>IF(Tax_Efficient_Status?="Not Efficient",(Unstructured!F121+Unstructured!F122),F121)</f>
        <v>76625.279400431988</v>
      </c>
      <c r="G46" s="228">
        <f>IF(Tax_Efficient_Status?="Not Efficient",(Unstructured!G121+Unstructured!G122),G121)</f>
        <v>45975.167640259191</v>
      </c>
      <c r="H46" s="228">
        <f>IF(Tax_Efficient_Status?="Not Efficient",(Unstructured!H121+Unstructured!H122),H121)</f>
        <v>45975.167640259191</v>
      </c>
      <c r="I46" s="228">
        <f>IF(Tax_Efficient_Status?="Not Efficient",(Unstructured!I121+Unstructured!I122),I121)</f>
        <v>22987.583820129596</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-58639.675812737936</v>
      </c>
      <c r="E49" s="228">
        <f t="shared" si="28"/>
        <v>-106110.37845794902</v>
      </c>
      <c r="F49" s="228">
        <f t="shared" si="28"/>
        <v>-54598.428894138458</v>
      </c>
      <c r="G49" s="228">
        <f t="shared" si="28"/>
        <v>-23511.388897813384</v>
      </c>
      <c r="H49" s="228">
        <f t="shared" si="28"/>
        <v>-23065.793821320785</v>
      </c>
      <c r="I49" s="228">
        <f t="shared" si="28"/>
        <v>376.22382692643441</v>
      </c>
      <c r="J49" s="228">
        <f t="shared" si="28"/>
        <v>23827.255547976813</v>
      </c>
      <c r="K49" s="228">
        <f t="shared" si="28"/>
        <v>24299.896320407108</v>
      </c>
      <c r="L49" s="228">
        <f t="shared" si="28"/>
        <v>24781.912309557738</v>
      </c>
      <c r="M49" s="228">
        <f t="shared" si="28"/>
        <v>25273.489477488394</v>
      </c>
      <c r="N49" s="228">
        <f t="shared" si="28"/>
        <v>25774.817474847234</v>
      </c>
      <c r="O49" s="228">
        <f t="shared" si="28"/>
        <v>26286.089714033445</v>
      </c>
      <c r="P49" s="228">
        <f t="shared" si="28"/>
        <v>26807.503443810961</v>
      </c>
      <c r="Q49" s="228">
        <f t="shared" si="28"/>
        <v>27339.259825402034</v>
      </c>
      <c r="R49" s="228">
        <f t="shared" si="28"/>
        <v>27881.564010090136</v>
      </c>
      <c r="S49" s="228">
        <f t="shared" si="28"/>
        <v>28434.625218362067</v>
      </c>
      <c r="T49" s="228">
        <f t="shared" si="28"/>
        <v>28998.656820619843</v>
      </c>
      <c r="U49" s="228">
        <f t="shared" si="28"/>
        <v>29573.876419493339</v>
      </c>
      <c r="V49" s="228">
        <f t="shared" si="28"/>
        <v>30160.505933785727</v>
      </c>
      <c r="W49" s="228">
        <f t="shared" ref="W49:AB49" si="29">W30-(W38+W42+W45)</f>
        <v>30758.771684083767</v>
      </c>
      <c r="X49" s="228">
        <f t="shared" si="29"/>
        <v>31368.904480066267</v>
      </c>
      <c r="Y49" s="228">
        <f t="shared" si="29"/>
        <v>31991.139709544143</v>
      </c>
      <c r="Z49" s="228">
        <f t="shared" si="29"/>
        <v>32625.717429266635</v>
      </c>
      <c r="AA49" s="228">
        <f t="shared" si="29"/>
        <v>33272.882457528503</v>
      </c>
      <c r="AB49" s="228">
        <f t="shared" si="29"/>
        <v>33932.884468614182</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9.4055956731608603</v>
      </c>
      <c r="J50" s="228">
        <f t="shared" si="30"/>
        <v>595.68138869942038</v>
      </c>
      <c r="K50" s="228">
        <f t="shared" si="30"/>
        <v>607.49740801017776</v>
      </c>
      <c r="L50" s="228">
        <f t="shared" si="30"/>
        <v>619.54780773894345</v>
      </c>
      <c r="M50" s="228">
        <f t="shared" si="30"/>
        <v>631.83723693720992</v>
      </c>
      <c r="N50" s="228">
        <f t="shared" si="30"/>
        <v>644.37043687118091</v>
      </c>
      <c r="O50" s="228">
        <f t="shared" si="30"/>
        <v>657.15224285083616</v>
      </c>
      <c r="P50" s="228">
        <f t="shared" si="30"/>
        <v>670.18758609527413</v>
      </c>
      <c r="Q50" s="228">
        <f t="shared" si="30"/>
        <v>683.48149563505092</v>
      </c>
      <c r="R50" s="228">
        <f t="shared" si="30"/>
        <v>697.03910025225343</v>
      </c>
      <c r="S50" s="228">
        <f t="shared" si="30"/>
        <v>710.86563045905177</v>
      </c>
      <c r="T50" s="228">
        <f t="shared" si="30"/>
        <v>724.96642051549611</v>
      </c>
      <c r="U50" s="228">
        <f t="shared" si="30"/>
        <v>739.3469104873335</v>
      </c>
      <c r="V50" s="228">
        <f t="shared" si="30"/>
        <v>754.01264834464325</v>
      </c>
      <c r="W50" s="228">
        <f t="shared" si="30"/>
        <v>768.96929210209419</v>
      </c>
      <c r="X50" s="228">
        <f t="shared" si="30"/>
        <v>784.22261200165667</v>
      </c>
      <c r="Y50" s="228">
        <f t="shared" si="30"/>
        <v>799.77849273860363</v>
      </c>
      <c r="Z50" s="228">
        <f t="shared" si="30"/>
        <v>815.64293573166594</v>
      </c>
      <c r="AA50" s="228">
        <f t="shared" si="30"/>
        <v>831.82206143821259</v>
      </c>
      <c r="AB50" s="228">
        <f t="shared" si="30"/>
        <v>848.32211171535459</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9.4055956731608603</v>
      </c>
      <c r="J53" s="228">
        <f t="shared" si="35"/>
        <v>595.68138869942038</v>
      </c>
      <c r="K53" s="228">
        <f t="shared" si="35"/>
        <v>607.49740801017776</v>
      </c>
      <c r="L53" s="228">
        <f t="shared" si="35"/>
        <v>619.54780773894345</v>
      </c>
      <c r="M53" s="228">
        <f t="shared" si="35"/>
        <v>631.83723693720992</v>
      </c>
      <c r="N53" s="228">
        <f t="shared" si="35"/>
        <v>644.37043687118091</v>
      </c>
      <c r="O53" s="228">
        <f t="shared" si="35"/>
        <v>657.15224285083616</v>
      </c>
      <c r="P53" s="228">
        <f t="shared" si="35"/>
        <v>670.18758609527413</v>
      </c>
      <c r="Q53" s="228">
        <f t="shared" si="35"/>
        <v>683.48149563505092</v>
      </c>
      <c r="R53" s="228">
        <f t="shared" si="35"/>
        <v>697.03910025225343</v>
      </c>
      <c r="S53" s="228">
        <f t="shared" si="35"/>
        <v>710.86563045905177</v>
      </c>
      <c r="T53" s="228">
        <f t="shared" si="35"/>
        <v>724.96642051549611</v>
      </c>
      <c r="U53" s="228">
        <f t="shared" si="35"/>
        <v>739.3469104873335</v>
      </c>
      <c r="V53" s="228">
        <f t="shared" si="35"/>
        <v>754.01264834464325</v>
      </c>
      <c r="W53" s="228">
        <f t="shared" ref="W53:AB53" si="36">W50</f>
        <v>768.96929210209419</v>
      </c>
      <c r="X53" s="228">
        <f t="shared" si="36"/>
        <v>784.22261200165667</v>
      </c>
      <c r="Y53" s="228">
        <f t="shared" si="36"/>
        <v>799.77849273860363</v>
      </c>
      <c r="Z53" s="228">
        <f t="shared" si="36"/>
        <v>815.64293573166594</v>
      </c>
      <c r="AA53" s="228">
        <f t="shared" si="36"/>
        <v>831.82206143821259</v>
      </c>
      <c r="AB53" s="228">
        <f t="shared" si="36"/>
        <v>848.32211171535459</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-58639.675812737936</v>
      </c>
      <c r="E56" s="228">
        <f t="shared" si="37"/>
        <v>-106110.37845794902</v>
      </c>
      <c r="F56" s="228">
        <f t="shared" si="37"/>
        <v>-54598.428894138458</v>
      </c>
      <c r="G56" s="228">
        <f t="shared" si="37"/>
        <v>-23511.388897813384</v>
      </c>
      <c r="H56" s="228">
        <f t="shared" si="37"/>
        <v>-23065.793821320785</v>
      </c>
      <c r="I56" s="228">
        <f t="shared" si="37"/>
        <v>366.81823125327355</v>
      </c>
      <c r="J56" s="228">
        <f t="shared" si="37"/>
        <v>23231.574159277392</v>
      </c>
      <c r="K56" s="228">
        <f t="shared" si="37"/>
        <v>23692.39891239693</v>
      </c>
      <c r="L56" s="228">
        <f t="shared" si="37"/>
        <v>24162.364501818796</v>
      </c>
      <c r="M56" s="228">
        <f t="shared" si="37"/>
        <v>24641.652240551186</v>
      </c>
      <c r="N56" s="228">
        <f t="shared" si="37"/>
        <v>25130.447037976053</v>
      </c>
      <c r="O56" s="228">
        <f t="shared" si="37"/>
        <v>25628.937471182609</v>
      </c>
      <c r="P56" s="228">
        <f t="shared" si="37"/>
        <v>26137.315857715686</v>
      </c>
      <c r="Q56" s="228">
        <f t="shared" si="37"/>
        <v>26655.778329766981</v>
      </c>
      <c r="R56" s="228">
        <f t="shared" si="37"/>
        <v>27184.524909837881</v>
      </c>
      <c r="S56" s="228">
        <f t="shared" si="37"/>
        <v>27723.759587903016</v>
      </c>
      <c r="T56" s="228">
        <f t="shared" si="37"/>
        <v>28273.690400104344</v>
      </c>
      <c r="U56" s="228">
        <f t="shared" si="37"/>
        <v>28834.529509006006</v>
      </c>
      <c r="V56" s="228">
        <f t="shared" si="37"/>
        <v>29406.493285441084</v>
      </c>
      <c r="W56" s="228">
        <f t="shared" ref="W56:AB56" si="38">W30-(W38+W42+W46+W53)</f>
        <v>29989.80239198167</v>
      </c>
      <c r="X56" s="228">
        <f t="shared" si="38"/>
        <v>30584.68186806461</v>
      </c>
      <c r="Y56" s="228">
        <f t="shared" si="38"/>
        <v>31191.361216805537</v>
      </c>
      <c r="Z56" s="228">
        <f t="shared" si="38"/>
        <v>31810.074493534968</v>
      </c>
      <c r="AA56" s="228">
        <f t="shared" si="38"/>
        <v>32441.060396090288</v>
      </c>
      <c r="AB56" s="228">
        <f t="shared" si="38"/>
        <v>33084.562356898823</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77.031828563187446</v>
      </c>
      <c r="J57" s="228">
        <f t="shared" si="39"/>
        <v>4878.6305734482521</v>
      </c>
      <c r="K57" s="228">
        <f t="shared" si="39"/>
        <v>4975.4037716033554</v>
      </c>
      <c r="L57" s="228">
        <f t="shared" si="39"/>
        <v>5074.0965453819472</v>
      </c>
      <c r="M57" s="228">
        <f t="shared" si="39"/>
        <v>5174.7469705157491</v>
      </c>
      <c r="N57" s="228">
        <f t="shared" si="39"/>
        <v>5277.3938779749706</v>
      </c>
      <c r="O57" s="228">
        <f t="shared" si="39"/>
        <v>5382.0768689483475</v>
      </c>
      <c r="P57" s="228">
        <f t="shared" si="39"/>
        <v>5488.8363301202935</v>
      </c>
      <c r="Q57" s="228">
        <f t="shared" si="39"/>
        <v>5597.7134492510659</v>
      </c>
      <c r="R57" s="228">
        <f t="shared" si="39"/>
        <v>5708.7502310659547</v>
      </c>
      <c r="S57" s="228">
        <f t="shared" si="39"/>
        <v>5821.9895134596327</v>
      </c>
      <c r="T57" s="228">
        <f t="shared" si="39"/>
        <v>5937.474984021912</v>
      </c>
      <c r="U57" s="228">
        <f t="shared" si="39"/>
        <v>6055.2511968912613</v>
      </c>
      <c r="V57" s="228">
        <f t="shared" si="39"/>
        <v>6175.3635899426272</v>
      </c>
      <c r="W57" s="228">
        <f t="shared" si="39"/>
        <v>6297.8585023161504</v>
      </c>
      <c r="X57" s="228">
        <f t="shared" si="39"/>
        <v>6422.7831922935675</v>
      </c>
      <c r="Y57" s="228">
        <f t="shared" si="39"/>
        <v>6550.1858555291628</v>
      </c>
      <c r="Z57" s="228">
        <f t="shared" si="39"/>
        <v>6680.1156436423435</v>
      </c>
      <c r="AA57" s="228">
        <f t="shared" si="39"/>
        <v>6812.62268317896</v>
      </c>
      <c r="AB57" s="228">
        <f t="shared" si="39"/>
        <v>6947.7580949487528</v>
      </c>
      <c r="AC57" s="228"/>
    </row>
    <row r="58" spans="1:29" ht="14" x14ac:dyDescent="0.2">
      <c r="A58" s="3"/>
      <c r="B58" s="210" t="s">
        <v>141</v>
      </c>
      <c r="C58" s="253"/>
      <c r="D58" s="228">
        <f>IF(AND(Tax_Credit_Selector_ITC_or_PTC="ITC",Federal_ITC_Cash_Sale_OnOff="Off",D17=1),Federal_ITC_Dollar_Value,0)</f>
        <v>140855.29301549998</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140855.29301549998</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77.031828563187446</v>
      </c>
      <c r="J60" s="228">
        <f t="shared" si="44"/>
        <v>4878.6305734482521</v>
      </c>
      <c r="K60" s="228">
        <f t="shared" si="44"/>
        <v>4975.4037716033554</v>
      </c>
      <c r="L60" s="228">
        <f t="shared" si="44"/>
        <v>5074.0965453819472</v>
      </c>
      <c r="M60" s="228">
        <f t="shared" si="44"/>
        <v>5174.7469705157491</v>
      </c>
      <c r="N60" s="228">
        <f t="shared" si="44"/>
        <v>5277.3938779749706</v>
      </c>
      <c r="O60" s="228">
        <f t="shared" si="44"/>
        <v>5382.0768689483475</v>
      </c>
      <c r="P60" s="228">
        <f t="shared" si="44"/>
        <v>5488.8363301202935</v>
      </c>
      <c r="Q60" s="228">
        <f t="shared" si="44"/>
        <v>5597.7134492510659</v>
      </c>
      <c r="R60" s="228">
        <f t="shared" si="44"/>
        <v>5708.7502310659547</v>
      </c>
      <c r="S60" s="228">
        <f t="shared" si="44"/>
        <v>5821.9895134596327</v>
      </c>
      <c r="T60" s="228">
        <f t="shared" si="44"/>
        <v>5937.474984021912</v>
      </c>
      <c r="U60" s="228">
        <f t="shared" si="44"/>
        <v>6055.2511968912613</v>
      </c>
      <c r="V60" s="228">
        <f t="shared" si="44"/>
        <v>6175.3635899426272</v>
      </c>
      <c r="W60" s="228">
        <f t="shared" ref="W60:AB60" si="45">IF(W58&gt;W57,0,W57-W58)</f>
        <v>6297.8585023161504</v>
      </c>
      <c r="X60" s="228">
        <f t="shared" si="45"/>
        <v>6422.7831922935675</v>
      </c>
      <c r="Y60" s="228">
        <f t="shared" si="45"/>
        <v>6550.1858555291628</v>
      </c>
      <c r="Z60" s="228">
        <f t="shared" si="45"/>
        <v>6680.1156436423435</v>
      </c>
      <c r="AA60" s="228">
        <f t="shared" si="45"/>
        <v>6812.62268317896</v>
      </c>
      <c r="AB60" s="228">
        <f t="shared" si="45"/>
        <v>6947.7580949487528</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2" t="s">
        <v>272</v>
      </c>
      <c r="C62" s="333"/>
      <c r="D62" s="196">
        <f t="shared" ref="D62:V62" si="46">(D56-D60)</f>
        <v>-58639.675812737936</v>
      </c>
      <c r="E62" s="196">
        <f t="shared" si="46"/>
        <v>-106110.37845794902</v>
      </c>
      <c r="F62" s="196">
        <f t="shared" si="46"/>
        <v>-54598.428894138458</v>
      </c>
      <c r="G62" s="196">
        <f t="shared" si="46"/>
        <v>-23511.388897813384</v>
      </c>
      <c r="H62" s="196">
        <f t="shared" si="46"/>
        <v>-23065.793821320785</v>
      </c>
      <c r="I62" s="196">
        <f t="shared" si="46"/>
        <v>289.78640269008611</v>
      </c>
      <c r="J62" s="196">
        <f t="shared" si="46"/>
        <v>18352.94358582914</v>
      </c>
      <c r="K62" s="196">
        <f t="shared" si="46"/>
        <v>18716.995140793573</v>
      </c>
      <c r="L62" s="196">
        <f t="shared" si="46"/>
        <v>19088.267956436848</v>
      </c>
      <c r="M62" s="196">
        <f t="shared" si="46"/>
        <v>19466.905270035437</v>
      </c>
      <c r="N62" s="196">
        <f t="shared" si="46"/>
        <v>19853.053160001084</v>
      </c>
      <c r="O62" s="196">
        <f t="shared" si="46"/>
        <v>20246.860602234261</v>
      </c>
      <c r="P62" s="196">
        <f t="shared" si="46"/>
        <v>20648.479527595395</v>
      </c>
      <c r="Q62" s="196">
        <f t="shared" si="46"/>
        <v>21058.064880515914</v>
      </c>
      <c r="R62" s="196">
        <f t="shared" si="46"/>
        <v>21475.774678771926</v>
      </c>
      <c r="S62" s="196">
        <f t="shared" si="46"/>
        <v>21901.770074443382</v>
      </c>
      <c r="T62" s="196">
        <f t="shared" si="46"/>
        <v>22336.215416082432</v>
      </c>
      <c r="U62" s="196">
        <f t="shared" si="46"/>
        <v>22779.278312114744</v>
      </c>
      <c r="V62" s="196">
        <f t="shared" si="46"/>
        <v>23231.129695498457</v>
      </c>
      <c r="W62" s="196">
        <f t="shared" ref="W62:AB62" si="47">(W56-W60)</f>
        <v>23691.943889665519</v>
      </c>
      <c r="X62" s="196">
        <f t="shared" si="47"/>
        <v>24161.898675771045</v>
      </c>
      <c r="Y62" s="196">
        <f t="shared" si="47"/>
        <v>24641.175361276375</v>
      </c>
      <c r="Z62" s="196">
        <f t="shared" si="47"/>
        <v>25129.958849892624</v>
      </c>
      <c r="AA62" s="196">
        <f t="shared" si="47"/>
        <v>25628.437712911327</v>
      </c>
      <c r="AB62" s="196">
        <f t="shared" si="47"/>
        <v>26136.80426195007</v>
      </c>
      <c r="AC62" s="196"/>
    </row>
    <row r="66" spans="1:32" ht="16" x14ac:dyDescent="0.2">
      <c r="A66" s="3"/>
      <c r="B66" s="566" t="s">
        <v>378</v>
      </c>
      <c r="C66" s="567"/>
      <c r="D66" s="567"/>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140855.29301549998</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12314.331920674966</v>
      </c>
      <c r="E70" s="228">
        <f t="shared" si="50"/>
        <v>22283.179476169291</v>
      </c>
      <c r="F70" s="228">
        <f t="shared" si="50"/>
        <v>11465.670067769077</v>
      </c>
      <c r="G70" s="228">
        <f t="shared" si="50"/>
        <v>4937.3916685408103</v>
      </c>
      <c r="H70" s="228">
        <f t="shared" si="50"/>
        <v>4843.8167024773647</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1158.1335973015744</v>
      </c>
      <c r="E72" s="247">
        <f t="shared" si="51"/>
        <v>2095.6799745444932</v>
      </c>
      <c r="F72" s="247">
        <f t="shared" si="51"/>
        <v>1078.3189706592348</v>
      </c>
      <c r="G72" s="247">
        <f t="shared" si="51"/>
        <v>464.34993073181437</v>
      </c>
      <c r="H72" s="247">
        <f t="shared" si="51"/>
        <v>455.54942797108555</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154327.75853347653</v>
      </c>
      <c r="E73" s="228">
        <f t="shared" ref="E73:V73" si="52">SUM(E69:E72)</f>
        <v>24378.859450713782</v>
      </c>
      <c r="F73" s="228">
        <f t="shared" si="52"/>
        <v>12543.989038428312</v>
      </c>
      <c r="G73" s="228">
        <f t="shared" si="52"/>
        <v>5401.7415992726246</v>
      </c>
      <c r="H73" s="228">
        <f t="shared" si="52"/>
        <v>5299.3661304484503</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73" t="s">
        <v>460</v>
      </c>
      <c r="AE79" s="574"/>
      <c r="AF79" s="575"/>
    </row>
    <row r="80" spans="1:32" ht="14" customHeight="1" thickBot="1" x14ac:dyDescent="0.25">
      <c r="A80" s="3"/>
      <c r="B80" s="210" t="s">
        <v>233</v>
      </c>
      <c r="C80" s="247">
        <f>-Project_Net_Investment</f>
        <v>-516721.91375344113</v>
      </c>
      <c r="D80" s="247">
        <f>(D62+D46+SUM(D75:D77))</f>
        <v>21178.323562712052</v>
      </c>
      <c r="E80" s="247">
        <f t="shared" ref="E80:AA80" si="54">(E62+E46+SUM(E75:E77))</f>
        <v>21598.420542770953</v>
      </c>
      <c r="F80" s="247">
        <f t="shared" si="54"/>
        <v>22026.850506293529</v>
      </c>
      <c r="G80" s="247">
        <f t="shared" si="54"/>
        <v>22463.778742445807</v>
      </c>
      <c r="H80" s="247">
        <f t="shared" si="54"/>
        <v>22909.373818938406</v>
      </c>
      <c r="I80" s="247">
        <f t="shared" si="54"/>
        <v>23277.370222819682</v>
      </c>
      <c r="J80" s="247">
        <f t="shared" si="54"/>
        <v>18352.94358582914</v>
      </c>
      <c r="K80" s="247">
        <f t="shared" si="54"/>
        <v>18716.995140793573</v>
      </c>
      <c r="L80" s="247">
        <f t="shared" si="54"/>
        <v>19088.267956436848</v>
      </c>
      <c r="M80" s="247">
        <f t="shared" si="54"/>
        <v>19466.905270035437</v>
      </c>
      <c r="N80" s="247">
        <f t="shared" si="54"/>
        <v>19853.053160001084</v>
      </c>
      <c r="O80" s="247">
        <f t="shared" si="54"/>
        <v>20246.860602234261</v>
      </c>
      <c r="P80" s="247">
        <f t="shared" si="54"/>
        <v>20648.479527595395</v>
      </c>
      <c r="Q80" s="247">
        <f t="shared" si="54"/>
        <v>21058.064880515914</v>
      </c>
      <c r="R80" s="247">
        <f t="shared" si="54"/>
        <v>21475.774678771926</v>
      </c>
      <c r="S80" s="247">
        <f t="shared" si="54"/>
        <v>21901.770074443382</v>
      </c>
      <c r="T80" s="247">
        <f t="shared" si="54"/>
        <v>22336.215416082432</v>
      </c>
      <c r="U80" s="247">
        <f t="shared" si="54"/>
        <v>22779.278312114744</v>
      </c>
      <c r="V80" s="247">
        <f t="shared" si="54"/>
        <v>23231.129695498457</v>
      </c>
      <c r="W80" s="247">
        <f t="shared" si="54"/>
        <v>23691.943889665519</v>
      </c>
      <c r="X80" s="247">
        <f t="shared" si="54"/>
        <v>24161.898675771045</v>
      </c>
      <c r="Y80" s="247">
        <f t="shared" si="54"/>
        <v>24641.175361276375</v>
      </c>
      <c r="Z80" s="247">
        <f t="shared" si="54"/>
        <v>25129.958849892624</v>
      </c>
      <c r="AA80" s="247">
        <f t="shared" si="54"/>
        <v>25628.437712911327</v>
      </c>
      <c r="AB80" s="438">
        <f>((AB62+AB46+SUM(AB75:AB77))+IF(Termination_Value_OnOff="On",INDEX(Termination_Value_Table_End_of_Term,2,MATCH(Termination_Value_Percentage,Dashboard!C72:E72,0)),0))</f>
        <v>103645.09132496623</v>
      </c>
      <c r="AD80" s="576"/>
      <c r="AE80" s="577"/>
      <c r="AF80" s="578"/>
    </row>
    <row r="81" spans="1:32" ht="16" thickTop="1" thickBot="1" x14ac:dyDescent="0.25">
      <c r="A81" s="3"/>
      <c r="B81" s="210" t="s">
        <v>165</v>
      </c>
      <c r="C81" s="228">
        <f>C80</f>
        <v>-516721.91375344113</v>
      </c>
      <c r="D81" s="228">
        <f t="shared" ref="D81:V81" si="55">C81+D80</f>
        <v>-495543.59019072907</v>
      </c>
      <c r="E81" s="228">
        <f t="shared" si="55"/>
        <v>-473945.16964795813</v>
      </c>
      <c r="F81" s="228">
        <f t="shared" si="55"/>
        <v>-451918.3191416646</v>
      </c>
      <c r="G81" s="228">
        <f t="shared" si="55"/>
        <v>-429454.54039921879</v>
      </c>
      <c r="H81" s="228">
        <f t="shared" si="55"/>
        <v>-406545.16658028041</v>
      </c>
      <c r="I81" s="228">
        <f t="shared" si="55"/>
        <v>-383267.79635746073</v>
      </c>
      <c r="J81" s="228">
        <f t="shared" si="55"/>
        <v>-364914.85277163156</v>
      </c>
      <c r="K81" s="228">
        <f t="shared" si="55"/>
        <v>-346197.857630838</v>
      </c>
      <c r="L81" s="228">
        <f t="shared" si="55"/>
        <v>-327109.58967440116</v>
      </c>
      <c r="M81" s="228">
        <f t="shared" si="55"/>
        <v>-307642.68440436572</v>
      </c>
      <c r="N81" s="228">
        <f t="shared" si="55"/>
        <v>-287789.63124436466</v>
      </c>
      <c r="O81" s="228">
        <f t="shared" si="55"/>
        <v>-267542.7706421304</v>
      </c>
      <c r="P81" s="228">
        <f t="shared" si="55"/>
        <v>-246894.29111453501</v>
      </c>
      <c r="Q81" s="228">
        <f t="shared" si="55"/>
        <v>-225836.22623401909</v>
      </c>
      <c r="R81" s="228">
        <f t="shared" si="55"/>
        <v>-204360.45155524716</v>
      </c>
      <c r="S81" s="228">
        <f t="shared" si="55"/>
        <v>-182458.68148080376</v>
      </c>
      <c r="T81" s="228">
        <f t="shared" si="55"/>
        <v>-160122.46606472132</v>
      </c>
      <c r="U81" s="228">
        <f t="shared" si="55"/>
        <v>-137343.18775260658</v>
      </c>
      <c r="V81" s="228">
        <f t="shared" si="55"/>
        <v>-114112.05805710812</v>
      </c>
      <c r="W81" s="228">
        <f t="shared" ref="W81:AB81" si="56">V81+W80</f>
        <v>-90420.114167442604</v>
      </c>
      <c r="X81" s="228">
        <f t="shared" si="56"/>
        <v>-66258.215491671552</v>
      </c>
      <c r="Y81" s="228">
        <f t="shared" si="56"/>
        <v>-41617.04013039518</v>
      </c>
      <c r="Z81" s="228">
        <f t="shared" si="56"/>
        <v>-16487.081280502556</v>
      </c>
      <c r="AA81" s="228">
        <f t="shared" si="56"/>
        <v>9141.3564324087711</v>
      </c>
      <c r="AB81" s="228">
        <f t="shared" si="56"/>
        <v>112786.44775737499</v>
      </c>
      <c r="AD81" s="579"/>
      <c r="AE81" s="580"/>
      <c r="AF81" s="581"/>
    </row>
    <row r="82" spans="1:32" ht="14" x14ac:dyDescent="0.2">
      <c r="A82" s="3"/>
      <c r="B82" s="210" t="s">
        <v>166</v>
      </c>
      <c r="C82" s="228">
        <f>NPV(Investor_Discount_Rate,D80:AB80)+C80</f>
        <v>-237124.56417404517</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1.3773463511052908E-2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73" t="s">
        <v>460</v>
      </c>
      <c r="AE86" s="574"/>
      <c r="AF86" s="575"/>
    </row>
    <row r="87" spans="1:32" ht="14" customHeight="1" thickBot="1" x14ac:dyDescent="0.25">
      <c r="A87" s="3"/>
      <c r="B87" s="210" t="s">
        <v>289</v>
      </c>
      <c r="C87" s="247">
        <f>-Project_Net_Investment</f>
        <v>-516721.91375344113</v>
      </c>
      <c r="D87" s="247">
        <f t="shared" ref="D87:AA87" si="59">(D62+D46+D73+SUM(D75:D77))</f>
        <v>175506.08209618859</v>
      </c>
      <c r="E87" s="247">
        <f t="shared" si="59"/>
        <v>45977.279993484735</v>
      </c>
      <c r="F87" s="247">
        <f t="shared" si="59"/>
        <v>34570.839544721843</v>
      </c>
      <c r="G87" s="247">
        <f t="shared" si="59"/>
        <v>27865.520341718431</v>
      </c>
      <c r="H87" s="247">
        <f t="shared" si="59"/>
        <v>28208.739949386858</v>
      </c>
      <c r="I87" s="247">
        <f t="shared" si="59"/>
        <v>23277.370222819682</v>
      </c>
      <c r="J87" s="247">
        <f t="shared" si="59"/>
        <v>18352.94358582914</v>
      </c>
      <c r="K87" s="247">
        <f t="shared" si="59"/>
        <v>18716.995140793573</v>
      </c>
      <c r="L87" s="247">
        <f t="shared" si="59"/>
        <v>19088.267956436848</v>
      </c>
      <c r="M87" s="247">
        <f t="shared" si="59"/>
        <v>19466.905270035437</v>
      </c>
      <c r="N87" s="247">
        <f t="shared" si="59"/>
        <v>19853.053160001084</v>
      </c>
      <c r="O87" s="247">
        <f t="shared" si="59"/>
        <v>20246.860602234261</v>
      </c>
      <c r="P87" s="247">
        <f t="shared" si="59"/>
        <v>20648.479527595395</v>
      </c>
      <c r="Q87" s="247">
        <f t="shared" si="59"/>
        <v>21058.064880515914</v>
      </c>
      <c r="R87" s="247">
        <f t="shared" si="59"/>
        <v>21475.774678771926</v>
      </c>
      <c r="S87" s="247">
        <f t="shared" si="59"/>
        <v>21901.770074443382</v>
      </c>
      <c r="T87" s="247">
        <f t="shared" si="59"/>
        <v>22336.215416082432</v>
      </c>
      <c r="U87" s="247">
        <f t="shared" si="59"/>
        <v>22779.278312114744</v>
      </c>
      <c r="V87" s="247">
        <f t="shared" si="59"/>
        <v>23231.129695498457</v>
      </c>
      <c r="W87" s="247">
        <f t="shared" si="59"/>
        <v>23691.943889665519</v>
      </c>
      <c r="X87" s="247">
        <f t="shared" si="59"/>
        <v>24161.898675771045</v>
      </c>
      <c r="Y87" s="247">
        <f t="shared" si="59"/>
        <v>24641.175361276375</v>
      </c>
      <c r="Z87" s="247">
        <f t="shared" si="59"/>
        <v>25129.958849892624</v>
      </c>
      <c r="AA87" s="247">
        <f t="shared" si="59"/>
        <v>25628.437712911327</v>
      </c>
      <c r="AB87" s="438">
        <f>((AB62+AB46+AB73++SUM(AB75:AB77))-AB75)++IF(Termination_Value_OnOff="On",INDEX(Termination_Value_Table_End_of_Term,2,MATCH(Termination_Value_Percentage,Dashboard!C72:E72,0)),0)</f>
        <v>103645.09132496623</v>
      </c>
      <c r="AD87" s="576"/>
      <c r="AE87" s="577"/>
      <c r="AF87" s="578"/>
    </row>
    <row r="88" spans="1:32" ht="16" thickTop="1" thickBot="1" x14ac:dyDescent="0.25">
      <c r="A88" s="3"/>
      <c r="B88" s="210" t="s">
        <v>51</v>
      </c>
      <c r="C88" s="228">
        <f>C87</f>
        <v>-516721.91375344113</v>
      </c>
      <c r="D88" s="228">
        <f t="shared" ref="D88:V88" si="60">C88+D87</f>
        <v>-341215.83165725251</v>
      </c>
      <c r="E88" s="228">
        <f t="shared" si="60"/>
        <v>-295238.55166376778</v>
      </c>
      <c r="F88" s="228">
        <f t="shared" si="60"/>
        <v>-260667.71211904593</v>
      </c>
      <c r="G88" s="228">
        <f t="shared" si="60"/>
        <v>-232802.19177732751</v>
      </c>
      <c r="H88" s="228">
        <f t="shared" si="60"/>
        <v>-204593.45182794065</v>
      </c>
      <c r="I88" s="228">
        <f t="shared" si="60"/>
        <v>-181316.08160512097</v>
      </c>
      <c r="J88" s="228">
        <f t="shared" si="60"/>
        <v>-162963.13801929183</v>
      </c>
      <c r="K88" s="228">
        <f t="shared" si="60"/>
        <v>-144246.14287849824</v>
      </c>
      <c r="L88" s="228">
        <f t="shared" si="60"/>
        <v>-125157.8749220614</v>
      </c>
      <c r="M88" s="228">
        <f t="shared" si="60"/>
        <v>-105690.96965202596</v>
      </c>
      <c r="N88" s="228">
        <f t="shared" si="60"/>
        <v>-85837.916492024873</v>
      </c>
      <c r="O88" s="228">
        <f t="shared" si="60"/>
        <v>-65591.055889790616</v>
      </c>
      <c r="P88" s="228">
        <f t="shared" si="60"/>
        <v>-44942.576362195221</v>
      </c>
      <c r="Q88" s="228">
        <f t="shared" si="60"/>
        <v>-23884.511481679307</v>
      </c>
      <c r="R88" s="228">
        <f t="shared" si="60"/>
        <v>-2408.7368029073805</v>
      </c>
      <c r="S88" s="228">
        <f t="shared" si="60"/>
        <v>19493.033271536002</v>
      </c>
      <c r="T88" s="228">
        <f t="shared" si="60"/>
        <v>41829.248687618434</v>
      </c>
      <c r="U88" s="228">
        <f t="shared" si="60"/>
        <v>64608.526999733178</v>
      </c>
      <c r="V88" s="228">
        <f t="shared" si="60"/>
        <v>87839.656695231635</v>
      </c>
      <c r="W88" s="228">
        <f t="shared" ref="W88:AB88" si="61">V88+W87</f>
        <v>111531.60058489715</v>
      </c>
      <c r="X88" s="228">
        <f t="shared" si="61"/>
        <v>135693.49926066821</v>
      </c>
      <c r="Y88" s="228">
        <f t="shared" si="61"/>
        <v>160334.67462194458</v>
      </c>
      <c r="Z88" s="228">
        <f t="shared" si="61"/>
        <v>185464.63347183721</v>
      </c>
      <c r="AA88" s="228">
        <f t="shared" si="61"/>
        <v>211093.07118474855</v>
      </c>
      <c r="AB88" s="228">
        <f t="shared" si="61"/>
        <v>314738.16250971478</v>
      </c>
      <c r="AD88" s="579"/>
      <c r="AE88" s="580"/>
      <c r="AF88" s="581"/>
    </row>
    <row r="89" spans="1:32" ht="14" x14ac:dyDescent="0.2">
      <c r="A89" s="3"/>
      <c r="B89" s="210" t="s">
        <v>223</v>
      </c>
      <c r="C89" s="228">
        <f>NPV(Investor_Discount_Rate,D87:AB87)+C87</f>
        <v>-52270.688783776888</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5.0089624634982899E-2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68" t="s">
        <v>184</v>
      </c>
      <c r="C94" s="568"/>
      <c r="D94" s="568"/>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16723.405316836306</v>
      </c>
      <c r="E103" s="228">
        <f>(((Unstructured!E30*Production_Delta_P95_P50)-Unstructured!E38)/Project_Loan_Coverage_Ratio)</f>
        <v>17055.097830216764</v>
      </c>
      <c r="F103" s="228">
        <f>(((Unstructured!F30*Production_Delta_P95_P50)-Unstructured!F38)/Project_Loan_Coverage_Ratio)</f>
        <v>17393.369028954818</v>
      </c>
      <c r="G103" s="228">
        <f>(((Unstructured!G30*Production_Delta_P95_P50)-Unstructured!G38)/Project_Loan_Coverage_Ratio)</f>
        <v>17738.349390355048</v>
      </c>
      <c r="H103" s="228">
        <f>(((Unstructured!H30*Production_Delta_P95_P50)-Unstructured!H38)/Project_Loan_Coverage_Ratio)</f>
        <v>18090.171979477091</v>
      </c>
      <c r="I103" s="228">
        <f>(((Unstructured!I30*Production_Delta_P95_P50)-Unstructured!I38)/Project_Loan_Coverage_Ratio)</f>
        <v>18448.972500457719</v>
      </c>
      <c r="J103" s="228">
        <f>(((Unstructured!J30*Production_Delta_P95_P50)-Unstructured!J38)/Project_Loan_Coverage_Ratio)</f>
        <v>18814.889348850604</v>
      </c>
      <c r="K103" s="228">
        <f>(((Unstructured!K30*Production_Delta_P95_P50)-Unstructured!K38)/Project_Loan_Coverage_Ratio)</f>
        <v>19188.063665004225</v>
      </c>
      <c r="L103" s="228">
        <f>(((Unstructured!L30*Production_Delta_P95_P50)-Unstructured!L38)/Project_Loan_Coverage_Ratio)</f>
        <v>19568.639388498301</v>
      </c>
      <c r="M103" s="228">
        <f>(((Unstructured!M30*Production_Delta_P95_P50)-Unstructured!M38)/Project_Loan_Coverage_Ratio)</f>
        <v>19956.763313659863</v>
      </c>
      <c r="N103" s="228">
        <f>(((Unstructured!N30*Production_Delta_P95_P50)-Unstructured!N38)/Project_Loan_Coverage_Ratio)</f>
        <v>20352.585146180318</v>
      </c>
      <c r="O103" s="228">
        <f>(((Unstructured!O30*Production_Delta_P95_P50)-Unstructured!O38)/Project_Loan_Coverage_Ratio)</f>
        <v>20756.257560855342</v>
      </c>
      <c r="P103" s="228">
        <f>(((Unstructured!P30*Production_Delta_P95_P50)-Unstructured!P38)/Project_Loan_Coverage_Ratio)</f>
        <v>21167.93626046992</v>
      </c>
      <c r="Q103" s="228">
        <f>(((Unstructured!Q30*Production_Delta_P95_P50)-Unstructured!Q38)/Project_Loan_Coverage_Ratio)</f>
        <v>21587.780035851207</v>
      </c>
      <c r="R103" s="228">
        <f>(((Unstructured!R30*Production_Delta_P95_P50)-Unstructured!R38)/Project_Loan_Coverage_Ratio)</f>
        <v>22015.95082711228</v>
      </c>
      <c r="S103" s="228">
        <f>(((Unstructured!S30*Production_Delta_P95_P50)-Unstructured!S38)/Project_Loan_Coverage_Ratio)</f>
        <v>22452.613786110629</v>
      </c>
      <c r="T103" s="228">
        <f>(((Unstructured!T30*Production_Delta_P95_P50)-Unstructured!T38)/Project_Loan_Coverage_Ratio)</f>
        <v>22897.937340145269</v>
      </c>
      <c r="U103" s="228">
        <f>(((Unstructured!U30*Production_Delta_P95_P50)-Unstructured!U38)/Project_Loan_Coverage_Ratio)</f>
        <v>23352.093256917051</v>
      </c>
      <c r="V103" s="228">
        <f>(((Unstructured!V30*Production_Delta_P95_P50)-Unstructured!V38)/Project_Loan_Coverage_Ratio)</f>
        <v>23815.256710777408</v>
      </c>
      <c r="W103" s="228">
        <f>(((Unstructured!W30*Production_Delta_P95_P50)-Unstructured!W38)/Project_Loan_Coverage_Ratio)</f>
        <v>24287.606350290822</v>
      </c>
      <c r="X103" s="228">
        <f>(((Unstructured!X30*Production_Delta_P95_P50)-Unstructured!X38)/Project_Loan_Coverage_Ratio)</f>
        <v>24769.324367137295</v>
      </c>
      <c r="Y103" s="228">
        <f>(((Unstructured!Y30*Production_Delta_P95_P50)-Unstructured!Y38)/Project_Loan_Coverage_Ratio)</f>
        <v>25260.596566381279</v>
      </c>
      <c r="Z103" s="228">
        <f>(((Unstructured!Z30*Production_Delta_P95_P50)-Unstructured!Z38)/Project_Loan_Coverage_Ratio)</f>
        <v>25761.612438134191</v>
      </c>
      <c r="AA103" s="228">
        <f>(((Unstructured!AA30*Production_Delta_P95_P50)-Unstructured!AA38)/Project_Loan_Coverage_Ratio)</f>
        <v>26272.565230638102</v>
      </c>
      <c r="AB103" s="228">
        <f>(((Unstructured!AB30*Production_Delta_P95_P50)-Unstructured!AB38)/Project_Loan_Coverage_Ratio)</f>
        <v>26793.652024798954</v>
      </c>
      <c r="AC103" s="12"/>
    </row>
    <row r="104" spans="1:29" ht="14" x14ac:dyDescent="0.2">
      <c r="A104" s="3"/>
      <c r="B104" s="236" t="s">
        <v>71</v>
      </c>
      <c r="C104" s="228"/>
      <c r="D104" s="228">
        <f t="shared" ref="D104:V104" si="68">D103-D98</f>
        <v>16723.405316836306</v>
      </c>
      <c r="E104" s="228">
        <f t="shared" si="68"/>
        <v>17055.097830216764</v>
      </c>
      <c r="F104" s="228">
        <f t="shared" si="68"/>
        <v>17393.369028954818</v>
      </c>
      <c r="G104" s="228">
        <f t="shared" si="68"/>
        <v>17738.349390355048</v>
      </c>
      <c r="H104" s="228">
        <f t="shared" si="68"/>
        <v>18090.171979477091</v>
      </c>
      <c r="I104" s="228">
        <f t="shared" si="68"/>
        <v>18448.972500457719</v>
      </c>
      <c r="J104" s="228">
        <f t="shared" si="68"/>
        <v>18814.889348850604</v>
      </c>
      <c r="K104" s="228">
        <f t="shared" si="68"/>
        <v>19188.063665004225</v>
      </c>
      <c r="L104" s="228">
        <f t="shared" si="68"/>
        <v>19568.639388498301</v>
      </c>
      <c r="M104" s="228">
        <f t="shared" si="68"/>
        <v>19956.763313659863</v>
      </c>
      <c r="N104" s="228">
        <f t="shared" si="68"/>
        <v>20352.585146180318</v>
      </c>
      <c r="O104" s="228">
        <f t="shared" si="68"/>
        <v>20756.257560855342</v>
      </c>
      <c r="P104" s="228">
        <f t="shared" si="68"/>
        <v>21167.93626046992</v>
      </c>
      <c r="Q104" s="228">
        <f t="shared" si="68"/>
        <v>21587.780035851207</v>
      </c>
      <c r="R104" s="228">
        <f t="shared" si="68"/>
        <v>22015.95082711228</v>
      </c>
      <c r="S104" s="228">
        <f t="shared" si="68"/>
        <v>22452.613786110629</v>
      </c>
      <c r="T104" s="228">
        <f t="shared" si="68"/>
        <v>22897.937340145269</v>
      </c>
      <c r="U104" s="228">
        <f t="shared" si="68"/>
        <v>23352.093256917051</v>
      </c>
      <c r="V104" s="228">
        <f t="shared" si="68"/>
        <v>23815.256710777408</v>
      </c>
      <c r="W104" s="228">
        <f t="shared" ref="W104:AB104" si="69">W103-W98</f>
        <v>24287.606350290822</v>
      </c>
      <c r="X104" s="228">
        <f t="shared" si="69"/>
        <v>24769.324367137295</v>
      </c>
      <c r="Y104" s="228">
        <f t="shared" si="69"/>
        <v>25260.596566381279</v>
      </c>
      <c r="Z104" s="228">
        <f t="shared" si="69"/>
        <v>25761.612438134191</v>
      </c>
      <c r="AA104" s="228">
        <f t="shared" si="69"/>
        <v>26272.565230638102</v>
      </c>
      <c r="AB104" s="228">
        <f t="shared" si="69"/>
        <v>26793.652024798954</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68" t="s">
        <v>183</v>
      </c>
      <c r="C109" s="568"/>
      <c r="D109" s="568">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21178.323562712052</v>
      </c>
      <c r="E113" s="228">
        <f>Unstructured!E30-(Unstructured!E38+Unstructured!E42)</f>
        <v>21598.420542770957</v>
      </c>
      <c r="F113" s="228">
        <f>Unstructured!F30-(Unstructured!F38+Unstructured!F42)</f>
        <v>22026.850506293522</v>
      </c>
      <c r="G113" s="228">
        <f>Unstructured!G30-(Unstructured!G38+Unstructured!G42)</f>
        <v>22463.778742445807</v>
      </c>
      <c r="H113" s="228">
        <f>Unstructured!H30-(Unstructured!H38+Unstructured!H42)</f>
        <v>22909.373818938406</v>
      </c>
      <c r="I113" s="228">
        <f>Unstructured!I30-(Unstructured!I38+Unstructured!I42)</f>
        <v>23363.80764705603</v>
      </c>
      <c r="J113" s="228">
        <f>Unstructured!J30-(Unstructured!J38+Unstructured!J42)</f>
        <v>23827.255547976813</v>
      </c>
      <c r="K113" s="228">
        <f>Unstructured!K30-(Unstructured!K38+Unstructured!K42)</f>
        <v>24299.896320407108</v>
      </c>
      <c r="L113" s="228">
        <f>Unstructured!L30-(Unstructured!L38+Unstructured!L42)</f>
        <v>24781.912309557738</v>
      </c>
      <c r="M113" s="228">
        <f>Unstructured!M30-(Unstructured!M38+Unstructured!M42)</f>
        <v>25273.489477488394</v>
      </c>
      <c r="N113" s="228">
        <f>Unstructured!N30-(Unstructured!N38+Unstructured!N42)</f>
        <v>25774.817474847234</v>
      </c>
      <c r="O113" s="228">
        <f>Unstructured!O30-(Unstructured!O38+Unstructured!O42)</f>
        <v>26286.089714033445</v>
      </c>
      <c r="P113" s="228">
        <f>Unstructured!P30-(Unstructured!P38+Unstructured!P42)</f>
        <v>26807.503443810961</v>
      </c>
      <c r="Q113" s="228">
        <f>Unstructured!Q30-(Unstructured!Q38+Unstructured!Q42)</f>
        <v>27339.259825402034</v>
      </c>
      <c r="R113" s="228">
        <f>Unstructured!R30-(Unstructured!R38+Unstructured!R42)</f>
        <v>27881.564010090136</v>
      </c>
      <c r="S113" s="228">
        <f>Unstructured!S30-(Unstructured!S38+Unstructured!S42)</f>
        <v>28434.625218362067</v>
      </c>
      <c r="T113" s="228">
        <f>Unstructured!T30-(Unstructured!T38+Unstructured!T42)</f>
        <v>28998.656820619843</v>
      </c>
      <c r="U113" s="228">
        <f>Unstructured!U30-(Unstructured!U38+Unstructured!U42)</f>
        <v>29573.876419493339</v>
      </c>
      <c r="V113" s="228">
        <f>Unstructured!V30-(Unstructured!V38+Unstructured!V42)</f>
        <v>30160.505933785727</v>
      </c>
      <c r="W113" s="228">
        <f>Unstructured!W30-(Unstructured!W38+Unstructured!W42)</f>
        <v>30758.771684083767</v>
      </c>
      <c r="X113" s="228">
        <f>Unstructured!X30-(Unstructured!X38+Unstructured!X42)</f>
        <v>31368.904480066267</v>
      </c>
      <c r="Y113" s="228">
        <f>Unstructured!Y30-(Unstructured!Y38+Unstructured!Y42)</f>
        <v>31991.139709544143</v>
      </c>
      <c r="Z113" s="228">
        <f>Unstructured!Z30-(Unstructured!Z38+Unstructured!Z42)</f>
        <v>32625.717429266635</v>
      </c>
      <c r="AA113" s="228">
        <f>Unstructured!AA30-(Unstructured!AA38+Unstructured!AA42)</f>
        <v>33272.882457528503</v>
      </c>
      <c r="AB113" s="228">
        <f>Unstructured!AB30-(Unstructured!AB38+Unstructured!AB42)</f>
        <v>33932.884468614182</v>
      </c>
      <c r="AC113" s="12"/>
    </row>
    <row r="114" spans="1:29" ht="14" x14ac:dyDescent="0.2">
      <c r="A114" s="3"/>
      <c r="B114" s="236" t="s">
        <v>20</v>
      </c>
      <c r="C114" s="245"/>
      <c r="D114" s="228">
        <f>IF(AND(Owner_is_Taxpayer_Non_Taxpayer?="Taxpayer",Unstructured!D17&lt;7),VLOOKUP(Unstructured!D17,Depreciation_Table,4),0)</f>
        <v>79817.999375449988</v>
      </c>
      <c r="E114" s="228">
        <f>IF(AND(Owner_is_Taxpayer_Non_Taxpayer?="Taxpayer",Unstructured!E17&lt;7),VLOOKUP(Unstructured!E17,Depreciation_Table,4),0)</f>
        <v>127708.79900071997</v>
      </c>
      <c r="F114" s="228">
        <f>IF(AND(Owner_is_Taxpayer_Non_Taxpayer?="Taxpayer",Unstructured!F17&lt;7),VLOOKUP(Unstructured!F17,Depreciation_Table,4),0)</f>
        <v>76625.279400431988</v>
      </c>
      <c r="G114" s="228">
        <f>IF(AND(Owner_is_Taxpayer_Non_Taxpayer?="Taxpayer",Unstructured!G17&lt;7),VLOOKUP(Unstructured!G17,Depreciation_Table,4),0)</f>
        <v>45975.167640259191</v>
      </c>
      <c r="H114" s="228">
        <f>IF(AND(Owner_is_Taxpayer_Non_Taxpayer?="Taxpayer",Unstructured!H17&lt;7),VLOOKUP(Unstructured!H17,Depreciation_Table,4),0)</f>
        <v>45975.167640259191</v>
      </c>
      <c r="I114" s="228">
        <f>IF(AND(Owner_is_Taxpayer_Non_Taxpayer?="Taxpayer",Unstructured!I17&lt;7),VLOOKUP(Unstructured!I17,Depreciation_Table,4),0)</f>
        <v>22987.583820129596</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376.22382692643441</v>
      </c>
      <c r="J116" s="247">
        <f t="shared" si="74"/>
        <v>23827.255547976813</v>
      </c>
      <c r="K116" s="247">
        <f t="shared" si="74"/>
        <v>24299.896320407108</v>
      </c>
      <c r="L116" s="247">
        <f t="shared" si="74"/>
        <v>24781.912309557738</v>
      </c>
      <c r="M116" s="247">
        <f t="shared" si="74"/>
        <v>25273.489477488394</v>
      </c>
      <c r="N116" s="247">
        <f t="shared" si="74"/>
        <v>25774.817474847234</v>
      </c>
      <c r="O116" s="247">
        <f t="shared" si="74"/>
        <v>26286.089714033445</v>
      </c>
      <c r="P116" s="247">
        <f t="shared" si="74"/>
        <v>26807.503443810961</v>
      </c>
      <c r="Q116" s="247">
        <f t="shared" si="74"/>
        <v>27339.259825402034</v>
      </c>
      <c r="R116" s="247">
        <f t="shared" si="74"/>
        <v>27881.564010090136</v>
      </c>
      <c r="S116" s="247">
        <f t="shared" si="74"/>
        <v>28434.625218362067</v>
      </c>
      <c r="T116" s="247">
        <f t="shared" si="74"/>
        <v>28998.656820619843</v>
      </c>
      <c r="U116" s="247">
        <f t="shared" si="74"/>
        <v>29573.876419493339</v>
      </c>
      <c r="V116" s="247">
        <f t="shared" si="74"/>
        <v>30160.505933785727</v>
      </c>
      <c r="W116" s="247">
        <f t="shared" ref="W116:AB116" si="75">IF(W113&gt;(W114+W115),W113-(W114+W115),0)</f>
        <v>30758.771684083767</v>
      </c>
      <c r="X116" s="247">
        <f t="shared" si="75"/>
        <v>31368.904480066267</v>
      </c>
      <c r="Y116" s="247">
        <f t="shared" si="75"/>
        <v>31991.139709544143</v>
      </c>
      <c r="Z116" s="247">
        <f t="shared" si="75"/>
        <v>32625.717429266635</v>
      </c>
      <c r="AA116" s="247">
        <f t="shared" si="75"/>
        <v>33272.882457528503</v>
      </c>
      <c r="AB116" s="247">
        <f t="shared" si="75"/>
        <v>33932.884468614182</v>
      </c>
      <c r="AC116" s="12"/>
    </row>
    <row r="117" spans="1:29" ht="15" thickTop="1" x14ac:dyDescent="0.2">
      <c r="A117" s="3"/>
      <c r="B117" s="236" t="s">
        <v>79</v>
      </c>
      <c r="C117" s="245"/>
      <c r="D117" s="228">
        <f>IF(D113&gt;(D114+D115),0,(D114+D115)-D113)</f>
        <v>58639.675812737936</v>
      </c>
      <c r="E117" s="228">
        <f t="shared" ref="E117:V117" si="76">IF(E113&gt;(E114+E115),0,(E114+E115)-E113)</f>
        <v>106110.37845794902</v>
      </c>
      <c r="F117" s="228">
        <f t="shared" si="76"/>
        <v>54598.428894138466</v>
      </c>
      <c r="G117" s="228">
        <f t="shared" si="76"/>
        <v>23511.388897813384</v>
      </c>
      <c r="H117" s="228">
        <f t="shared" si="76"/>
        <v>23065.793821320785</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21178.323562712052</v>
      </c>
      <c r="E120" s="228">
        <f>Unstructured!E30-(Unstructured!E38+Unstructured!E42+Unstructured!E53)</f>
        <v>21598.420542770957</v>
      </c>
      <c r="F120" s="228">
        <f>Unstructured!F30-(Unstructured!F38+Unstructured!F42+Unstructured!F53)</f>
        <v>22026.850506293522</v>
      </c>
      <c r="G120" s="228">
        <f>Unstructured!G30-(Unstructured!G38+Unstructured!G42+Unstructured!G53)</f>
        <v>22463.778742445807</v>
      </c>
      <c r="H120" s="228">
        <f>Unstructured!H30-(Unstructured!H38+Unstructured!H42+Unstructured!H53)</f>
        <v>22909.373818938406</v>
      </c>
      <c r="I120" s="228">
        <f>Unstructured!I30-(Unstructured!I38+Unstructured!I42+Unstructured!I53)</f>
        <v>23354.402051382869</v>
      </c>
      <c r="J120" s="228">
        <f>Unstructured!J30-(Unstructured!J38+Unstructured!J42+Unstructured!J53)</f>
        <v>23231.574159277392</v>
      </c>
      <c r="K120" s="228">
        <f>Unstructured!K30-(Unstructured!K38+Unstructured!K42+Unstructured!K53)</f>
        <v>23692.39891239693</v>
      </c>
      <c r="L120" s="228">
        <f>Unstructured!L30-(Unstructured!L38+Unstructured!L42+Unstructured!L53)</f>
        <v>24162.364501818796</v>
      </c>
      <c r="M120" s="228">
        <f>Unstructured!M30-(Unstructured!M38+Unstructured!M42+Unstructured!M53)</f>
        <v>24641.652240551186</v>
      </c>
      <c r="N120" s="228">
        <f>Unstructured!N30-(Unstructured!N38+Unstructured!N42+Unstructured!N53)</f>
        <v>25130.447037976053</v>
      </c>
      <c r="O120" s="228">
        <f>Unstructured!O30-(Unstructured!O38+Unstructured!O42+Unstructured!O53)</f>
        <v>25628.937471182609</v>
      </c>
      <c r="P120" s="228">
        <f>Unstructured!P30-(Unstructured!P38+Unstructured!P42+Unstructured!P53)</f>
        <v>26137.315857715686</v>
      </c>
      <c r="Q120" s="228">
        <f>Unstructured!Q30-(Unstructured!Q38+Unstructured!Q42+Unstructured!Q53)</f>
        <v>26655.778329766981</v>
      </c>
      <c r="R120" s="228">
        <f>Unstructured!R30-(Unstructured!R38+Unstructured!R42+Unstructured!R53)</f>
        <v>27184.524909837881</v>
      </c>
      <c r="S120" s="228">
        <f>Unstructured!S30-(Unstructured!S38+Unstructured!S42+Unstructured!S53)</f>
        <v>27723.759587903016</v>
      </c>
      <c r="T120" s="228">
        <f>Unstructured!T30-(Unstructured!T38+Unstructured!T42+Unstructured!T53)</f>
        <v>28273.690400104344</v>
      </c>
      <c r="U120" s="228">
        <f>Unstructured!U30-(Unstructured!U38+Unstructured!U42+Unstructured!U53)</f>
        <v>28834.529509006006</v>
      </c>
      <c r="V120" s="228">
        <f>Unstructured!V30-(Unstructured!V38+Unstructured!V42+Unstructured!V53)</f>
        <v>29406.493285441084</v>
      </c>
      <c r="W120" s="228">
        <f>Unstructured!W30-(Unstructured!W38+Unstructured!W42+Unstructured!W53)</f>
        <v>29989.80239198167</v>
      </c>
      <c r="X120" s="228">
        <f>Unstructured!X30-(Unstructured!X38+Unstructured!X42+Unstructured!X53)</f>
        <v>30584.68186806461</v>
      </c>
      <c r="Y120" s="228">
        <f>Unstructured!Y30-(Unstructured!Y38+Unstructured!Y42+Unstructured!Y53)</f>
        <v>31191.361216805537</v>
      </c>
      <c r="Z120" s="228">
        <f>Unstructured!Z30-(Unstructured!Z38+Unstructured!Z42+Unstructured!Z53)</f>
        <v>31810.074493534968</v>
      </c>
      <c r="AA120" s="228">
        <f>Unstructured!AA30-(Unstructured!AA38+Unstructured!AA42+Unstructured!AA53)</f>
        <v>32441.060396090288</v>
      </c>
      <c r="AB120" s="228">
        <f>Unstructured!AB30-(Unstructured!AB38+Unstructured!AB42+Unstructured!AB53)</f>
        <v>33084.562356898823</v>
      </c>
      <c r="AC120" s="12"/>
    </row>
    <row r="121" spans="1:29" ht="14" x14ac:dyDescent="0.2">
      <c r="A121" s="3"/>
      <c r="B121" s="236" t="s">
        <v>177</v>
      </c>
      <c r="C121" s="245"/>
      <c r="D121" s="228">
        <f>IF(AND(Owner_is_Taxpayer_Non_Taxpayer?="Taxpayer",Unstructured!D17&lt;7),(VLOOKUP(Unstructured!D17,Depreciation_Table,3)),0)</f>
        <v>79817.999375449988</v>
      </c>
      <c r="E121" s="228">
        <f>IF(AND(Owner_is_Taxpayer_Non_Taxpayer?="Taxpayer",Unstructured!E17&lt;7),(VLOOKUP(Unstructured!E17,Depreciation_Table,3)),0)</f>
        <v>127708.79900071997</v>
      </c>
      <c r="F121" s="228">
        <f>IF(AND(Owner_is_Taxpayer_Non_Taxpayer?="Taxpayer",Unstructured!F17&lt;7),(VLOOKUP(Unstructured!F17,Depreciation_Table,3)),0)</f>
        <v>76625.279400431988</v>
      </c>
      <c r="G121" s="228">
        <f>IF(AND(Owner_is_Taxpayer_Non_Taxpayer?="Taxpayer",Unstructured!G17&lt;7),(VLOOKUP(Unstructured!G17,Depreciation_Table,3)),0)</f>
        <v>45975.167640259191</v>
      </c>
      <c r="H121" s="228">
        <f>IF(AND(Owner_is_Taxpayer_Non_Taxpayer?="Taxpayer",Unstructured!H17&lt;7),(VLOOKUP(Unstructured!H17,Depreciation_Table,3)),0)</f>
        <v>45975.167640259191</v>
      </c>
      <c r="I121" s="228">
        <f>IF(AND(Owner_is_Taxpayer_Non_Taxpayer?="Taxpayer",Unstructured!I17&lt;7),(VLOOKUP(Unstructured!I17,Depreciation_Table,3)),0)</f>
        <v>22987.583820129596</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366.81823125327355</v>
      </c>
      <c r="J123" s="247">
        <f t="shared" si="80"/>
        <v>23231.574159277392</v>
      </c>
      <c r="K123" s="247">
        <f t="shared" si="80"/>
        <v>23692.39891239693</v>
      </c>
      <c r="L123" s="247">
        <f t="shared" si="80"/>
        <v>24162.364501818796</v>
      </c>
      <c r="M123" s="247">
        <f t="shared" si="80"/>
        <v>24641.652240551186</v>
      </c>
      <c r="N123" s="247">
        <f t="shared" si="80"/>
        <v>25130.447037976053</v>
      </c>
      <c r="O123" s="247">
        <f t="shared" si="80"/>
        <v>25628.937471182609</v>
      </c>
      <c r="P123" s="247">
        <f t="shared" si="80"/>
        <v>26137.315857715686</v>
      </c>
      <c r="Q123" s="247">
        <f t="shared" si="80"/>
        <v>26655.778329766981</v>
      </c>
      <c r="R123" s="247">
        <f t="shared" si="80"/>
        <v>27184.524909837881</v>
      </c>
      <c r="S123" s="247">
        <f t="shared" si="80"/>
        <v>27723.759587903016</v>
      </c>
      <c r="T123" s="247">
        <f t="shared" si="80"/>
        <v>28273.690400104344</v>
      </c>
      <c r="U123" s="247">
        <f t="shared" si="80"/>
        <v>28834.529509006006</v>
      </c>
      <c r="V123" s="247">
        <f t="shared" si="80"/>
        <v>29406.493285441084</v>
      </c>
      <c r="W123" s="247">
        <f t="shared" ref="W123:AB123" si="81">IF(W120&gt;(W121+W122),W120-(W121+W122),0)</f>
        <v>29989.80239198167</v>
      </c>
      <c r="X123" s="247">
        <f t="shared" si="81"/>
        <v>30584.68186806461</v>
      </c>
      <c r="Y123" s="247">
        <f t="shared" si="81"/>
        <v>31191.361216805537</v>
      </c>
      <c r="Z123" s="247">
        <f t="shared" si="81"/>
        <v>31810.074493534968</v>
      </c>
      <c r="AA123" s="247">
        <f t="shared" si="81"/>
        <v>32441.060396090288</v>
      </c>
      <c r="AB123" s="247">
        <f t="shared" si="81"/>
        <v>33084.562356898823</v>
      </c>
      <c r="AC123" s="12"/>
    </row>
    <row r="124" spans="1:29" ht="15" thickTop="1" x14ac:dyDescent="0.2">
      <c r="A124" s="3"/>
      <c r="B124" s="237" t="s">
        <v>179</v>
      </c>
      <c r="C124" s="248"/>
      <c r="D124" s="196">
        <f t="shared" ref="D124:V124" si="82">IF(D120&gt;(D121+D122),0,(D121+D122)-D120)</f>
        <v>58639.675812737936</v>
      </c>
      <c r="E124" s="196">
        <f t="shared" si="82"/>
        <v>106110.37845794902</v>
      </c>
      <c r="F124" s="196">
        <f t="shared" si="82"/>
        <v>54598.428894138466</v>
      </c>
      <c r="G124" s="196">
        <f t="shared" si="82"/>
        <v>23511.388897813384</v>
      </c>
      <c r="H124" s="196">
        <f t="shared" si="82"/>
        <v>23065.793821320785</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62" t="s">
        <v>61</v>
      </c>
      <c r="D132" s="563"/>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516721.91375344113</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64" t="s">
        <v>43</v>
      </c>
      <c r="D136" s="565"/>
      <c r="E136" s="565"/>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0.6019950740740494</v>
      </c>
      <c r="E137" s="45">
        <f>NPV(Dashboard!$H$25,D152:AB152)</f>
        <v>279597.34957939596</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0.28476292877256315</v>
      </c>
      <c r="E138" s="46">
        <f>NPV(Dashboard!$H$25,D153:W153)</f>
        <v>132258.49109436618</v>
      </c>
    </row>
    <row r="139" spans="2:29" ht="14" x14ac:dyDescent="0.2">
      <c r="C139" s="50" t="s">
        <v>18</v>
      </c>
      <c r="D139" s="55">
        <f>E139/$E$141</f>
        <v>0.10350737498242166</v>
      </c>
      <c r="E139" s="46">
        <f>NPV(Dashboard!$H$25,D154:AB154)</f>
        <v>48074.127103980114</v>
      </c>
    </row>
    <row r="140" spans="2:29" ht="15" thickBot="1" x14ac:dyDescent="0.25">
      <c r="C140" s="50" t="s">
        <v>47</v>
      </c>
      <c r="D140" s="56">
        <f>E140/$E$141</f>
        <v>9.7346221709658509E-3</v>
      </c>
      <c r="E140" s="47">
        <f>NPV(Dashboard!$H$25,D155:AB155)</f>
        <v>4521.2571919219408</v>
      </c>
      <c r="O140" t="s">
        <v>349</v>
      </c>
    </row>
    <row r="141" spans="2:29" ht="15" thickTop="1" x14ac:dyDescent="0.2">
      <c r="C141" s="43"/>
      <c r="D141" s="57">
        <f>SUM(D137:D140)</f>
        <v>1</v>
      </c>
      <c r="E141" s="44">
        <f>SUM(E137:E140)</f>
        <v>464451.22496966418</v>
      </c>
    </row>
    <row r="143" spans="2:29" ht="14" x14ac:dyDescent="0.2">
      <c r="B143" s="1"/>
      <c r="C143" s="562" t="s">
        <v>44</v>
      </c>
      <c r="D143" s="563"/>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62" t="s">
        <v>29</v>
      </c>
      <c r="D148" s="563"/>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21178.323562712052</v>
      </c>
      <c r="E152" s="49">
        <f>Unstructured!E80</f>
        <v>21598.420542770953</v>
      </c>
      <c r="F152" s="49">
        <f>Unstructured!F80</f>
        <v>22026.850506293529</v>
      </c>
      <c r="G152" s="49">
        <f>Unstructured!G80</f>
        <v>22463.778742445807</v>
      </c>
      <c r="H152" s="49">
        <f>Unstructured!H80</f>
        <v>22909.373818938406</v>
      </c>
      <c r="I152" s="49">
        <f>Unstructured!I80</f>
        <v>23277.370222819682</v>
      </c>
      <c r="J152" s="49">
        <f>Unstructured!J80</f>
        <v>18352.94358582914</v>
      </c>
      <c r="K152" s="49">
        <f>Unstructured!K80</f>
        <v>18716.995140793573</v>
      </c>
      <c r="L152" s="49">
        <f>Unstructured!L80</f>
        <v>19088.267956436848</v>
      </c>
      <c r="M152" s="49">
        <f>Unstructured!M80</f>
        <v>19466.905270035437</v>
      </c>
      <c r="N152" s="49">
        <f>Unstructured!N80</f>
        <v>19853.053160001084</v>
      </c>
      <c r="O152" s="49">
        <f>Unstructured!O80</f>
        <v>20246.860602234261</v>
      </c>
      <c r="P152" s="49">
        <f>Unstructured!P80</f>
        <v>20648.479527595395</v>
      </c>
      <c r="Q152" s="49">
        <f>Unstructured!Q80</f>
        <v>21058.064880515914</v>
      </c>
      <c r="R152" s="49">
        <f>Unstructured!R80</f>
        <v>21475.774678771926</v>
      </c>
      <c r="S152" s="49">
        <f>Unstructured!S80</f>
        <v>21901.770074443382</v>
      </c>
      <c r="T152" s="49">
        <f>Unstructured!T80</f>
        <v>22336.215416082432</v>
      </c>
      <c r="U152" s="49">
        <f>Unstructured!U80</f>
        <v>22779.278312114744</v>
      </c>
      <c r="V152" s="49">
        <f>Unstructured!V80</f>
        <v>23231.129695498457</v>
      </c>
      <c r="W152" s="49">
        <f>Unstructured!W80</f>
        <v>23691.943889665519</v>
      </c>
      <c r="X152" s="49">
        <f>Unstructured!X80</f>
        <v>24161.898675771045</v>
      </c>
      <c r="Y152" s="49">
        <f>Unstructured!Y80</f>
        <v>24641.175361276375</v>
      </c>
      <c r="Z152" s="49">
        <f>Unstructured!Z80</f>
        <v>25129.958849892624</v>
      </c>
      <c r="AA152" s="49">
        <f>Unstructured!AA80</f>
        <v>25628.437712911327</v>
      </c>
      <c r="AB152" s="49">
        <f>Unstructured!AB80</f>
        <v>103645.09132496623</v>
      </c>
      <c r="AC152" s="49"/>
    </row>
    <row r="153" spans="2:29" ht="14" x14ac:dyDescent="0.2">
      <c r="C153" s="50" t="s">
        <v>17</v>
      </c>
      <c r="D153" s="51">
        <f>Unstructured!D69</f>
        <v>140855.29301549998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12314.331920674966</v>
      </c>
      <c r="E154" s="51">
        <f>Unstructured!E70</f>
        <v>22283.179476169291</v>
      </c>
      <c r="F154" s="51">
        <f>Unstructured!F70</f>
        <v>11465.670067769077</v>
      </c>
      <c r="G154" s="51">
        <f>Unstructured!G70</f>
        <v>4937.3916685408103</v>
      </c>
      <c r="H154" s="51">
        <f>Unstructured!H70</f>
        <v>4843.8167024773647</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1158.1335973015744</v>
      </c>
      <c r="E155" s="53">
        <f>Unstructured!E72</f>
        <v>2095.6799745444932</v>
      </c>
      <c r="F155" s="53">
        <f>Unstructured!F72</f>
        <v>1078.3189706592348</v>
      </c>
      <c r="G155" s="53">
        <f>Unstructured!G72</f>
        <v>464.34993073181437</v>
      </c>
      <c r="H155" s="53">
        <f>Unstructured!H72</f>
        <v>455.54942797108555</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397"/>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48" t="s">
        <v>409</v>
      </c>
    </row>
    <row r="158" spans="2:29" ht="14" x14ac:dyDescent="0.2">
      <c r="C158" s="548"/>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21178.323562712052</v>
      </c>
      <c r="E159" s="51">
        <f t="shared" ref="E159:V159" si="84">E152</f>
        <v>21598.420542770953</v>
      </c>
      <c r="F159" s="51">
        <f t="shared" si="84"/>
        <v>22026.850506293529</v>
      </c>
      <c r="G159" s="51">
        <f t="shared" si="84"/>
        <v>22463.778742445807</v>
      </c>
      <c r="H159" s="51">
        <f t="shared" si="84"/>
        <v>22909.373818938406</v>
      </c>
      <c r="I159" s="51">
        <f t="shared" si="84"/>
        <v>23277.370222819682</v>
      </c>
      <c r="J159" s="51">
        <f t="shared" si="84"/>
        <v>18352.94358582914</v>
      </c>
      <c r="K159" s="51">
        <f t="shared" si="84"/>
        <v>18716.995140793573</v>
      </c>
      <c r="L159" s="51">
        <f t="shared" si="84"/>
        <v>19088.267956436848</v>
      </c>
      <c r="M159" s="51">
        <f t="shared" si="84"/>
        <v>19466.905270035437</v>
      </c>
      <c r="N159" s="51">
        <f t="shared" si="84"/>
        <v>19853.053160001084</v>
      </c>
      <c r="O159" s="51">
        <f t="shared" si="84"/>
        <v>20246.860602234261</v>
      </c>
      <c r="P159" s="51">
        <f t="shared" si="84"/>
        <v>20648.479527595395</v>
      </c>
      <c r="Q159" s="51">
        <f t="shared" si="84"/>
        <v>21058.064880515914</v>
      </c>
      <c r="R159" s="51">
        <f t="shared" si="84"/>
        <v>21475.774678771926</v>
      </c>
      <c r="S159" s="51">
        <f t="shared" si="84"/>
        <v>21901.770074443382</v>
      </c>
      <c r="T159" s="51">
        <f t="shared" si="84"/>
        <v>22336.215416082432</v>
      </c>
      <c r="U159" s="51">
        <f t="shared" si="84"/>
        <v>22779.278312114744</v>
      </c>
      <c r="V159" s="51">
        <f t="shared" si="84"/>
        <v>23231.129695498457</v>
      </c>
      <c r="W159" s="51">
        <f t="shared" ref="W159:AB159" si="85">W152</f>
        <v>23691.943889665519</v>
      </c>
      <c r="X159" s="51">
        <f t="shared" si="85"/>
        <v>24161.898675771045</v>
      </c>
      <c r="Y159" s="51">
        <f t="shared" si="85"/>
        <v>24641.175361276375</v>
      </c>
      <c r="Z159" s="51">
        <f t="shared" si="85"/>
        <v>25129.958849892624</v>
      </c>
      <c r="AA159" s="51">
        <f t="shared" si="85"/>
        <v>25628.437712911327</v>
      </c>
      <c r="AB159" s="51">
        <f t="shared" si="85"/>
        <v>103645.09132496623</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49" t="s">
        <v>411</v>
      </c>
    </row>
    <row r="164" spans="3:29" ht="14" x14ac:dyDescent="0.2">
      <c r="C164" s="550"/>
      <c r="D164" s="404">
        <v>1</v>
      </c>
      <c r="E164" s="405">
        <v>2</v>
      </c>
      <c r="F164" s="405">
        <v>3</v>
      </c>
      <c r="G164" s="405">
        <v>4</v>
      </c>
      <c r="H164" s="405">
        <v>5</v>
      </c>
      <c r="I164" s="405">
        <v>6</v>
      </c>
      <c r="J164" s="405">
        <v>7</v>
      </c>
      <c r="K164" s="405">
        <v>8</v>
      </c>
      <c r="L164" s="405">
        <v>9</v>
      </c>
      <c r="M164" s="405">
        <v>10</v>
      </c>
    </row>
    <row r="165" spans="3:29" ht="14" x14ac:dyDescent="0.2">
      <c r="C165" s="398" t="s">
        <v>412</v>
      </c>
      <c r="D165" s="399"/>
      <c r="E165" s="399"/>
      <c r="F165" s="399"/>
      <c r="G165" s="399"/>
      <c r="H165" s="399"/>
      <c r="I165" s="399"/>
      <c r="J165" s="399"/>
      <c r="K165" s="399"/>
      <c r="L165" s="399"/>
      <c r="M165" s="400"/>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171778.35399487682</v>
      </c>
      <c r="E166" s="51">
        <f t="shared" si="90"/>
        <v>26818.847790151194</v>
      </c>
      <c r="F166" s="51">
        <f t="shared" si="90"/>
        <v>16091.308674090717</v>
      </c>
      <c r="G166" s="51">
        <f t="shared" si="90"/>
        <v>9654.7852044544306</v>
      </c>
      <c r="H166" s="51">
        <f t="shared" si="90"/>
        <v>9654.7852044544306</v>
      </c>
      <c r="I166" s="51">
        <f t="shared" si="90"/>
        <v>4827.3926022272153</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21178.323562712052</v>
      </c>
      <c r="E167" s="51">
        <f t="shared" si="91"/>
        <v>21598.420542770957</v>
      </c>
      <c r="F167" s="51">
        <f t="shared" si="91"/>
        <v>22026.850506293522</v>
      </c>
      <c r="G167" s="51">
        <f t="shared" si="91"/>
        <v>22463.778742445807</v>
      </c>
      <c r="H167" s="51">
        <f t="shared" si="91"/>
        <v>22909.373818938406</v>
      </c>
      <c r="I167" s="51">
        <f t="shared" si="91"/>
        <v>23363.80764705603</v>
      </c>
      <c r="J167" s="51">
        <f t="shared" si="91"/>
        <v>23827.255547976813</v>
      </c>
      <c r="K167" s="51">
        <f t="shared" si="91"/>
        <v>24299.896320407108</v>
      </c>
      <c r="L167" s="51">
        <f t="shared" si="91"/>
        <v>24781.912309557738</v>
      </c>
      <c r="M167" s="46">
        <f t="shared" si="91"/>
        <v>25273.489477488394</v>
      </c>
      <c r="N167" s="51"/>
      <c r="O167" s="51"/>
      <c r="P167" s="51"/>
      <c r="Q167" s="51"/>
      <c r="R167" s="51"/>
      <c r="S167" s="51"/>
      <c r="T167" s="51"/>
    </row>
    <row r="168" spans="3:29" ht="14" x14ac:dyDescent="0.2">
      <c r="C168" s="50" t="s">
        <v>417</v>
      </c>
      <c r="D168" s="51">
        <f>IF(D166&gt;=D167,-(D167-D166),0)</f>
        <v>150600.03043216476</v>
      </c>
      <c r="E168" s="51">
        <f t="shared" ref="E168:M168" si="92">IF(E166&gt;=E167,-(E167-E166),0)</f>
        <v>5220.4272473802375</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1"/>
      <c r="M169" s="402"/>
    </row>
    <row r="170" spans="3:29" ht="14" x14ac:dyDescent="0.2">
      <c r="C170" s="403" t="s">
        <v>414</v>
      </c>
      <c r="M170" s="402"/>
    </row>
    <row r="171" spans="3:29" ht="14" x14ac:dyDescent="0.2">
      <c r="C171" s="50" t="s">
        <v>413</v>
      </c>
      <c r="D171" s="51">
        <f>D166</f>
        <v>171778.35399487682</v>
      </c>
      <c r="E171" s="51">
        <f t="shared" ref="E171:M171" si="93">E166</f>
        <v>26818.847790151194</v>
      </c>
      <c r="F171" s="51">
        <f t="shared" si="93"/>
        <v>16091.308674090717</v>
      </c>
      <c r="G171" s="51">
        <f t="shared" si="93"/>
        <v>9654.7852044544306</v>
      </c>
      <c r="H171" s="51">
        <f t="shared" si="93"/>
        <v>9654.7852044544306</v>
      </c>
      <c r="I171" s="51">
        <f t="shared" si="93"/>
        <v>4827.3926022272153</v>
      </c>
      <c r="J171" s="51">
        <f t="shared" si="93"/>
        <v>0</v>
      </c>
      <c r="K171" s="51">
        <f t="shared" si="93"/>
        <v>0</v>
      </c>
      <c r="L171" s="51">
        <f t="shared" si="93"/>
        <v>0</v>
      </c>
      <c r="M171" s="46">
        <f t="shared" si="93"/>
        <v>0</v>
      </c>
    </row>
    <row r="172" spans="3:29" ht="14" x14ac:dyDescent="0.2">
      <c r="C172" s="50" t="s">
        <v>410</v>
      </c>
      <c r="D172" s="51">
        <f>D167</f>
        <v>21178.323562712052</v>
      </c>
      <c r="E172" s="51">
        <f t="shared" ref="E172:M172" si="94">E167</f>
        <v>21598.420542770957</v>
      </c>
      <c r="F172" s="51">
        <f t="shared" si="94"/>
        <v>22026.850506293522</v>
      </c>
      <c r="G172" s="51">
        <f t="shared" si="94"/>
        <v>22463.778742445807</v>
      </c>
      <c r="H172" s="51">
        <f t="shared" si="94"/>
        <v>22909.373818938406</v>
      </c>
      <c r="I172" s="51">
        <f t="shared" si="94"/>
        <v>23363.80764705603</v>
      </c>
      <c r="J172" s="51">
        <f t="shared" si="94"/>
        <v>23827.255547976813</v>
      </c>
      <c r="K172" s="51">
        <f t="shared" si="94"/>
        <v>24299.896320407108</v>
      </c>
      <c r="L172" s="51">
        <f t="shared" si="94"/>
        <v>24781.912309557738</v>
      </c>
      <c r="M172" s="46">
        <f t="shared" si="94"/>
        <v>25273.489477488394</v>
      </c>
    </row>
    <row r="173" spans="3:29" ht="14" x14ac:dyDescent="0.2">
      <c r="C173" s="50" t="s">
        <v>416</v>
      </c>
      <c r="D173" s="51">
        <f>IF(D166&gt;=D167,-(D167-D166),0)</f>
        <v>150600.03043216476</v>
      </c>
      <c r="E173" s="51">
        <f t="shared" ref="E173:M173" si="95">IF(E166&gt;=E167,-(E167-E166),0)</f>
        <v>5220.4272473802375</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150600.03043216476</v>
      </c>
      <c r="E174" s="53">
        <f>MAX((D174 +E171)-E172,0)</f>
        <v>155820.45767954498</v>
      </c>
      <c r="F174" s="53">
        <f t="shared" ref="F174:M174" si="96">MAX((E174 +F171)-F172,0)</f>
        <v>149884.91584734217</v>
      </c>
      <c r="G174" s="53">
        <f t="shared" si="96"/>
        <v>137075.9223093508</v>
      </c>
      <c r="H174" s="53">
        <f t="shared" si="96"/>
        <v>123821.33369486684</v>
      </c>
      <c r="I174" s="53">
        <f t="shared" si="96"/>
        <v>105284.91865003803</v>
      </c>
      <c r="J174" s="53">
        <f t="shared" si="96"/>
        <v>81457.663102061226</v>
      </c>
      <c r="K174" s="53">
        <f t="shared" si="96"/>
        <v>57157.766781654122</v>
      </c>
      <c r="L174" s="53">
        <f t="shared" si="96"/>
        <v>32375.854472096384</v>
      </c>
      <c r="M174" s="44">
        <f t="shared" si="96"/>
        <v>7102.3649946079895</v>
      </c>
    </row>
    <row r="202" spans="15:15" x14ac:dyDescent="0.15">
      <c r="O202" s="34" t="s">
        <v>418</v>
      </c>
    </row>
  </sheetData>
  <mergeCells count="19">
    <mergeCell ref="AD79:AF81"/>
    <mergeCell ref="AD86:AF88"/>
    <mergeCell ref="H10:I10"/>
    <mergeCell ref="H11:I11"/>
    <mergeCell ref="H7:L8"/>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topLeftCell="A5" zoomScale="67" zoomScaleNormal="100" workbookViewId="0">
      <selection activeCell="R25" sqref="R25"/>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51" t="s">
        <v>0</v>
      </c>
      <c r="O4" s="552"/>
      <c r="P4" s="552"/>
      <c r="Q4" s="552"/>
      <c r="R4" s="552"/>
      <c r="S4" s="552"/>
      <c r="T4" s="552"/>
      <c r="U4" s="552"/>
      <c r="V4" s="552"/>
      <c r="W4" s="552"/>
      <c r="X4" s="552"/>
      <c r="Y4" s="552"/>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3" t="s">
        <v>464</v>
      </c>
      <c r="I5" s="473"/>
      <c r="J5" s="473"/>
      <c r="K5" s="473"/>
      <c r="L5" s="473"/>
      <c r="N5" s="553" t="s">
        <v>134</v>
      </c>
      <c r="O5" s="554"/>
      <c r="P5" s="554"/>
      <c r="Q5" s="554"/>
      <c r="R5" s="554"/>
      <c r="S5" s="554"/>
      <c r="T5" s="554"/>
      <c r="U5" s="554"/>
      <c r="V5" s="554"/>
      <c r="W5" s="554"/>
      <c r="X5" s="554"/>
      <c r="Y5" s="555"/>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3"/>
      <c r="I6" s="473"/>
      <c r="J6" s="473"/>
      <c r="K6" s="473"/>
      <c r="L6" s="473"/>
      <c r="N6" s="556"/>
      <c r="O6" s="557"/>
      <c r="P6" s="557"/>
      <c r="Q6" s="557"/>
      <c r="R6" s="557"/>
      <c r="S6" s="557"/>
      <c r="T6" s="557"/>
      <c r="U6" s="557"/>
      <c r="V6" s="557"/>
      <c r="W6" s="557"/>
      <c r="X6" s="557"/>
      <c r="Y6" s="558"/>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56"/>
      <c r="O7" s="557"/>
      <c r="P7" s="557"/>
      <c r="Q7" s="557"/>
      <c r="R7" s="557"/>
      <c r="S7" s="557"/>
      <c r="T7" s="557"/>
      <c r="U7" s="557"/>
      <c r="V7" s="557"/>
      <c r="W7" s="557"/>
      <c r="X7" s="557"/>
      <c r="Y7" s="558"/>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521" t="s">
        <v>214</v>
      </c>
      <c r="I8" s="522"/>
      <c r="J8" s="569"/>
      <c r="K8" s="570"/>
      <c r="M8" s="3"/>
      <c r="N8" s="556"/>
      <c r="O8" s="557"/>
      <c r="P8" s="557"/>
      <c r="Q8" s="557"/>
      <c r="R8" s="557"/>
      <c r="S8" s="557"/>
      <c r="T8" s="557"/>
      <c r="U8" s="557"/>
      <c r="V8" s="557"/>
      <c r="W8" s="557"/>
      <c r="X8" s="557"/>
      <c r="Y8" s="558"/>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82" t="s">
        <v>216</v>
      </c>
      <c r="I9" s="583"/>
      <c r="J9" s="571"/>
      <c r="K9" s="572"/>
      <c r="M9" s="3"/>
      <c r="N9" s="556"/>
      <c r="O9" s="557"/>
      <c r="P9" s="557"/>
      <c r="Q9" s="557"/>
      <c r="R9" s="557"/>
      <c r="S9" s="557"/>
      <c r="T9" s="557"/>
      <c r="U9" s="557"/>
      <c r="V9" s="557"/>
      <c r="W9" s="557"/>
      <c r="X9" s="557"/>
      <c r="Y9" s="558"/>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56"/>
      <c r="O10" s="557"/>
      <c r="P10" s="557"/>
      <c r="Q10" s="557"/>
      <c r="R10" s="557"/>
      <c r="S10" s="557"/>
      <c r="T10" s="557"/>
      <c r="U10" s="557"/>
      <c r="V10" s="557"/>
      <c r="W10" s="557"/>
      <c r="X10" s="557"/>
      <c r="Y10" s="558"/>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59"/>
      <c r="O11" s="560"/>
      <c r="P11" s="560"/>
      <c r="Q11" s="560"/>
      <c r="R11" s="560"/>
      <c r="S11" s="560"/>
      <c r="T11" s="560"/>
      <c r="U11" s="560"/>
      <c r="V11" s="560"/>
      <c r="W11" s="560"/>
      <c r="X11" s="560"/>
      <c r="Y11" s="561"/>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5" t="s">
        <v>362</v>
      </c>
      <c r="F14" s="586"/>
      <c r="G14" s="586"/>
      <c r="H14" s="591" t="str">
        <f>IF(Dashboard!H27="Yes", "WARNING: Project Level Debt is turned ON.", "Project Level Debt is turned off in Dashboard Cell H27.")</f>
        <v>Project Level Debt is turned off in Dashboard Cell H27.</v>
      </c>
      <c r="I14" s="592"/>
    </row>
    <row r="15" spans="1:77" ht="19" x14ac:dyDescent="0.25">
      <c r="B15" s="181" t="s">
        <v>381</v>
      </c>
      <c r="C15" s="181"/>
      <c r="E15" s="587"/>
      <c r="F15" s="588"/>
      <c r="G15" s="588"/>
      <c r="H15" s="593"/>
      <c r="I15" s="594"/>
    </row>
    <row r="16" spans="1:77" x14ac:dyDescent="0.15">
      <c r="E16" s="587"/>
      <c r="F16" s="588"/>
      <c r="G16" s="588"/>
      <c r="H16" s="593"/>
      <c r="I16" s="594"/>
    </row>
    <row r="17" spans="2:28" ht="15" thickBot="1" x14ac:dyDescent="0.25">
      <c r="B17" s="18"/>
      <c r="C17" s="18"/>
      <c r="E17" s="589"/>
      <c r="F17" s="590"/>
      <c r="G17" s="590"/>
      <c r="H17" s="595"/>
      <c r="I17" s="596"/>
    </row>
    <row r="18" spans="2:28" ht="16" x14ac:dyDescent="0.15">
      <c r="B18" s="584" t="s">
        <v>471</v>
      </c>
      <c r="C18" s="584"/>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-58639.675812737936</v>
      </c>
      <c r="E21" s="227">
        <f>Unstructured!E62</f>
        <v>-106110.37845794902</v>
      </c>
      <c r="F21" s="227">
        <f>Unstructured!F62</f>
        <v>-54598.428894138458</v>
      </c>
      <c r="G21" s="227">
        <f>Unstructured!G62</f>
        <v>-23511.388897813384</v>
      </c>
      <c r="H21" s="227">
        <f>Unstructured!H62</f>
        <v>-23065.793821320785</v>
      </c>
      <c r="I21" s="227">
        <f>Unstructured!I62</f>
        <v>289.78640269008611</v>
      </c>
      <c r="J21" s="227">
        <f>Unstructured!J62</f>
        <v>18352.94358582914</v>
      </c>
      <c r="K21" s="227">
        <f>Unstructured!K62</f>
        <v>18716.995140793573</v>
      </c>
      <c r="L21" s="227">
        <f>Unstructured!L62</f>
        <v>19088.267956436848</v>
      </c>
      <c r="M21" s="227">
        <f>Unstructured!M62</f>
        <v>19466.905270035437</v>
      </c>
      <c r="N21" s="227">
        <f>Unstructured!N62</f>
        <v>19853.053160001084</v>
      </c>
      <c r="O21" s="227">
        <f>Unstructured!O62</f>
        <v>20246.860602234261</v>
      </c>
      <c r="P21" s="227">
        <f>Unstructured!P62</f>
        <v>20648.479527595395</v>
      </c>
      <c r="Q21" s="227">
        <f>Unstructured!Q62</f>
        <v>21058.064880515914</v>
      </c>
      <c r="R21" s="227">
        <f>Unstructured!R62</f>
        <v>21475.774678771926</v>
      </c>
      <c r="S21" s="227">
        <f>Unstructured!S62</f>
        <v>21901.770074443382</v>
      </c>
      <c r="T21" s="227">
        <f>Unstructured!T62</f>
        <v>22336.215416082432</v>
      </c>
      <c r="U21" s="227">
        <f>Unstructured!U62</f>
        <v>22779.278312114744</v>
      </c>
      <c r="V21" s="227">
        <f>Unstructured!V62</f>
        <v>23231.129695498457</v>
      </c>
      <c r="W21" s="227">
        <f>Unstructured!W62</f>
        <v>23691.943889665519</v>
      </c>
      <c r="X21" s="227">
        <f>Unstructured!X62</f>
        <v>24161.898675771045</v>
      </c>
      <c r="Y21" s="227">
        <f>Unstructured!Y62</f>
        <v>24641.175361276375</v>
      </c>
      <c r="Z21" s="227">
        <f>Unstructured!Z62</f>
        <v>25129.958849892624</v>
      </c>
      <c r="AA21" s="227">
        <f>Unstructured!AA62</f>
        <v>25628.437712911327</v>
      </c>
      <c r="AB21" s="227">
        <f>Unstructured!AB62</f>
        <v>26136.80426195007</v>
      </c>
    </row>
    <row r="22" spans="2:28" ht="14" x14ac:dyDescent="0.2">
      <c r="B22" s="210" t="s">
        <v>326</v>
      </c>
      <c r="C22" s="230"/>
      <c r="D22" s="227">
        <f>Unstructured!D46</f>
        <v>79817.999375449988</v>
      </c>
      <c r="E22" s="227">
        <f>Unstructured!E46</f>
        <v>127708.79900071997</v>
      </c>
      <c r="F22" s="227">
        <f>Unstructured!F46</f>
        <v>76625.279400431988</v>
      </c>
      <c r="G22" s="227">
        <f>Unstructured!G46</f>
        <v>45975.167640259191</v>
      </c>
      <c r="H22" s="227">
        <f>Unstructured!H46</f>
        <v>45975.167640259191</v>
      </c>
      <c r="I22" s="227">
        <f>Unstructured!I46</f>
        <v>22987.583820129596</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0"/>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77508.287063016149</v>
      </c>
    </row>
    <row r="24" spans="2:28" ht="15" thickTop="1" x14ac:dyDescent="0.2">
      <c r="B24" s="211" t="s">
        <v>327</v>
      </c>
      <c r="C24" s="335">
        <f>Unstructured!C80</f>
        <v>-516721.91375344113</v>
      </c>
      <c r="D24" s="227">
        <f>SUM(D21:D23)</f>
        <v>21178.323562712052</v>
      </c>
      <c r="E24" s="227">
        <f t="shared" ref="E24:AB24" si="0">SUM(E21:E23)</f>
        <v>21598.420542770953</v>
      </c>
      <c r="F24" s="227">
        <f t="shared" si="0"/>
        <v>22026.850506293529</v>
      </c>
      <c r="G24" s="227">
        <f t="shared" si="0"/>
        <v>22463.778742445807</v>
      </c>
      <c r="H24" s="227">
        <f t="shared" si="0"/>
        <v>22909.373818938406</v>
      </c>
      <c r="I24" s="227">
        <f t="shared" si="0"/>
        <v>23277.370222819682</v>
      </c>
      <c r="J24" s="227">
        <f t="shared" si="0"/>
        <v>18352.94358582914</v>
      </c>
      <c r="K24" s="227">
        <f t="shared" si="0"/>
        <v>18716.995140793573</v>
      </c>
      <c r="L24" s="227">
        <f t="shared" si="0"/>
        <v>19088.267956436848</v>
      </c>
      <c r="M24" s="227">
        <f t="shared" si="0"/>
        <v>19466.905270035437</v>
      </c>
      <c r="N24" s="227">
        <f t="shared" si="0"/>
        <v>19853.053160001084</v>
      </c>
      <c r="O24" s="227">
        <f t="shared" si="0"/>
        <v>20246.860602234261</v>
      </c>
      <c r="P24" s="227">
        <f t="shared" si="0"/>
        <v>20648.479527595395</v>
      </c>
      <c r="Q24" s="227">
        <f t="shared" si="0"/>
        <v>21058.064880515914</v>
      </c>
      <c r="R24" s="227">
        <f t="shared" si="0"/>
        <v>21475.774678771926</v>
      </c>
      <c r="S24" s="227">
        <f t="shared" si="0"/>
        <v>21901.770074443382</v>
      </c>
      <c r="T24" s="227">
        <f t="shared" si="0"/>
        <v>22336.215416082432</v>
      </c>
      <c r="U24" s="227">
        <f t="shared" si="0"/>
        <v>22779.278312114744</v>
      </c>
      <c r="V24" s="227">
        <f t="shared" si="0"/>
        <v>23231.129695498457</v>
      </c>
      <c r="W24" s="227">
        <f t="shared" si="0"/>
        <v>23691.943889665519</v>
      </c>
      <c r="X24" s="227">
        <f t="shared" si="0"/>
        <v>24161.898675771045</v>
      </c>
      <c r="Y24" s="227">
        <f t="shared" si="0"/>
        <v>24641.175361276375</v>
      </c>
      <c r="Z24" s="227">
        <f t="shared" si="0"/>
        <v>25129.958849892624</v>
      </c>
      <c r="AA24" s="227">
        <f t="shared" si="0"/>
        <v>25628.437712911327</v>
      </c>
      <c r="AB24" s="227">
        <f t="shared" si="0"/>
        <v>103645.09132496623</v>
      </c>
    </row>
    <row r="25" spans="2:28" ht="14" x14ac:dyDescent="0.2">
      <c r="B25" s="212"/>
      <c r="C25" s="336"/>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7"/>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7"/>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7"/>
      <c r="D28" s="227">
        <f>Unstructured!D72</f>
        <v>1158.1335973015744</v>
      </c>
      <c r="E28" s="227">
        <f>Unstructured!E72</f>
        <v>2095.6799745444932</v>
      </c>
      <c r="F28" s="227">
        <f>Unstructured!F72</f>
        <v>1078.3189706592348</v>
      </c>
      <c r="G28" s="227">
        <f>Unstructured!G72</f>
        <v>464.34993073181437</v>
      </c>
      <c r="H28" s="227">
        <f>Unstructured!H72</f>
        <v>455.54942797108555</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38"/>
      <c r="D29" s="227">
        <f>Unstructured!D70</f>
        <v>12314.331920674966</v>
      </c>
      <c r="E29" s="227">
        <f>Unstructured!E70</f>
        <v>22283.179476169291</v>
      </c>
      <c r="F29" s="227">
        <f>Unstructured!F70</f>
        <v>11465.670067769077</v>
      </c>
      <c r="G29" s="227">
        <f>Unstructured!G70</f>
        <v>4937.3916685408103</v>
      </c>
      <c r="H29" s="227">
        <f>Unstructured!H70</f>
        <v>4843.8167024773647</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140855.29301549998</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154327.7585334765</v>
      </c>
      <c r="E31" s="186">
        <f t="shared" ref="E31:R31" si="1">SUM(E27:E30)</f>
        <v>24378.859450713782</v>
      </c>
      <c r="F31" s="186">
        <f t="shared" si="1"/>
        <v>12543.989038428312</v>
      </c>
      <c r="G31" s="186">
        <f t="shared" si="1"/>
        <v>5401.7415992726246</v>
      </c>
      <c r="H31" s="186">
        <f t="shared" si="1"/>
        <v>5299.3661304484503</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4" t="s">
        <v>331</v>
      </c>
      <c r="C34" s="584"/>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21178.323562712052</v>
      </c>
      <c r="E36" s="190">
        <f t="shared" si="3"/>
        <v>21598.420542770953</v>
      </c>
      <c r="F36" s="190">
        <f t="shared" si="3"/>
        <v>22026.850506293529</v>
      </c>
      <c r="G36" s="190">
        <f t="shared" si="3"/>
        <v>22463.778742445807</v>
      </c>
      <c r="H36" s="190">
        <f t="shared" si="3"/>
        <v>22909.373818938406</v>
      </c>
      <c r="I36" s="190">
        <f t="shared" si="3"/>
        <v>23277.370222819682</v>
      </c>
      <c r="J36" s="190">
        <f t="shared" si="3"/>
        <v>18352.94358582914</v>
      </c>
      <c r="K36" s="190">
        <f t="shared" si="3"/>
        <v>18716.995140793573</v>
      </c>
      <c r="L36" s="190">
        <f t="shared" si="3"/>
        <v>19088.267956436848</v>
      </c>
      <c r="M36" s="190">
        <f t="shared" si="3"/>
        <v>19466.905270035437</v>
      </c>
      <c r="N36" s="190">
        <f t="shared" si="3"/>
        <v>19853.053160001084</v>
      </c>
      <c r="O36" s="190">
        <f t="shared" si="3"/>
        <v>20246.860602234261</v>
      </c>
      <c r="P36" s="190">
        <f t="shared" si="3"/>
        <v>20648.479527595395</v>
      </c>
      <c r="Q36" s="190">
        <f t="shared" si="3"/>
        <v>21058.064880515914</v>
      </c>
      <c r="R36" s="190">
        <f t="shared" si="3"/>
        <v>21475.774678771926</v>
      </c>
      <c r="S36" s="190">
        <f t="shared" si="3"/>
        <v>21901.770074443382</v>
      </c>
      <c r="T36" s="190">
        <f t="shared" si="3"/>
        <v>22336.215416082432</v>
      </c>
      <c r="U36" s="190">
        <f t="shared" si="3"/>
        <v>22779.278312114744</v>
      </c>
      <c r="V36" s="190">
        <f t="shared" si="3"/>
        <v>23231.129695498457</v>
      </c>
      <c r="W36" s="190">
        <f t="shared" ref="W36:AB36" si="4">W24</f>
        <v>23691.943889665519</v>
      </c>
      <c r="X36" s="190">
        <f t="shared" si="4"/>
        <v>24161.898675771045</v>
      </c>
      <c r="Y36" s="190">
        <f t="shared" si="4"/>
        <v>24641.175361276375</v>
      </c>
      <c r="Z36" s="190">
        <f t="shared" si="4"/>
        <v>25129.958849892624</v>
      </c>
      <c r="AA36" s="190">
        <f t="shared" si="4"/>
        <v>25628.437712911327</v>
      </c>
      <c r="AB36" s="190">
        <f t="shared" si="4"/>
        <v>103645.09132496623</v>
      </c>
    </row>
    <row r="37" spans="2:28" ht="15" thickBot="1" x14ac:dyDescent="0.25">
      <c r="B37" s="210" t="s">
        <v>333</v>
      </c>
      <c r="C37" s="230"/>
      <c r="D37" s="184">
        <f t="shared" ref="D37:AB37" si="5">IF(D35&gt;Time_Based_Flip_Target_Year,0,(Cash_on_Cash_Return_Premium*Tax_Equity_Investment_Share*Equity_Investment))</f>
        <v>8145.6042484092477</v>
      </c>
      <c r="E37" s="184">
        <f t="shared" si="5"/>
        <v>8145.6042484092477</v>
      </c>
      <c r="F37" s="184">
        <f t="shared" si="5"/>
        <v>8145.6042484092477</v>
      </c>
      <c r="G37" s="184">
        <f t="shared" si="5"/>
        <v>8145.6042484092477</v>
      </c>
      <c r="H37" s="184">
        <f t="shared" si="5"/>
        <v>8145.6042484092477</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13032.719314302805</v>
      </c>
      <c r="E38" s="227">
        <f>E36-E37</f>
        <v>13452.816294361706</v>
      </c>
      <c r="F38" s="227">
        <f t="shared" ref="F38:R38" si="6">F36-F37</f>
        <v>13881.246257884282</v>
      </c>
      <c r="G38" s="227">
        <f t="shared" si="6"/>
        <v>14318.174494036561</v>
      </c>
      <c r="H38" s="227">
        <f t="shared" si="6"/>
        <v>14763.769570529159</v>
      </c>
      <c r="I38" s="227">
        <f t="shared" si="6"/>
        <v>23277.370222819682</v>
      </c>
      <c r="J38" s="227">
        <f t="shared" si="6"/>
        <v>18352.94358582914</v>
      </c>
      <c r="K38" s="227">
        <f t="shared" si="6"/>
        <v>18716.995140793573</v>
      </c>
      <c r="L38" s="227">
        <f t="shared" si="6"/>
        <v>19088.267956436848</v>
      </c>
      <c r="M38" s="227">
        <f t="shared" si="6"/>
        <v>19466.905270035437</v>
      </c>
      <c r="N38" s="227">
        <f t="shared" si="6"/>
        <v>19853.053160001084</v>
      </c>
      <c r="O38" s="227">
        <f t="shared" si="6"/>
        <v>20246.860602234261</v>
      </c>
      <c r="P38" s="227">
        <f t="shared" si="6"/>
        <v>20648.479527595395</v>
      </c>
      <c r="Q38" s="227">
        <f t="shared" si="6"/>
        <v>21058.064880515914</v>
      </c>
      <c r="R38" s="227">
        <f t="shared" si="6"/>
        <v>21475.774678771926</v>
      </c>
      <c r="S38" s="227">
        <f>S36-S37</f>
        <v>21901.770074443382</v>
      </c>
      <c r="T38" s="227">
        <f>T36-T37</f>
        <v>22336.215416082432</v>
      </c>
      <c r="U38" s="227">
        <f>U36-U37</f>
        <v>22779.278312114744</v>
      </c>
      <c r="V38" s="227">
        <f>V36-V37</f>
        <v>23231.129695498457</v>
      </c>
      <c r="W38" s="227">
        <f t="shared" ref="W38:AB38" si="7">W36-W37</f>
        <v>23691.943889665519</v>
      </c>
      <c r="X38" s="227">
        <f t="shared" si="7"/>
        <v>24161.898675771045</v>
      </c>
      <c r="Y38" s="227">
        <f t="shared" si="7"/>
        <v>24641.175361276375</v>
      </c>
      <c r="Z38" s="227">
        <f t="shared" si="7"/>
        <v>25129.958849892624</v>
      </c>
      <c r="AA38" s="227">
        <f t="shared" si="7"/>
        <v>25628.437712911327</v>
      </c>
      <c r="AB38" s="227">
        <f t="shared" si="7"/>
        <v>103645.09132496623</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11729.447382872526</v>
      </c>
      <c r="E40" s="184">
        <f t="shared" si="8"/>
        <v>12107.534664925535</v>
      </c>
      <c r="F40" s="184">
        <f t="shared" si="8"/>
        <v>12493.121632095854</v>
      </c>
      <c r="G40" s="184">
        <f t="shared" si="8"/>
        <v>12886.357044632905</v>
      </c>
      <c r="H40" s="184">
        <f t="shared" si="8"/>
        <v>13287.392613476244</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1303.2719314302794</v>
      </c>
      <c r="E41" s="227">
        <f>E38-E40</f>
        <v>1345.281629436171</v>
      </c>
      <c r="F41" s="227">
        <f t="shared" ref="F41:R41" si="9">F38-F40</f>
        <v>1388.1246257884286</v>
      </c>
      <c r="G41" s="227">
        <f t="shared" si="9"/>
        <v>1431.8174494036557</v>
      </c>
      <c r="H41" s="227">
        <f t="shared" si="9"/>
        <v>1476.3769570529148</v>
      </c>
      <c r="I41" s="227">
        <f t="shared" si="9"/>
        <v>23277.370222819682</v>
      </c>
      <c r="J41" s="227">
        <f t="shared" si="9"/>
        <v>18352.94358582914</v>
      </c>
      <c r="K41" s="227">
        <f t="shared" si="9"/>
        <v>18716.995140793573</v>
      </c>
      <c r="L41" s="227">
        <f t="shared" si="9"/>
        <v>19088.267956436848</v>
      </c>
      <c r="M41" s="227">
        <f t="shared" si="9"/>
        <v>19466.905270035437</v>
      </c>
      <c r="N41" s="227">
        <f t="shared" si="9"/>
        <v>19853.053160001084</v>
      </c>
      <c r="O41" s="227">
        <f t="shared" si="9"/>
        <v>20246.860602234261</v>
      </c>
      <c r="P41" s="227">
        <f t="shared" si="9"/>
        <v>20648.479527595395</v>
      </c>
      <c r="Q41" s="227">
        <f t="shared" si="9"/>
        <v>21058.064880515914</v>
      </c>
      <c r="R41" s="227">
        <f t="shared" si="9"/>
        <v>21475.774678771926</v>
      </c>
      <c r="S41" s="227">
        <f>S38-S40</f>
        <v>21901.770074443382</v>
      </c>
      <c r="T41" s="227">
        <f>T38-T40</f>
        <v>22336.215416082432</v>
      </c>
      <c r="U41" s="227">
        <f>U38-U40</f>
        <v>22779.278312114744</v>
      </c>
      <c r="V41" s="227">
        <f>V38-V40</f>
        <v>23231.129695498457</v>
      </c>
      <c r="W41" s="227">
        <f t="shared" ref="W41:AB41" si="10">W38-W40</f>
        <v>23691.943889665519</v>
      </c>
      <c r="X41" s="227">
        <f t="shared" si="10"/>
        <v>24161.898675771045</v>
      </c>
      <c r="Y41" s="227">
        <f t="shared" si="10"/>
        <v>24641.175361276375</v>
      </c>
      <c r="Z41" s="227">
        <f t="shared" si="10"/>
        <v>25129.958849892624</v>
      </c>
      <c r="AA41" s="227">
        <f t="shared" si="10"/>
        <v>25628.437712911327</v>
      </c>
      <c r="AB41" s="227">
        <f t="shared" si="10"/>
        <v>103645.09132496623</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1303.2719314302794</v>
      </c>
      <c r="E43" s="227">
        <f t="shared" ref="E43:R43" si="11">E41</f>
        <v>1345.281629436171</v>
      </c>
      <c r="F43" s="227">
        <f t="shared" si="11"/>
        <v>1388.1246257884286</v>
      </c>
      <c r="G43" s="227">
        <f t="shared" si="11"/>
        <v>1431.8174494036557</v>
      </c>
      <c r="H43" s="227">
        <f t="shared" si="11"/>
        <v>1476.3769570529148</v>
      </c>
      <c r="I43" s="227">
        <f t="shared" si="11"/>
        <v>23277.370222819682</v>
      </c>
      <c r="J43" s="227">
        <f t="shared" si="11"/>
        <v>18352.94358582914</v>
      </c>
      <c r="K43" s="227">
        <f t="shared" si="11"/>
        <v>18716.995140793573</v>
      </c>
      <c r="L43" s="227">
        <f t="shared" si="11"/>
        <v>19088.267956436848</v>
      </c>
      <c r="M43" s="227">
        <f t="shared" si="11"/>
        <v>19466.905270035437</v>
      </c>
      <c r="N43" s="227">
        <f t="shared" si="11"/>
        <v>19853.053160001084</v>
      </c>
      <c r="O43" s="227">
        <f t="shared" si="11"/>
        <v>20246.860602234261</v>
      </c>
      <c r="P43" s="227">
        <f t="shared" si="11"/>
        <v>20648.479527595395</v>
      </c>
      <c r="Q43" s="227">
        <f t="shared" si="11"/>
        <v>21058.064880515914</v>
      </c>
      <c r="R43" s="227">
        <f t="shared" si="11"/>
        <v>21475.774678771926</v>
      </c>
      <c r="S43" s="227">
        <f>S41</f>
        <v>21901.770074443382</v>
      </c>
      <c r="T43" s="227">
        <f>T41</f>
        <v>22336.215416082432</v>
      </c>
      <c r="U43" s="227">
        <f>U41</f>
        <v>22779.278312114744</v>
      </c>
      <c r="V43" s="227">
        <f>V41</f>
        <v>23231.129695498457</v>
      </c>
      <c r="W43" s="227">
        <f t="shared" ref="W43:AB43" si="12">W41</f>
        <v>23691.943889665519</v>
      </c>
      <c r="X43" s="227">
        <f t="shared" si="12"/>
        <v>24161.898675771045</v>
      </c>
      <c r="Y43" s="227">
        <f t="shared" si="12"/>
        <v>24641.175361276375</v>
      </c>
      <c r="Z43" s="227">
        <f t="shared" si="12"/>
        <v>25129.958849892624</v>
      </c>
      <c r="AA43" s="227">
        <f t="shared" si="12"/>
        <v>25628.437712911327</v>
      </c>
      <c r="AB43" s="227">
        <f t="shared" si="12"/>
        <v>103645.09132496623</v>
      </c>
    </row>
    <row r="44" spans="2:28" ht="14" x14ac:dyDescent="0.2">
      <c r="B44" s="216" t="s">
        <v>337</v>
      </c>
      <c r="C44" s="232"/>
      <c r="D44" s="227">
        <f t="shared" ref="D44:AB44" si="13">D43*IF(D35&gt;Time_Based_Flip_Target_Year,Tax_Equity_Post_Flip_Share,Tax_Equity_Pre_Flip_Share)</f>
        <v>1290.2392121159767</v>
      </c>
      <c r="E44" s="227">
        <f t="shared" si="13"/>
        <v>1331.8288131418092</v>
      </c>
      <c r="F44" s="227">
        <f t="shared" si="13"/>
        <v>1374.2433795305444</v>
      </c>
      <c r="G44" s="227">
        <f t="shared" si="13"/>
        <v>1417.4992749096191</v>
      </c>
      <c r="H44" s="227">
        <f t="shared" si="13"/>
        <v>1461.6131874823857</v>
      </c>
      <c r="I44" s="227">
        <f t="shared" si="13"/>
        <v>1163.8685111409841</v>
      </c>
      <c r="J44" s="227">
        <f t="shared" si="13"/>
        <v>917.64717929145706</v>
      </c>
      <c r="K44" s="227">
        <f t="shared" si="13"/>
        <v>935.84975703967871</v>
      </c>
      <c r="L44" s="227">
        <f t="shared" si="13"/>
        <v>954.41339782184241</v>
      </c>
      <c r="M44" s="227">
        <f t="shared" si="13"/>
        <v>973.34526350177191</v>
      </c>
      <c r="N44" s="227">
        <f t="shared" si="13"/>
        <v>992.6526580000542</v>
      </c>
      <c r="O44" s="227">
        <f t="shared" si="13"/>
        <v>1012.3430301117131</v>
      </c>
      <c r="P44" s="227">
        <f t="shared" si="13"/>
        <v>1032.4239763797698</v>
      </c>
      <c r="Q44" s="227">
        <f t="shared" si="13"/>
        <v>1052.9032440257959</v>
      </c>
      <c r="R44" s="227">
        <f t="shared" si="13"/>
        <v>1073.7887339385964</v>
      </c>
      <c r="S44" s="227">
        <f t="shared" si="13"/>
        <v>1095.0885037221692</v>
      </c>
      <c r="T44" s="227">
        <f t="shared" si="13"/>
        <v>1116.8107708041216</v>
      </c>
      <c r="U44" s="227">
        <f t="shared" si="13"/>
        <v>1138.9639156057372</v>
      </c>
      <c r="V44" s="227">
        <f t="shared" si="13"/>
        <v>1161.5564847749229</v>
      </c>
      <c r="W44" s="227">
        <f t="shared" si="13"/>
        <v>1184.5971944832761</v>
      </c>
      <c r="X44" s="227">
        <f t="shared" si="13"/>
        <v>1208.0949337885522</v>
      </c>
      <c r="Y44" s="227">
        <f t="shared" si="13"/>
        <v>1232.0587680638189</v>
      </c>
      <c r="Z44" s="227">
        <f t="shared" si="13"/>
        <v>1256.4979424946314</v>
      </c>
      <c r="AA44" s="227">
        <f t="shared" si="13"/>
        <v>1281.4218856455664</v>
      </c>
      <c r="AB44" s="227">
        <f t="shared" si="13"/>
        <v>5182.2545662483117</v>
      </c>
    </row>
    <row r="45" spans="2:28" ht="14" x14ac:dyDescent="0.2">
      <c r="B45" s="216" t="s">
        <v>338</v>
      </c>
      <c r="C45" s="232"/>
      <c r="D45" s="227">
        <f>D43-D44</f>
        <v>13.032719314302767</v>
      </c>
      <c r="E45" s="227">
        <f>E43-E44</f>
        <v>13.45281629436181</v>
      </c>
      <c r="F45" s="227">
        <f t="shared" ref="F45:R45" si="14">F43-F44</f>
        <v>13.881246257884186</v>
      </c>
      <c r="G45" s="227">
        <f t="shared" si="14"/>
        <v>14.318174494036612</v>
      </c>
      <c r="H45" s="227">
        <f t="shared" si="14"/>
        <v>14.763769570529121</v>
      </c>
      <c r="I45" s="227">
        <f t="shared" si="14"/>
        <v>22113.501711678698</v>
      </c>
      <c r="J45" s="227">
        <f t="shared" si="14"/>
        <v>17435.296406537684</v>
      </c>
      <c r="K45" s="227">
        <f t="shared" si="14"/>
        <v>17781.145383753894</v>
      </c>
      <c r="L45" s="227">
        <f t="shared" si="14"/>
        <v>18133.854558615007</v>
      </c>
      <c r="M45" s="227">
        <f t="shared" si="14"/>
        <v>18493.560006533666</v>
      </c>
      <c r="N45" s="227">
        <f t="shared" si="14"/>
        <v>18860.40050200103</v>
      </c>
      <c r="O45" s="227">
        <f t="shared" si="14"/>
        <v>19234.51757212255</v>
      </c>
      <c r="P45" s="227">
        <f t="shared" si="14"/>
        <v>19616.055551215624</v>
      </c>
      <c r="Q45" s="227">
        <f t="shared" si="14"/>
        <v>20005.16163649012</v>
      </c>
      <c r="R45" s="227">
        <f t="shared" si="14"/>
        <v>20401.98594483333</v>
      </c>
      <c r="S45" s="227">
        <f>S43-S44</f>
        <v>20806.681570721212</v>
      </c>
      <c r="T45" s="227">
        <f>T43-T44</f>
        <v>21219.404645278311</v>
      </c>
      <c r="U45" s="227">
        <f>U43-U44</f>
        <v>21640.314396509006</v>
      </c>
      <c r="V45" s="227">
        <f>V43-V44</f>
        <v>22069.573210723534</v>
      </c>
      <c r="W45" s="227">
        <f t="shared" ref="W45:AB45" si="15">W43-W44</f>
        <v>22507.346695182245</v>
      </c>
      <c r="X45" s="227">
        <f t="shared" si="15"/>
        <v>22953.80374198249</v>
      </c>
      <c r="Y45" s="227">
        <f t="shared" si="15"/>
        <v>23409.116593212555</v>
      </c>
      <c r="Z45" s="227">
        <f t="shared" si="15"/>
        <v>23873.460907397992</v>
      </c>
      <c r="AA45" s="227">
        <f t="shared" si="15"/>
        <v>24347.015827265761</v>
      </c>
      <c r="AB45" s="227">
        <f t="shared" si="15"/>
        <v>98462.836758717909</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9435.8434605252241</v>
      </c>
      <c r="E48" s="227">
        <f t="shared" ref="E48:R48" si="16">SUM(E37,E44)</f>
        <v>9477.4330615510571</v>
      </c>
      <c r="F48" s="227">
        <f t="shared" si="16"/>
        <v>9519.8476279397928</v>
      </c>
      <c r="G48" s="227">
        <f t="shared" si="16"/>
        <v>9563.1035233188668</v>
      </c>
      <c r="H48" s="227">
        <f t="shared" si="16"/>
        <v>9607.2174358916327</v>
      </c>
      <c r="I48" s="227">
        <f t="shared" si="16"/>
        <v>1163.8685111409841</v>
      </c>
      <c r="J48" s="227">
        <f t="shared" si="16"/>
        <v>917.64717929145706</v>
      </c>
      <c r="K48" s="227">
        <f t="shared" si="16"/>
        <v>935.84975703967871</v>
      </c>
      <c r="L48" s="227">
        <f t="shared" si="16"/>
        <v>954.41339782184241</v>
      </c>
      <c r="M48" s="227">
        <f t="shared" si="16"/>
        <v>973.34526350177191</v>
      </c>
      <c r="N48" s="227">
        <f t="shared" si="16"/>
        <v>992.6526580000542</v>
      </c>
      <c r="O48" s="227">
        <f t="shared" si="16"/>
        <v>1012.3430301117131</v>
      </c>
      <c r="P48" s="227">
        <f t="shared" si="16"/>
        <v>1032.4239763797698</v>
      </c>
      <c r="Q48" s="227">
        <f t="shared" si="16"/>
        <v>1052.9032440257959</v>
      </c>
      <c r="R48" s="227">
        <f t="shared" si="16"/>
        <v>1073.7887339385964</v>
      </c>
      <c r="S48" s="227">
        <f>SUM(S37,S44)</f>
        <v>1095.0885037221692</v>
      </c>
      <c r="T48" s="227">
        <f>SUM(T37,T44)</f>
        <v>1116.8107708041216</v>
      </c>
      <c r="U48" s="227">
        <f>SUM(U37,U44)</f>
        <v>1138.9639156057372</v>
      </c>
      <c r="V48" s="227">
        <f>SUM(V37,V44)</f>
        <v>1161.5564847749229</v>
      </c>
      <c r="W48" s="227">
        <f t="shared" ref="W48:AB48" si="17">SUM(W37,W44)</f>
        <v>1184.5971944832761</v>
      </c>
      <c r="X48" s="227">
        <f t="shared" si="17"/>
        <v>1208.0949337885522</v>
      </c>
      <c r="Y48" s="227">
        <f t="shared" si="17"/>
        <v>1232.0587680638189</v>
      </c>
      <c r="Z48" s="227">
        <f t="shared" si="17"/>
        <v>1256.4979424946314</v>
      </c>
      <c r="AA48" s="227">
        <f t="shared" si="17"/>
        <v>1281.4218856455664</v>
      </c>
      <c r="AB48" s="227">
        <f t="shared" si="17"/>
        <v>5182.2545662483117</v>
      </c>
    </row>
    <row r="49" spans="2:28" ht="15" thickBot="1" x14ac:dyDescent="0.25">
      <c r="B49" s="216" t="s">
        <v>340</v>
      </c>
      <c r="C49" s="232"/>
      <c r="D49" s="184">
        <f>SUM(D40,D45)</f>
        <v>11742.480102186828</v>
      </c>
      <c r="E49" s="184">
        <f t="shared" ref="E49:R49" si="18">SUM(E40,E45)</f>
        <v>12120.987481219898</v>
      </c>
      <c r="F49" s="184">
        <f t="shared" si="18"/>
        <v>12507.002878353738</v>
      </c>
      <c r="G49" s="184">
        <f t="shared" si="18"/>
        <v>12900.675219126941</v>
      </c>
      <c r="H49" s="184">
        <f t="shared" si="18"/>
        <v>13302.156383046773</v>
      </c>
      <c r="I49" s="184">
        <f t="shared" si="18"/>
        <v>22113.501711678698</v>
      </c>
      <c r="J49" s="184">
        <f t="shared" si="18"/>
        <v>17435.296406537684</v>
      </c>
      <c r="K49" s="184">
        <f t="shared" si="18"/>
        <v>17781.145383753894</v>
      </c>
      <c r="L49" s="184">
        <f t="shared" si="18"/>
        <v>18133.854558615007</v>
      </c>
      <c r="M49" s="184">
        <f t="shared" si="18"/>
        <v>18493.560006533666</v>
      </c>
      <c r="N49" s="184">
        <f t="shared" si="18"/>
        <v>18860.40050200103</v>
      </c>
      <c r="O49" s="184">
        <f t="shared" si="18"/>
        <v>19234.51757212255</v>
      </c>
      <c r="P49" s="184">
        <f t="shared" si="18"/>
        <v>19616.055551215624</v>
      </c>
      <c r="Q49" s="184">
        <f t="shared" si="18"/>
        <v>20005.16163649012</v>
      </c>
      <c r="R49" s="184">
        <f t="shared" si="18"/>
        <v>20401.98594483333</v>
      </c>
      <c r="S49" s="184">
        <f>SUM(S40,S45)</f>
        <v>20806.681570721212</v>
      </c>
      <c r="T49" s="184">
        <f>SUM(T40,T45)</f>
        <v>21219.404645278311</v>
      </c>
      <c r="U49" s="184">
        <f>SUM(U40,U45)</f>
        <v>21640.314396509006</v>
      </c>
      <c r="V49" s="184">
        <f>SUM(V40,V45)</f>
        <v>22069.573210723534</v>
      </c>
      <c r="W49" s="184">
        <f t="shared" ref="W49:AB49" si="19">SUM(W40,W45)</f>
        <v>22507.346695182245</v>
      </c>
      <c r="X49" s="184">
        <f t="shared" si="19"/>
        <v>22953.80374198249</v>
      </c>
      <c r="Y49" s="184">
        <f t="shared" si="19"/>
        <v>23409.116593212555</v>
      </c>
      <c r="Z49" s="184">
        <f t="shared" si="19"/>
        <v>23873.460907397992</v>
      </c>
      <c r="AA49" s="184">
        <f t="shared" si="19"/>
        <v>24347.015827265761</v>
      </c>
      <c r="AB49" s="184">
        <f t="shared" si="19"/>
        <v>98462.836758717909</v>
      </c>
    </row>
    <row r="50" spans="2:28" ht="15" thickTop="1" x14ac:dyDescent="0.2">
      <c r="B50" s="217" t="s">
        <v>341</v>
      </c>
      <c r="C50" s="191"/>
      <c r="D50" s="186">
        <f>D48+D49</f>
        <v>21178.323562712052</v>
      </c>
      <c r="E50" s="186">
        <f>E48+E49</f>
        <v>21598.420542770953</v>
      </c>
      <c r="F50" s="186">
        <f t="shared" ref="F50:R50" si="20">F48+F49</f>
        <v>22026.850506293529</v>
      </c>
      <c r="G50" s="186">
        <f t="shared" si="20"/>
        <v>22463.778742445807</v>
      </c>
      <c r="H50" s="186">
        <f t="shared" si="20"/>
        <v>22909.373818938406</v>
      </c>
      <c r="I50" s="186">
        <f t="shared" si="20"/>
        <v>23277.370222819682</v>
      </c>
      <c r="J50" s="186">
        <f t="shared" si="20"/>
        <v>18352.94358582914</v>
      </c>
      <c r="K50" s="186">
        <f t="shared" si="20"/>
        <v>18716.995140793573</v>
      </c>
      <c r="L50" s="186">
        <f t="shared" si="20"/>
        <v>19088.267956436848</v>
      </c>
      <c r="M50" s="186">
        <f t="shared" si="20"/>
        <v>19466.905270035437</v>
      </c>
      <c r="N50" s="186">
        <f t="shared" si="20"/>
        <v>19853.053160001084</v>
      </c>
      <c r="O50" s="186">
        <f t="shared" si="20"/>
        <v>20246.860602234261</v>
      </c>
      <c r="P50" s="186">
        <f t="shared" si="20"/>
        <v>20648.479527595395</v>
      </c>
      <c r="Q50" s="186">
        <f t="shared" si="20"/>
        <v>21058.064880515914</v>
      </c>
      <c r="R50" s="186">
        <f t="shared" si="20"/>
        <v>21475.774678771926</v>
      </c>
      <c r="S50" s="186">
        <f>S48+S49</f>
        <v>21901.770074443382</v>
      </c>
      <c r="T50" s="186">
        <f>T48+T49</f>
        <v>22336.215416082432</v>
      </c>
      <c r="U50" s="186">
        <f>U48+U49</f>
        <v>22779.278312114744</v>
      </c>
      <c r="V50" s="186">
        <f>V48+V49</f>
        <v>23231.129695498457</v>
      </c>
      <c r="W50" s="186">
        <f t="shared" ref="W50:AB50" si="21">W48+W49</f>
        <v>23691.943889665519</v>
      </c>
      <c r="X50" s="186">
        <f t="shared" si="21"/>
        <v>24161.898675771045</v>
      </c>
      <c r="Y50" s="186">
        <f t="shared" si="21"/>
        <v>24641.175361276375</v>
      </c>
      <c r="Z50" s="186">
        <f t="shared" si="21"/>
        <v>25129.958849892624</v>
      </c>
      <c r="AA50" s="186">
        <f t="shared" si="21"/>
        <v>25628.437712911327</v>
      </c>
      <c r="AB50" s="186">
        <f t="shared" si="21"/>
        <v>103645.09132496623</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97" t="s">
        <v>342</v>
      </c>
      <c r="C53" s="597"/>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-232731.5499545499</v>
      </c>
      <c r="D56" s="227">
        <f t="shared" ref="D56:V56" si="22">D48</f>
        <v>9435.8434605252241</v>
      </c>
      <c r="E56" s="227">
        <f t="shared" si="22"/>
        <v>9477.4330615510571</v>
      </c>
      <c r="F56" s="227">
        <f t="shared" si="22"/>
        <v>9519.8476279397928</v>
      </c>
      <c r="G56" s="227">
        <f t="shared" si="22"/>
        <v>9563.1035233188668</v>
      </c>
      <c r="H56" s="227">
        <f t="shared" si="22"/>
        <v>9607.2174358916327</v>
      </c>
      <c r="I56" s="227">
        <f t="shared" si="22"/>
        <v>1163.8685111409841</v>
      </c>
      <c r="J56" s="227">
        <f t="shared" si="22"/>
        <v>917.64717929145706</v>
      </c>
      <c r="K56" s="227">
        <f t="shared" si="22"/>
        <v>935.84975703967871</v>
      </c>
      <c r="L56" s="227">
        <f t="shared" si="22"/>
        <v>954.41339782184241</v>
      </c>
      <c r="M56" s="227">
        <f t="shared" si="22"/>
        <v>973.34526350177191</v>
      </c>
      <c r="N56" s="227">
        <f t="shared" si="22"/>
        <v>992.6526580000542</v>
      </c>
      <c r="O56" s="227">
        <f t="shared" si="22"/>
        <v>1012.3430301117131</v>
      </c>
      <c r="P56" s="227">
        <f t="shared" si="22"/>
        <v>1032.4239763797698</v>
      </c>
      <c r="Q56" s="227">
        <f t="shared" si="22"/>
        <v>1052.9032440257959</v>
      </c>
      <c r="R56" s="227">
        <f t="shared" si="22"/>
        <v>1073.7887339385964</v>
      </c>
      <c r="S56" s="227">
        <f t="shared" si="22"/>
        <v>1095.0885037221692</v>
      </c>
      <c r="T56" s="227">
        <f t="shared" si="22"/>
        <v>1116.8107708041216</v>
      </c>
      <c r="U56" s="227">
        <f t="shared" si="22"/>
        <v>1138.9639156057372</v>
      </c>
      <c r="V56" s="227">
        <f t="shared" si="22"/>
        <v>1161.5564847749229</v>
      </c>
      <c r="W56" s="227">
        <f t="shared" ref="W56:AB56" si="23">W48</f>
        <v>1184.5971944832761</v>
      </c>
      <c r="X56" s="227">
        <f t="shared" si="23"/>
        <v>1208.0949337885522</v>
      </c>
      <c r="Y56" s="227">
        <f t="shared" si="23"/>
        <v>1232.0587680638189</v>
      </c>
      <c r="Z56" s="227">
        <f t="shared" si="23"/>
        <v>1256.4979424946314</v>
      </c>
      <c r="AA56" s="227">
        <f t="shared" si="23"/>
        <v>1281.4218856455664</v>
      </c>
      <c r="AB56" s="227">
        <f t="shared" si="23"/>
        <v>5182.2545662483117</v>
      </c>
    </row>
    <row r="57" spans="2:28" ht="15" thickBot="1" x14ac:dyDescent="0.25">
      <c r="B57" s="210" t="s">
        <v>345</v>
      </c>
      <c r="C57" s="227"/>
      <c r="D57" s="184">
        <f t="shared" ref="D57:AB57" si="24">IF(D54&gt;Time_Based_Flip_Target_Year,Tax_Equity_Post_Flip_Share,Tax_Equity_Pre_Flip_Share)*D31</f>
        <v>152784.48094814175</v>
      </c>
      <c r="E57" s="184">
        <f t="shared" si="24"/>
        <v>24135.070856206643</v>
      </c>
      <c r="F57" s="184">
        <f t="shared" si="24"/>
        <v>12418.549148044029</v>
      </c>
      <c r="G57" s="184">
        <f t="shared" si="24"/>
        <v>5347.7241832798982</v>
      </c>
      <c r="H57" s="184">
        <f t="shared" si="24"/>
        <v>5246.3724691439656</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-232731.5499545499</v>
      </c>
      <c r="D58" s="227">
        <f>D56+D57</f>
        <v>162220.32440866696</v>
      </c>
      <c r="E58" s="227">
        <f t="shared" ref="E58:R58" si="25">E56+E57</f>
        <v>33612.503917757698</v>
      </c>
      <c r="F58" s="227">
        <f t="shared" si="25"/>
        <v>21938.39677598382</v>
      </c>
      <c r="G58" s="227">
        <f t="shared" si="25"/>
        <v>14910.827706598764</v>
      </c>
      <c r="H58" s="227">
        <f t="shared" si="25"/>
        <v>14853.589905035598</v>
      </c>
      <c r="I58" s="227">
        <f t="shared" si="25"/>
        <v>1163.8685111409841</v>
      </c>
      <c r="J58" s="227">
        <f t="shared" si="25"/>
        <v>917.64717929145706</v>
      </c>
      <c r="K58" s="227">
        <f t="shared" si="25"/>
        <v>935.84975703967871</v>
      </c>
      <c r="L58" s="227">
        <f>L56+L57</f>
        <v>954.41339782184241</v>
      </c>
      <c r="M58" s="227">
        <f t="shared" si="25"/>
        <v>973.34526350177191</v>
      </c>
      <c r="N58" s="227">
        <f t="shared" si="25"/>
        <v>992.6526580000542</v>
      </c>
      <c r="O58" s="227">
        <f t="shared" si="25"/>
        <v>1012.3430301117131</v>
      </c>
      <c r="P58" s="227">
        <f t="shared" si="25"/>
        <v>1032.4239763797698</v>
      </c>
      <c r="Q58" s="227">
        <f t="shared" si="25"/>
        <v>1052.9032440257959</v>
      </c>
      <c r="R58" s="227">
        <f t="shared" si="25"/>
        <v>1073.7887339385964</v>
      </c>
      <c r="S58" s="227">
        <f>S56+S57</f>
        <v>1095.0885037221692</v>
      </c>
      <c r="T58" s="227">
        <f>T56+T57</f>
        <v>1116.8107708041216</v>
      </c>
      <c r="U58" s="227">
        <f>U56+U57</f>
        <v>1138.9639156057372</v>
      </c>
      <c r="V58" s="227">
        <f>V56+V57</f>
        <v>1161.5564847749229</v>
      </c>
      <c r="W58" s="227">
        <f t="shared" ref="W58:AB58" si="26">W56+W57</f>
        <v>1184.5971944832761</v>
      </c>
      <c r="X58" s="227">
        <f t="shared" si="26"/>
        <v>1208.0949337885522</v>
      </c>
      <c r="Y58" s="227">
        <f t="shared" si="26"/>
        <v>1232.0587680638189</v>
      </c>
      <c r="Z58" s="227">
        <f t="shared" si="26"/>
        <v>1256.4979424946314</v>
      </c>
      <c r="AA58" s="227">
        <f t="shared" si="26"/>
        <v>1281.4218856455664</v>
      </c>
      <c r="AB58" s="227">
        <f t="shared" si="26"/>
        <v>5182.2545662483117</v>
      </c>
    </row>
    <row r="59" spans="2:28" ht="14" x14ac:dyDescent="0.2">
      <c r="B59" s="210" t="s">
        <v>382</v>
      </c>
      <c r="C59" s="207">
        <v>0</v>
      </c>
      <c r="D59" s="207">
        <f>IFERROR(IRR($C58:D$58),0)</f>
        <v>-0.30297235402614331</v>
      </c>
      <c r="E59" s="207">
        <f>IFERROR(IRR($C58:E$58),0)</f>
        <v>-0.13584292997155201</v>
      </c>
      <c r="F59" s="207">
        <f>IFERROR(IRR($C58:F$58),0)</f>
        <v>-4.7458577596079188E-2</v>
      </c>
      <c r="G59" s="207">
        <f>IFERROR(IRR($C58:G$58),0)</f>
        <v>-1.3943656248427416E-4</v>
      </c>
      <c r="H59" s="207">
        <f>IFERROR(IRR($C58:H$58),0)</f>
        <v>3.676318242915233E-2</v>
      </c>
      <c r="I59" s="207">
        <f>IFERROR(IRR($C58:I$58),0)</f>
        <v>3.9218941105701788E-2</v>
      </c>
      <c r="J59" s="207">
        <f>IFERROR(IRR($C58:J$58),0)</f>
        <v>4.1046654406457384E-2</v>
      </c>
      <c r="K59" s="207">
        <f>IFERROR(IRR($C58:K$58),0)</f>
        <v>4.280235657087661E-2</v>
      </c>
      <c r="L59" s="207">
        <f>IFERROR(IRR($C58:L$58),0)</f>
        <v>4.4482113247652055E-2</v>
      </c>
      <c r="M59" s="207">
        <f>IFERROR(IRR($C58:M$58),0)</f>
        <v>4.6083445842895143E-2</v>
      </c>
      <c r="N59" s="207">
        <f>IFERROR(IRR($C58:N$58),0)</f>
        <v>4.7605181799695417E-2</v>
      </c>
      <c r="O59" s="207">
        <f>IFERROR(IRR($C58:O$58),0)</f>
        <v>4.9047279879089523E-2</v>
      </c>
      <c r="P59" s="207">
        <f>IFERROR(IRR($C58:P$58),0)</f>
        <v>5.0410646268328918E-2</v>
      </c>
      <c r="Q59" s="207">
        <f>IFERROR(IRR($C58:Q$58),0)</f>
        <v>5.1696953830435932E-2</v>
      </c>
      <c r="R59" s="207">
        <f>IFERROR(IRR($C58:R$58),0)</f>
        <v>5.2908473156364488E-2</v>
      </c>
      <c r="S59" s="207">
        <f>IFERROR(IRR($C58:S$58),0)</f>
        <v>5.4047920775951441E-2</v>
      </c>
      <c r="T59" s="207">
        <f>IFERROR(IRR($C58:T$58),0)</f>
        <v>5.511832718050047E-2</v>
      </c>
      <c r="U59" s="207">
        <f>IFERROR(IRR($C58:U$58),0)</f>
        <v>5.61229252822113E-2</v>
      </c>
      <c r="V59" s="207">
        <f>IFERROR(IRR($C58:V$58),0)</f>
        <v>5.7065058541987401E-2</v>
      </c>
      <c r="W59" s="207">
        <f>IFERROR(IRR($C58:W$58),0)</f>
        <v>5.7948107135529892E-2</v>
      </c>
      <c r="X59" s="207">
        <f>IFERROR(IRR($C58:X$58),0)</f>
        <v>5.8775430076664303E-2</v>
      </c>
      <c r="Y59" s="207">
        <f>IFERROR(IRR($C58:Y$58),0)</f>
        <v>5.9550321060277467E-2</v>
      </c>
      <c r="Z59" s="207">
        <f>IFERROR(IRR($C58:Z$58),0)</f>
        <v>6.0275975826351136E-2</v>
      </c>
      <c r="AA59" s="207">
        <f>IFERROR(IRR($C58:AA$58),0)</f>
        <v>6.095546900424198E-2</v>
      </c>
      <c r="AB59" s="207">
        <f>IFERROR(IRR($C58:AB$58),0)</f>
        <v>6.3387855440086627E-2</v>
      </c>
    </row>
    <row r="60" spans="2:28" ht="14" x14ac:dyDescent="0.2">
      <c r="B60" s="210" t="s">
        <v>98</v>
      </c>
      <c r="C60" s="227">
        <f>C58</f>
        <v>-232731.5499545499</v>
      </c>
      <c r="D60" s="227">
        <f>C60+D58</f>
        <v>-70511.225545882946</v>
      </c>
      <c r="E60" s="227">
        <f t="shared" ref="E60:R60" si="27">D60+E58</f>
        <v>-36898.721628125248</v>
      </c>
      <c r="F60" s="227">
        <f t="shared" si="27"/>
        <v>-14960.324852141428</v>
      </c>
      <c r="G60" s="227">
        <f t="shared" si="27"/>
        <v>-49.49714554266393</v>
      </c>
      <c r="H60" s="227">
        <f t="shared" si="27"/>
        <v>14804.092759492934</v>
      </c>
      <c r="I60" s="227">
        <f t="shared" si="27"/>
        <v>15967.961270633918</v>
      </c>
      <c r="J60" s="227">
        <f t="shared" si="27"/>
        <v>16885.608449925374</v>
      </c>
      <c r="K60" s="227">
        <f t="shared" si="27"/>
        <v>17821.458206965053</v>
      </c>
      <c r="L60" s="227">
        <f t="shared" si="27"/>
        <v>18775.871604786895</v>
      </c>
      <c r="M60" s="227">
        <f t="shared" si="27"/>
        <v>19749.216868288666</v>
      </c>
      <c r="N60" s="227">
        <f t="shared" si="27"/>
        <v>20741.869526288719</v>
      </c>
      <c r="O60" s="227">
        <f t="shared" si="27"/>
        <v>21754.212556400431</v>
      </c>
      <c r="P60" s="227">
        <f t="shared" si="27"/>
        <v>22786.636532780201</v>
      </c>
      <c r="Q60" s="227">
        <f t="shared" si="27"/>
        <v>23839.539776805996</v>
      </c>
      <c r="R60" s="227">
        <f t="shared" si="27"/>
        <v>24913.328510744592</v>
      </c>
      <c r="S60" s="227">
        <f>R60+S58</f>
        <v>26008.417014466762</v>
      </c>
      <c r="T60" s="227">
        <f>S60+T58</f>
        <v>27125.227785270883</v>
      </c>
      <c r="U60" s="227">
        <f>T60+U58</f>
        <v>28264.191700876621</v>
      </c>
      <c r="V60" s="227">
        <f>U60+V58</f>
        <v>29425.748185651544</v>
      </c>
      <c r="W60" s="227">
        <f t="shared" ref="W60:AB60" si="28">V60+W58</f>
        <v>30610.345380134819</v>
      </c>
      <c r="X60" s="227">
        <f t="shared" si="28"/>
        <v>31818.440313923369</v>
      </c>
      <c r="Y60" s="227">
        <f t="shared" si="28"/>
        <v>33050.499081987189</v>
      </c>
      <c r="Z60" s="227">
        <f t="shared" si="28"/>
        <v>34306.997024481818</v>
      </c>
      <c r="AA60" s="227">
        <f t="shared" si="28"/>
        <v>35588.418910127381</v>
      </c>
      <c r="AB60" s="227">
        <f t="shared" si="28"/>
        <v>40770.67347637569</v>
      </c>
    </row>
    <row r="61" spans="2:28" ht="14" x14ac:dyDescent="0.2">
      <c r="B61" s="210" t="s">
        <v>347</v>
      </c>
      <c r="C61" s="227">
        <f>NPV(Investor_Discount_Rate,D58:AB58)+C58</f>
        <v>-771.08143284849939</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6.3387855440086627E-2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-183776.41806921398</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-9.3185236979306918E-2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2">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3.9218941105701788E-2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-283990.36379889125</v>
      </c>
      <c r="D69" s="227">
        <f t="shared" ref="D69:AB69" si="29">D49</f>
        <v>11742.480102186828</v>
      </c>
      <c r="E69" s="227">
        <f t="shared" si="29"/>
        <v>12120.987481219898</v>
      </c>
      <c r="F69" s="227">
        <f t="shared" si="29"/>
        <v>12507.002878353738</v>
      </c>
      <c r="G69" s="227">
        <f t="shared" si="29"/>
        <v>12900.675219126941</v>
      </c>
      <c r="H69" s="227">
        <f t="shared" si="29"/>
        <v>13302.156383046773</v>
      </c>
      <c r="I69" s="227">
        <f t="shared" si="29"/>
        <v>22113.501711678698</v>
      </c>
      <c r="J69" s="227">
        <f t="shared" si="29"/>
        <v>17435.296406537684</v>
      </c>
      <c r="K69" s="227">
        <f t="shared" si="29"/>
        <v>17781.145383753894</v>
      </c>
      <c r="L69" s="227">
        <f t="shared" si="29"/>
        <v>18133.854558615007</v>
      </c>
      <c r="M69" s="227">
        <f t="shared" si="29"/>
        <v>18493.560006533666</v>
      </c>
      <c r="N69" s="227">
        <f t="shared" si="29"/>
        <v>18860.40050200103</v>
      </c>
      <c r="O69" s="227">
        <f t="shared" si="29"/>
        <v>19234.51757212255</v>
      </c>
      <c r="P69" s="227">
        <f t="shared" si="29"/>
        <v>19616.055551215624</v>
      </c>
      <c r="Q69" s="227">
        <f t="shared" si="29"/>
        <v>20005.16163649012</v>
      </c>
      <c r="R69" s="227">
        <f t="shared" si="29"/>
        <v>20401.98594483333</v>
      </c>
      <c r="S69" s="227">
        <f t="shared" si="29"/>
        <v>20806.681570721212</v>
      </c>
      <c r="T69" s="227">
        <f t="shared" si="29"/>
        <v>21219.404645278311</v>
      </c>
      <c r="U69" s="227">
        <f t="shared" si="29"/>
        <v>21640.314396509006</v>
      </c>
      <c r="V69" s="227">
        <f t="shared" si="29"/>
        <v>22069.573210723534</v>
      </c>
      <c r="W69" s="227">
        <f t="shared" si="29"/>
        <v>22507.346695182245</v>
      </c>
      <c r="X69" s="227">
        <f t="shared" si="29"/>
        <v>22953.80374198249</v>
      </c>
      <c r="Y69" s="227">
        <f t="shared" si="29"/>
        <v>23409.116593212555</v>
      </c>
      <c r="Z69" s="227">
        <f t="shared" si="29"/>
        <v>23873.460907397992</v>
      </c>
      <c r="AA69" s="227">
        <f t="shared" si="29"/>
        <v>24347.015827265761</v>
      </c>
      <c r="AB69" s="227">
        <f t="shared" si="29"/>
        <v>98462.836758717909</v>
      </c>
    </row>
    <row r="70" spans="2:28" ht="15" thickBot="1" x14ac:dyDescent="0.25">
      <c r="B70" s="210" t="s">
        <v>345</v>
      </c>
      <c r="C70" s="227"/>
      <c r="D70" s="184">
        <f t="shared" ref="D70:AB70" si="30">D31-D57</f>
        <v>1543.2775853347557</v>
      </c>
      <c r="E70" s="184">
        <f t="shared" si="30"/>
        <v>243.78859450713935</v>
      </c>
      <c r="F70" s="184">
        <f t="shared" si="30"/>
        <v>125.43989038428299</v>
      </c>
      <c r="G70" s="184">
        <f t="shared" si="30"/>
        <v>54.017415992726455</v>
      </c>
      <c r="H70" s="184">
        <f t="shared" si="30"/>
        <v>52.993661304484704</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-283990.36379889125</v>
      </c>
      <c r="D71" s="227">
        <f>D69+D70</f>
        <v>13285.757687521584</v>
      </c>
      <c r="E71" s="227">
        <f t="shared" ref="E71:R71" si="31">E69+E70</f>
        <v>12364.776075727037</v>
      </c>
      <c r="F71" s="227">
        <f t="shared" si="31"/>
        <v>12632.442768738021</v>
      </c>
      <c r="G71" s="227">
        <f t="shared" si="31"/>
        <v>12954.692635119667</v>
      </c>
      <c r="H71" s="227">
        <f t="shared" si="31"/>
        <v>13355.150044351258</v>
      </c>
      <c r="I71" s="227">
        <f t="shared" si="31"/>
        <v>22113.501711678698</v>
      </c>
      <c r="J71" s="227">
        <f t="shared" si="31"/>
        <v>17435.296406537684</v>
      </c>
      <c r="K71" s="227">
        <f t="shared" si="31"/>
        <v>17781.145383753894</v>
      </c>
      <c r="L71" s="227">
        <f t="shared" si="31"/>
        <v>18133.854558615007</v>
      </c>
      <c r="M71" s="227">
        <f t="shared" si="31"/>
        <v>18493.560006533666</v>
      </c>
      <c r="N71" s="227">
        <f t="shared" si="31"/>
        <v>18860.40050200103</v>
      </c>
      <c r="O71" s="227">
        <f t="shared" si="31"/>
        <v>19234.51757212255</v>
      </c>
      <c r="P71" s="227">
        <f t="shared" si="31"/>
        <v>19616.055551215624</v>
      </c>
      <c r="Q71" s="227">
        <f t="shared" si="31"/>
        <v>20005.16163649012</v>
      </c>
      <c r="R71" s="227">
        <f t="shared" si="31"/>
        <v>20401.98594483333</v>
      </c>
      <c r="S71" s="227">
        <f>S69+S70</f>
        <v>20806.681570721212</v>
      </c>
      <c r="T71" s="227">
        <f>T69+T70</f>
        <v>21219.404645278311</v>
      </c>
      <c r="U71" s="227">
        <f>U69+U70</f>
        <v>21640.314396509006</v>
      </c>
      <c r="V71" s="227">
        <f>V69+V70</f>
        <v>22069.573210723534</v>
      </c>
      <c r="W71" s="227">
        <f t="shared" ref="W71:AB71" si="32">W69+W70</f>
        <v>22507.346695182245</v>
      </c>
      <c r="X71" s="227">
        <f t="shared" si="32"/>
        <v>22953.80374198249</v>
      </c>
      <c r="Y71" s="227">
        <f t="shared" si="32"/>
        <v>23409.116593212555</v>
      </c>
      <c r="Z71" s="227">
        <f t="shared" si="32"/>
        <v>23873.460907397992</v>
      </c>
      <c r="AA71" s="227">
        <f t="shared" si="32"/>
        <v>24347.015827265761</v>
      </c>
      <c r="AB71" s="227">
        <f t="shared" si="32"/>
        <v>98462.836758717909</v>
      </c>
    </row>
    <row r="72" spans="2:28" ht="14" x14ac:dyDescent="0.2">
      <c r="B72" s="210" t="s">
        <v>382</v>
      </c>
      <c r="C72" s="207">
        <v>0</v>
      </c>
      <c r="D72" s="207">
        <f>IFERROR(IRR($C71:D$71),0)</f>
        <v>-0.95321757573109089</v>
      </c>
      <c r="E72" s="207">
        <f>IFERROR(IRR($C71:E$71),0)</f>
        <v>-0.76664076639862577</v>
      </c>
      <c r="F72" s="207">
        <f>IFERROR(IRR($C71:F$71),0)</f>
        <v>-0.58700382551059427</v>
      </c>
      <c r="G72" s="207">
        <f>IFERROR(IRR($C71:G$71),0)</f>
        <v>-0.45088898269228739</v>
      </c>
      <c r="H72" s="207">
        <f>IFERROR(IRR($C71:H$71),0)</f>
        <v>-0.35036659677460413</v>
      </c>
      <c r="I72" s="207">
        <f>IFERROR(IRR($C71:I$71),0)</f>
        <v>-0.24595560223841095</v>
      </c>
      <c r="J72" s="207">
        <f>IFERROR(IRR($C71:J$71),0)</f>
        <v>-0.1911550314467334</v>
      </c>
      <c r="K72" s="207">
        <f>IFERROR(IRR($C71:K$71),0)</f>
        <v>-0.14866957957353644</v>
      </c>
      <c r="L72" s="207">
        <f>IFERROR(IRR($C71:L$71),0)</f>
        <v>-0.11526296594031193</v>
      </c>
      <c r="M72" s="207">
        <f>IFERROR(IRR($C71:M$71),0)</f>
        <v>-8.8579059297162144E-2</v>
      </c>
      <c r="N72" s="207">
        <f>IFERROR(IRR($C71:N$71),0)</f>
        <v>-6.6948464268752228E-2</v>
      </c>
      <c r="O72" s="207">
        <f>IFERROR(IRR($C71:O$71),0)</f>
        <v>-4.9180508217920194E-2</v>
      </c>
      <c r="P72" s="207">
        <f>IFERROR(IRR($C71:P$71),0)</f>
        <v>-3.4412939206778237E-2</v>
      </c>
      <c r="Q72" s="207">
        <f>IFERROR(IRR($C71:Q$71),0)</f>
        <v>-2.2010661846711632E-2</v>
      </c>
      <c r="R72" s="207">
        <f>IFERROR(IRR($C71:R$71),0)</f>
        <v>-1.1498093169490464E-2</v>
      </c>
      <c r="S72" s="207">
        <f>IFERROR(IRR($C71:S$71),0)</f>
        <v>-2.5135564007184863E-3</v>
      </c>
      <c r="T72" s="207">
        <f>IFERROR(IRR($C71:T$71),0)</f>
        <v>5.221929692570626E-3</v>
      </c>
      <c r="U72" s="207">
        <f>IFERROR(IRR($C71:U$71),0)</f>
        <v>1.1926363425786457E-2</v>
      </c>
      <c r="V72" s="207">
        <f>IFERROR(IRR($C71:V$71),0)</f>
        <v>1.7772113556656421E-2</v>
      </c>
      <c r="W72" s="207">
        <f>IFERROR(IRR($C71:W$71),0)</f>
        <v>2.2896946239496785E-2</v>
      </c>
      <c r="X72" s="207">
        <f>IFERROR(IRR($C71:X$71),0)</f>
        <v>2.7412061235700724E-2</v>
      </c>
      <c r="Y72" s="207">
        <f>IFERROR(IRR($C71:Y$71),0)</f>
        <v>3.1408028711223057E-2</v>
      </c>
      <c r="Z72" s="207">
        <f>IFERROR(IRR($C71:Z$71),0)</f>
        <v>3.4959230763541349E-2</v>
      </c>
      <c r="AA72" s="207">
        <f>IFERROR(IRR($C71:AA$71),0)</f>
        <v>3.8127223375108876E-2</v>
      </c>
      <c r="AB72" s="207">
        <f>IFERROR(IRR($C71:AB$71),0)</f>
        <v>4.8147257405136923E-2</v>
      </c>
    </row>
    <row r="73" spans="2:28" ht="14" x14ac:dyDescent="0.2">
      <c r="B73" s="210" t="s">
        <v>98</v>
      </c>
      <c r="C73" s="227">
        <f>C71</f>
        <v>-283990.36379889125</v>
      </c>
      <c r="D73" s="227">
        <f>C73+D71</f>
        <v>-270704.60611136968</v>
      </c>
      <c r="E73" s="227">
        <f t="shared" ref="E73:R73" si="33">D73+E71</f>
        <v>-258339.83003564263</v>
      </c>
      <c r="F73" s="227">
        <f t="shared" si="33"/>
        <v>-245707.38726690461</v>
      </c>
      <c r="G73" s="227">
        <f t="shared" si="33"/>
        <v>-232752.69463178495</v>
      </c>
      <c r="H73" s="227">
        <f t="shared" si="33"/>
        <v>-219397.54458743369</v>
      </c>
      <c r="I73" s="227">
        <f t="shared" si="33"/>
        <v>-197284.042875755</v>
      </c>
      <c r="J73" s="227">
        <f t="shared" si="33"/>
        <v>-179848.74646921732</v>
      </c>
      <c r="K73" s="227">
        <f t="shared" si="33"/>
        <v>-162067.60108546342</v>
      </c>
      <c r="L73" s="227">
        <f t="shared" si="33"/>
        <v>-143933.74652684841</v>
      </c>
      <c r="M73" s="227">
        <f t="shared" si="33"/>
        <v>-125440.18652031475</v>
      </c>
      <c r="N73" s="227">
        <f t="shared" si="33"/>
        <v>-106579.78601831372</v>
      </c>
      <c r="O73" s="227">
        <f t="shared" si="33"/>
        <v>-87345.26844619117</v>
      </c>
      <c r="P73" s="227">
        <f t="shared" si="33"/>
        <v>-67729.212894975542</v>
      </c>
      <c r="Q73" s="227">
        <f t="shared" si="33"/>
        <v>-47724.051258485422</v>
      </c>
      <c r="R73" s="227">
        <f t="shared" si="33"/>
        <v>-27322.065313652092</v>
      </c>
      <c r="S73" s="227">
        <f>R73+S71</f>
        <v>-6515.3837429308805</v>
      </c>
      <c r="T73" s="227">
        <f>S73+T71</f>
        <v>14704.020902347431</v>
      </c>
      <c r="U73" s="227">
        <f>T73+U71</f>
        <v>36344.335298856437</v>
      </c>
      <c r="V73" s="227">
        <f>U73+V71</f>
        <v>58413.908509579967</v>
      </c>
      <c r="W73" s="227">
        <f t="shared" ref="W73:AB73" si="34">V73+W71</f>
        <v>80921.255204762216</v>
      </c>
      <c r="X73" s="227">
        <f t="shared" si="34"/>
        <v>103875.05894674471</v>
      </c>
      <c r="Y73" s="227">
        <f t="shared" si="34"/>
        <v>127284.17553995727</v>
      </c>
      <c r="Z73" s="227">
        <f t="shared" si="34"/>
        <v>151157.63644735527</v>
      </c>
      <c r="AA73" s="227">
        <f t="shared" si="34"/>
        <v>175504.65227462104</v>
      </c>
      <c r="AB73" s="227">
        <f t="shared" si="34"/>
        <v>273967.48903333896</v>
      </c>
    </row>
    <row r="74" spans="2:28" ht="14" x14ac:dyDescent="0.2">
      <c r="B74" s="210" t="s">
        <v>347</v>
      </c>
      <c r="C74" s="227">
        <f>NPV(Investor_Discount_Rate,D71:AB71)+C71</f>
        <v>-51499.607350928447</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4.8147257405136923E-2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-53348.146104831132</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4.7612911295340066E-2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97" t="s">
        <v>352</v>
      </c>
      <c r="C86" s="597"/>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-232731.5499545499</v>
      </c>
      <c r="D88" s="223">
        <f t="shared" si="35"/>
        <v>-70511.225545882946</v>
      </c>
      <c r="E88" s="223">
        <f t="shared" si="35"/>
        <v>-36898.721628125248</v>
      </c>
      <c r="F88" s="223">
        <f t="shared" si="35"/>
        <v>-14960.324852141428</v>
      </c>
      <c r="G88" s="223">
        <f t="shared" si="35"/>
        <v>-49.49714554266393</v>
      </c>
      <c r="H88" s="223">
        <f t="shared" si="35"/>
        <v>14804.092759492934</v>
      </c>
      <c r="I88" s="223">
        <f t="shared" si="35"/>
        <v>15967.961270633918</v>
      </c>
      <c r="J88" s="223">
        <f t="shared" si="35"/>
        <v>16885.608449925374</v>
      </c>
      <c r="K88" s="223">
        <f t="shared" si="35"/>
        <v>17821.458206965053</v>
      </c>
      <c r="L88" s="223">
        <f t="shared" si="35"/>
        <v>18775.871604786895</v>
      </c>
      <c r="M88" s="223">
        <f t="shared" si="35"/>
        <v>19749.216868288666</v>
      </c>
      <c r="N88" s="223">
        <f t="shared" si="35"/>
        <v>20741.869526288719</v>
      </c>
      <c r="O88" s="223">
        <f t="shared" si="35"/>
        <v>21754.212556400431</v>
      </c>
      <c r="P88" s="223">
        <f t="shared" si="35"/>
        <v>22786.636532780201</v>
      </c>
      <c r="Q88" s="223">
        <f t="shared" si="35"/>
        <v>23839.539776805996</v>
      </c>
      <c r="R88" s="223">
        <f t="shared" si="35"/>
        <v>24913.328510744592</v>
      </c>
      <c r="S88" s="223">
        <f t="shared" si="35"/>
        <v>26008.417014466762</v>
      </c>
      <c r="T88" s="223">
        <f t="shared" si="35"/>
        <v>27125.227785270883</v>
      </c>
      <c r="U88" s="223">
        <f t="shared" si="35"/>
        <v>28264.191700876621</v>
      </c>
      <c r="V88" s="223">
        <f t="shared" si="35"/>
        <v>29425.748185651544</v>
      </c>
      <c r="W88" s="223">
        <f t="shared" si="35"/>
        <v>30610.345380134819</v>
      </c>
      <c r="X88" s="223">
        <f t="shared" si="35"/>
        <v>31818.440313923369</v>
      </c>
      <c r="Y88" s="223">
        <f t="shared" si="35"/>
        <v>33050.499081987189</v>
      </c>
      <c r="Z88" s="223">
        <f t="shared" si="35"/>
        <v>34306.997024481818</v>
      </c>
      <c r="AA88" s="223">
        <f t="shared" si="35"/>
        <v>35588.418910127381</v>
      </c>
      <c r="AB88" s="223">
        <f t="shared" si="35"/>
        <v>40770.67347637569</v>
      </c>
    </row>
    <row r="89" spans="2:28" ht="14" x14ac:dyDescent="0.2">
      <c r="B89" s="222" t="s">
        <v>340</v>
      </c>
      <c r="C89" s="225">
        <f>C73</f>
        <v>-283990.36379889125</v>
      </c>
      <c r="D89" s="225">
        <f t="shared" ref="D89:R89" si="36">D73</f>
        <v>-270704.60611136968</v>
      </c>
      <c r="E89" s="225">
        <f t="shared" si="36"/>
        <v>-258339.83003564263</v>
      </c>
      <c r="F89" s="225">
        <f t="shared" si="36"/>
        <v>-245707.38726690461</v>
      </c>
      <c r="G89" s="225">
        <f t="shared" si="36"/>
        <v>-232752.69463178495</v>
      </c>
      <c r="H89" s="225">
        <f t="shared" si="36"/>
        <v>-219397.54458743369</v>
      </c>
      <c r="I89" s="225">
        <f t="shared" si="36"/>
        <v>-197284.042875755</v>
      </c>
      <c r="J89" s="225">
        <f t="shared" si="36"/>
        <v>-179848.74646921732</v>
      </c>
      <c r="K89" s="225">
        <f t="shared" si="36"/>
        <v>-162067.60108546342</v>
      </c>
      <c r="L89" s="225">
        <f t="shared" si="36"/>
        <v>-143933.74652684841</v>
      </c>
      <c r="M89" s="225">
        <f t="shared" si="36"/>
        <v>-125440.18652031475</v>
      </c>
      <c r="N89" s="225">
        <f t="shared" si="36"/>
        <v>-106579.78601831372</v>
      </c>
      <c r="O89" s="225">
        <f t="shared" si="36"/>
        <v>-87345.26844619117</v>
      </c>
      <c r="P89" s="225">
        <f t="shared" si="36"/>
        <v>-67729.212894975542</v>
      </c>
      <c r="Q89" s="225">
        <f t="shared" si="36"/>
        <v>-47724.051258485422</v>
      </c>
      <c r="R89" s="225">
        <f t="shared" si="36"/>
        <v>-27322.065313652092</v>
      </c>
      <c r="S89" s="225">
        <f>S73</f>
        <v>-6515.3837429308805</v>
      </c>
      <c r="T89" s="225">
        <f>T73</f>
        <v>14704.020902347431</v>
      </c>
      <c r="U89" s="225">
        <f>U73</f>
        <v>36344.335298856437</v>
      </c>
      <c r="V89" s="225">
        <f>V73</f>
        <v>58413.908509579967</v>
      </c>
      <c r="W89" s="225">
        <f t="shared" ref="W89:AB89" si="37">W73</f>
        <v>80921.255204762216</v>
      </c>
      <c r="X89" s="225">
        <f t="shared" si="37"/>
        <v>103875.05894674471</v>
      </c>
      <c r="Y89" s="225">
        <f t="shared" si="37"/>
        <v>127284.17553995727</v>
      </c>
      <c r="Z89" s="225">
        <f t="shared" si="37"/>
        <v>151157.63644735527</v>
      </c>
      <c r="AA89" s="225">
        <f t="shared" si="37"/>
        <v>175504.65227462104</v>
      </c>
      <c r="AB89" s="225">
        <f t="shared" si="37"/>
        <v>273967.48903333896</v>
      </c>
    </row>
    <row r="91" spans="2:28" ht="16" x14ac:dyDescent="0.15">
      <c r="B91" s="598" t="s">
        <v>354</v>
      </c>
      <c r="C91" s="599"/>
    </row>
    <row r="92" spans="2:28" ht="14" x14ac:dyDescent="0.2">
      <c r="B92" s="221" t="s">
        <v>353</v>
      </c>
      <c r="C92" s="224">
        <f>-C56</f>
        <v>232731.5499545499</v>
      </c>
    </row>
    <row r="93" spans="2:28" ht="14" x14ac:dyDescent="0.2">
      <c r="B93" s="222" t="s">
        <v>340</v>
      </c>
      <c r="C93" s="226">
        <f>-C69</f>
        <v>283990.36379889125</v>
      </c>
    </row>
    <row r="95" spans="2:28" ht="16" x14ac:dyDescent="0.2">
      <c r="B95" s="597" t="s">
        <v>352</v>
      </c>
      <c r="C95" s="597"/>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-232731.5499545499</v>
      </c>
      <c r="D97" s="259">
        <f t="shared" si="38"/>
        <v>162220.32440866696</v>
      </c>
      <c r="E97" s="259">
        <f t="shared" si="38"/>
        <v>33612.503917757698</v>
      </c>
      <c r="F97" s="259">
        <f t="shared" si="38"/>
        <v>21938.39677598382</v>
      </c>
      <c r="G97" s="259">
        <f t="shared" si="38"/>
        <v>14910.827706598764</v>
      </c>
      <c r="H97" s="259">
        <f t="shared" si="38"/>
        <v>14853.589905035598</v>
      </c>
      <c r="I97" s="259">
        <f t="shared" si="38"/>
        <v>1163.8685111409841</v>
      </c>
      <c r="J97" s="259">
        <f t="shared" si="38"/>
        <v>917.64717929145706</v>
      </c>
      <c r="K97" s="259">
        <f t="shared" si="38"/>
        <v>935.84975703967871</v>
      </c>
      <c r="L97" s="259">
        <f t="shared" si="38"/>
        <v>954.41339782184241</v>
      </c>
      <c r="M97" s="259">
        <f t="shared" si="38"/>
        <v>973.34526350177191</v>
      </c>
      <c r="N97" s="259">
        <f t="shared" si="38"/>
        <v>992.6526580000542</v>
      </c>
      <c r="O97" s="259">
        <f t="shared" si="38"/>
        <v>1012.3430301117131</v>
      </c>
      <c r="P97" s="259">
        <f t="shared" si="38"/>
        <v>1032.4239763797698</v>
      </c>
      <c r="Q97" s="259">
        <f t="shared" si="38"/>
        <v>1052.9032440257959</v>
      </c>
      <c r="R97" s="259">
        <f t="shared" si="38"/>
        <v>1073.7887339385964</v>
      </c>
      <c r="S97" s="259">
        <f t="shared" si="38"/>
        <v>1095.0885037221692</v>
      </c>
      <c r="T97" s="259">
        <f t="shared" si="38"/>
        <v>1116.8107708041216</v>
      </c>
      <c r="U97" s="259">
        <f t="shared" si="38"/>
        <v>1138.9639156057372</v>
      </c>
      <c r="V97" s="259">
        <f t="shared" si="38"/>
        <v>1161.5564847749229</v>
      </c>
      <c r="W97" s="259">
        <f t="shared" si="38"/>
        <v>1184.5971944832761</v>
      </c>
      <c r="X97" s="259">
        <f t="shared" si="38"/>
        <v>1208.0949337885522</v>
      </c>
      <c r="Y97" s="259">
        <f t="shared" si="38"/>
        <v>1232.0587680638189</v>
      </c>
      <c r="Z97" s="259">
        <f t="shared" si="38"/>
        <v>1256.4979424946314</v>
      </c>
      <c r="AA97" s="259">
        <f t="shared" si="38"/>
        <v>1281.4218856455664</v>
      </c>
      <c r="AB97" s="259">
        <f t="shared" si="38"/>
        <v>5182.2545662483117</v>
      </c>
    </row>
    <row r="98" spans="2:28" ht="14" x14ac:dyDescent="0.2">
      <c r="B98" s="222" t="s">
        <v>340</v>
      </c>
      <c r="C98" s="260">
        <f>C71</f>
        <v>-283990.36379889125</v>
      </c>
      <c r="D98" s="260">
        <f t="shared" ref="D98:V98" si="39">D71</f>
        <v>13285.757687521584</v>
      </c>
      <c r="E98" s="260">
        <f t="shared" si="39"/>
        <v>12364.776075727037</v>
      </c>
      <c r="F98" s="260">
        <f t="shared" si="39"/>
        <v>12632.442768738021</v>
      </c>
      <c r="G98" s="260">
        <f t="shared" si="39"/>
        <v>12954.692635119667</v>
      </c>
      <c r="H98" s="260">
        <f t="shared" si="39"/>
        <v>13355.150044351258</v>
      </c>
      <c r="I98" s="260">
        <f t="shared" si="39"/>
        <v>22113.501711678698</v>
      </c>
      <c r="J98" s="260">
        <f t="shared" si="39"/>
        <v>17435.296406537684</v>
      </c>
      <c r="K98" s="260">
        <f t="shared" si="39"/>
        <v>17781.145383753894</v>
      </c>
      <c r="L98" s="260">
        <f t="shared" si="39"/>
        <v>18133.854558615007</v>
      </c>
      <c r="M98" s="260">
        <f t="shared" si="39"/>
        <v>18493.560006533666</v>
      </c>
      <c r="N98" s="260">
        <f t="shared" si="39"/>
        <v>18860.40050200103</v>
      </c>
      <c r="O98" s="260">
        <f t="shared" si="39"/>
        <v>19234.51757212255</v>
      </c>
      <c r="P98" s="260">
        <f t="shared" si="39"/>
        <v>19616.055551215624</v>
      </c>
      <c r="Q98" s="260">
        <f t="shared" si="39"/>
        <v>20005.16163649012</v>
      </c>
      <c r="R98" s="260">
        <f t="shared" si="39"/>
        <v>20401.98594483333</v>
      </c>
      <c r="S98" s="260">
        <f t="shared" si="39"/>
        <v>20806.681570721212</v>
      </c>
      <c r="T98" s="260">
        <f t="shared" si="39"/>
        <v>21219.404645278311</v>
      </c>
      <c r="U98" s="260">
        <f t="shared" si="39"/>
        <v>21640.314396509006</v>
      </c>
      <c r="V98" s="260">
        <f t="shared" si="39"/>
        <v>22069.573210723534</v>
      </c>
      <c r="W98" s="260">
        <f t="shared" ref="W98:AB98" si="40">W71</f>
        <v>22507.346695182245</v>
      </c>
      <c r="X98" s="260">
        <f t="shared" si="40"/>
        <v>22953.80374198249</v>
      </c>
      <c r="Y98" s="260">
        <f t="shared" si="40"/>
        <v>23409.116593212555</v>
      </c>
      <c r="Z98" s="260">
        <f t="shared" si="40"/>
        <v>23873.460907397992</v>
      </c>
      <c r="AA98" s="260">
        <f t="shared" si="40"/>
        <v>24347.015827265761</v>
      </c>
      <c r="AB98" s="260">
        <f t="shared" si="40"/>
        <v>98462.836758717909</v>
      </c>
    </row>
    <row r="113" spans="5:5" x14ac:dyDescent="0.15">
      <c r="E113" t="s">
        <v>349</v>
      </c>
    </row>
  </sheetData>
  <mergeCells count="15">
    <mergeCell ref="B95:C95"/>
    <mergeCell ref="B34:C34"/>
    <mergeCell ref="B53:C53"/>
    <mergeCell ref="B86:C86"/>
    <mergeCell ref="B91:C91"/>
    <mergeCell ref="N5:Y11"/>
    <mergeCell ref="N4:Y4"/>
    <mergeCell ref="B18:C18"/>
    <mergeCell ref="J8:K8"/>
    <mergeCell ref="J9:K9"/>
    <mergeCell ref="E14:G17"/>
    <mergeCell ref="H5:L6"/>
    <mergeCell ref="H8:I8"/>
    <mergeCell ref="H9:I9"/>
    <mergeCell ref="H14:I17"/>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63" zoomScale="160"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51" t="s">
        <v>0</v>
      </c>
      <c r="P4" s="552"/>
      <c r="Q4" s="552"/>
      <c r="R4" s="552"/>
      <c r="S4" s="552"/>
      <c r="T4" s="552"/>
      <c r="U4" s="552"/>
      <c r="V4" s="552"/>
      <c r="W4" s="552"/>
      <c r="X4" s="552"/>
      <c r="Y4" s="552"/>
      <c r="Z4" s="552"/>
      <c r="AA4" s="34"/>
    </row>
    <row r="5" spans="1:61" ht="25" customHeight="1" x14ac:dyDescent="0.15">
      <c r="I5" s="473" t="s">
        <v>464</v>
      </c>
      <c r="J5" s="473"/>
      <c r="K5" s="473"/>
      <c r="L5" s="473"/>
      <c r="M5" s="473"/>
      <c r="O5" s="553" t="s">
        <v>134</v>
      </c>
      <c r="P5" s="554"/>
      <c r="Q5" s="554"/>
      <c r="R5" s="554"/>
      <c r="S5" s="554"/>
      <c r="T5" s="554"/>
      <c r="U5" s="554"/>
      <c r="V5" s="554"/>
      <c r="W5" s="554"/>
      <c r="X5" s="554"/>
      <c r="Y5" s="554"/>
      <c r="Z5" s="555"/>
      <c r="AA5" s="34"/>
    </row>
    <row r="6" spans="1:61" ht="25" customHeight="1" x14ac:dyDescent="0.15">
      <c r="I6" s="473"/>
      <c r="J6" s="473"/>
      <c r="K6" s="473"/>
      <c r="L6" s="473"/>
      <c r="M6" s="473"/>
      <c r="O6" s="556"/>
      <c r="P6" s="557"/>
      <c r="Q6" s="557"/>
      <c r="R6" s="557"/>
      <c r="S6" s="557"/>
      <c r="T6" s="557"/>
      <c r="U6" s="557"/>
      <c r="V6" s="557"/>
      <c r="W6" s="557"/>
      <c r="X6" s="557"/>
      <c r="Y6" s="557"/>
      <c r="Z6" s="558"/>
      <c r="AA6" s="34"/>
    </row>
    <row r="7" spans="1:61" ht="25" customHeight="1" thickBot="1" x14ac:dyDescent="0.2">
      <c r="O7" s="556"/>
      <c r="P7" s="557"/>
      <c r="Q7" s="557"/>
      <c r="R7" s="557"/>
      <c r="S7" s="557"/>
      <c r="T7" s="557"/>
      <c r="U7" s="557"/>
      <c r="V7" s="557"/>
      <c r="W7" s="557"/>
      <c r="X7" s="557"/>
      <c r="Y7" s="557"/>
      <c r="Z7" s="558"/>
      <c r="AA7" s="34"/>
    </row>
    <row r="8" spans="1:61" ht="16" x14ac:dyDescent="0.2">
      <c r="A8" s="34"/>
      <c r="B8" s="34"/>
      <c r="C8" s="34"/>
      <c r="D8" s="34"/>
      <c r="E8" s="34"/>
      <c r="F8" s="34"/>
      <c r="G8" s="34"/>
      <c r="H8" s="34"/>
      <c r="I8" s="521" t="s">
        <v>214</v>
      </c>
      <c r="J8" s="522"/>
      <c r="K8" s="569"/>
      <c r="L8" s="570"/>
      <c r="M8" s="34"/>
      <c r="O8" s="556"/>
      <c r="P8" s="557"/>
      <c r="Q8" s="557"/>
      <c r="R8" s="557"/>
      <c r="S8" s="557"/>
      <c r="T8" s="557"/>
      <c r="U8" s="557"/>
      <c r="V8" s="557"/>
      <c r="W8" s="557"/>
      <c r="X8" s="557"/>
      <c r="Y8" s="557"/>
      <c r="Z8" s="558"/>
      <c r="AA8" s="34"/>
    </row>
    <row r="9" spans="1:61" ht="17" thickBot="1" x14ac:dyDescent="0.25">
      <c r="A9" s="34"/>
      <c r="B9" s="34"/>
      <c r="C9" s="34"/>
      <c r="D9" s="34"/>
      <c r="E9" s="34"/>
      <c r="F9" s="34"/>
      <c r="G9" s="34"/>
      <c r="H9" s="34"/>
      <c r="I9" s="582" t="s">
        <v>216</v>
      </c>
      <c r="J9" s="583"/>
      <c r="K9" s="571"/>
      <c r="L9" s="572"/>
      <c r="M9" s="34"/>
      <c r="O9" s="556"/>
      <c r="P9" s="557"/>
      <c r="Q9" s="557"/>
      <c r="R9" s="557"/>
      <c r="S9" s="557"/>
      <c r="T9" s="557"/>
      <c r="U9" s="557"/>
      <c r="V9" s="557"/>
      <c r="W9" s="557"/>
      <c r="X9" s="557"/>
      <c r="Y9" s="557"/>
      <c r="Z9" s="558"/>
      <c r="AA9" s="35"/>
    </row>
    <row r="10" spans="1:61" ht="14" x14ac:dyDescent="0.2">
      <c r="A10" s="34"/>
      <c r="B10" s="34"/>
      <c r="C10" s="34"/>
      <c r="D10" s="34"/>
      <c r="E10" s="34"/>
      <c r="F10" s="34"/>
      <c r="G10" s="34"/>
      <c r="H10" s="34"/>
      <c r="L10" s="34"/>
      <c r="M10" s="34"/>
      <c r="N10" s="34"/>
      <c r="O10" s="556"/>
      <c r="P10" s="557"/>
      <c r="Q10" s="557"/>
      <c r="R10" s="557"/>
      <c r="S10" s="557"/>
      <c r="T10" s="557"/>
      <c r="U10" s="557"/>
      <c r="V10" s="557"/>
      <c r="W10" s="557"/>
      <c r="X10" s="557"/>
      <c r="Y10" s="557"/>
      <c r="Z10" s="558"/>
      <c r="AA10" s="35"/>
    </row>
    <row r="11" spans="1:61" ht="14" x14ac:dyDescent="0.2">
      <c r="A11" s="34"/>
      <c r="B11" s="34"/>
      <c r="C11" s="34"/>
      <c r="D11" s="34"/>
      <c r="E11" s="34"/>
      <c r="F11" s="34"/>
      <c r="G11" s="34"/>
      <c r="H11" s="34"/>
      <c r="I11" s="34"/>
      <c r="J11" s="34"/>
      <c r="K11" s="34"/>
      <c r="L11" s="34"/>
      <c r="M11" s="34"/>
      <c r="N11" s="34"/>
      <c r="O11" s="559"/>
      <c r="P11" s="560"/>
      <c r="Q11" s="560"/>
      <c r="R11" s="560"/>
      <c r="S11" s="560"/>
      <c r="T11" s="560"/>
      <c r="U11" s="560"/>
      <c r="V11" s="560"/>
      <c r="W11" s="560"/>
      <c r="X11" s="560"/>
      <c r="Y11" s="560"/>
      <c r="Z11" s="561"/>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2" t="s">
        <v>278</v>
      </c>
      <c r="C13" s="343"/>
      <c r="D13" s="343"/>
      <c r="E13" s="343"/>
      <c r="F13" s="343"/>
      <c r="G13" s="343"/>
      <c r="H13" s="343"/>
      <c r="I13" s="343"/>
      <c r="J13" s="343"/>
      <c r="K13" s="343"/>
      <c r="L13" s="343"/>
      <c r="M13" s="343"/>
      <c r="N13" s="343"/>
      <c r="O13" s="343"/>
      <c r="P13" s="343"/>
      <c r="Q13" s="343"/>
      <c r="R13" s="343"/>
      <c r="S13" s="343"/>
      <c r="T13" s="343"/>
      <c r="U13" s="343"/>
      <c r="V13" s="343"/>
      <c r="W13" s="344"/>
      <c r="X13" s="344"/>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2" t="s">
        <v>279</v>
      </c>
      <c r="C14" s="343"/>
      <c r="D14" s="343"/>
      <c r="E14" s="343"/>
      <c r="F14" s="343"/>
      <c r="G14" s="343"/>
      <c r="H14" s="343"/>
      <c r="I14" s="343"/>
      <c r="J14" s="343"/>
      <c r="K14" s="343"/>
      <c r="L14" s="343"/>
      <c r="M14" s="343"/>
      <c r="N14" s="343"/>
      <c r="O14" s="343"/>
      <c r="P14" s="343"/>
      <c r="Q14" s="343"/>
      <c r="R14" s="343"/>
      <c r="S14" s="343"/>
      <c r="T14" s="343"/>
      <c r="U14" s="343"/>
      <c r="V14" s="343"/>
      <c r="W14" s="344"/>
      <c r="X14" s="344"/>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2"/>
      <c r="C15" s="343"/>
      <c r="D15" s="343"/>
      <c r="E15" s="343"/>
      <c r="F15" s="343"/>
      <c r="G15" s="343"/>
      <c r="H15" s="343"/>
      <c r="I15" s="343"/>
      <c r="J15" s="343"/>
      <c r="K15" s="343"/>
      <c r="L15" s="343"/>
      <c r="M15" s="343"/>
      <c r="N15" s="343"/>
      <c r="O15" s="343"/>
      <c r="P15" s="343"/>
      <c r="Q15" s="343"/>
      <c r="R15" s="343"/>
      <c r="S15" s="343"/>
      <c r="T15" s="343"/>
      <c r="U15" s="343"/>
      <c r="V15" s="343"/>
      <c r="W15" s="343"/>
      <c r="X15" s="343"/>
    </row>
    <row r="16" spans="1:61" ht="17" thickBot="1" x14ac:dyDescent="0.25">
      <c r="A16" s="34"/>
      <c r="B16" s="600" t="s">
        <v>388</v>
      </c>
      <c r="C16" s="600"/>
      <c r="D16" s="600"/>
      <c r="E16" s="343"/>
      <c r="F16" s="343"/>
      <c r="G16" s="343"/>
      <c r="H16" s="343"/>
      <c r="I16" s="343"/>
      <c r="J16" s="343"/>
      <c r="K16" s="343"/>
      <c r="L16" s="343"/>
      <c r="M16" s="343"/>
      <c r="N16" s="343"/>
      <c r="O16" s="343"/>
      <c r="P16" s="343"/>
      <c r="Q16" s="343"/>
      <c r="R16" s="343"/>
      <c r="S16" s="343"/>
      <c r="T16" s="343"/>
      <c r="U16" s="343"/>
      <c r="V16" s="343"/>
      <c r="W16" s="344"/>
      <c r="X16" s="344"/>
      <c r="Y16" s="2"/>
    </row>
    <row r="17" spans="1:28" ht="14" x14ac:dyDescent="0.2">
      <c r="A17" s="34"/>
      <c r="B17" s="345" t="s">
        <v>286</v>
      </c>
      <c r="C17" s="346">
        <v>0</v>
      </c>
      <c r="D17" s="347">
        <v>1</v>
      </c>
      <c r="E17" s="347">
        <v>2</v>
      </c>
      <c r="F17" s="347">
        <v>3</v>
      </c>
      <c r="G17" s="347">
        <v>4</v>
      </c>
      <c r="H17" s="347">
        <v>5</v>
      </c>
      <c r="I17" s="347">
        <v>6</v>
      </c>
      <c r="J17" s="347">
        <v>7</v>
      </c>
      <c r="K17" s="347">
        <v>8</v>
      </c>
      <c r="L17" s="347">
        <v>9</v>
      </c>
      <c r="M17" s="347">
        <v>10</v>
      </c>
      <c r="N17" s="347">
        <v>11</v>
      </c>
      <c r="O17" s="347">
        <v>12</v>
      </c>
      <c r="P17" s="347">
        <v>13</v>
      </c>
      <c r="Q17" s="347">
        <v>14</v>
      </c>
      <c r="R17" s="347">
        <v>15</v>
      </c>
      <c r="S17" s="347">
        <v>16</v>
      </c>
      <c r="T17" s="347">
        <v>17</v>
      </c>
      <c r="U17" s="347">
        <v>18</v>
      </c>
      <c r="V17" s="347">
        <v>19</v>
      </c>
      <c r="W17" s="347">
        <v>20</v>
      </c>
      <c r="X17" s="347">
        <v>21</v>
      </c>
      <c r="Y17" s="347">
        <v>22</v>
      </c>
      <c r="Z17" s="347">
        <v>23</v>
      </c>
      <c r="AA17" s="347">
        <v>24</v>
      </c>
      <c r="AB17" s="347">
        <v>25</v>
      </c>
    </row>
    <row r="18" spans="1:28" ht="14" x14ac:dyDescent="0.2">
      <c r="A18" s="34"/>
      <c r="B18" s="348" t="s">
        <v>276</v>
      </c>
      <c r="C18" s="349"/>
      <c r="D18" s="350">
        <f>Customer_Monthly_kWh_Usage*12</f>
        <v>4750279.9345465554</v>
      </c>
      <c r="E18" s="351">
        <f>D18</f>
        <v>4750279.9345465554</v>
      </c>
      <c r="F18" s="351">
        <f t="shared" ref="F18:V18" si="0">E18</f>
        <v>4750279.9345465554</v>
      </c>
      <c r="G18" s="351">
        <f t="shared" si="0"/>
        <v>4750279.9345465554</v>
      </c>
      <c r="H18" s="351">
        <f t="shared" si="0"/>
        <v>4750279.9345465554</v>
      </c>
      <c r="I18" s="351">
        <f t="shared" si="0"/>
        <v>4750279.9345465554</v>
      </c>
      <c r="J18" s="351">
        <f t="shared" si="0"/>
        <v>4750279.9345465554</v>
      </c>
      <c r="K18" s="351">
        <f t="shared" si="0"/>
        <v>4750279.9345465554</v>
      </c>
      <c r="L18" s="351">
        <f t="shared" si="0"/>
        <v>4750279.9345465554</v>
      </c>
      <c r="M18" s="351">
        <f t="shared" si="0"/>
        <v>4750279.9345465554</v>
      </c>
      <c r="N18" s="351">
        <f t="shared" si="0"/>
        <v>4750279.9345465554</v>
      </c>
      <c r="O18" s="351">
        <f t="shared" si="0"/>
        <v>4750279.9345465554</v>
      </c>
      <c r="P18" s="351">
        <f t="shared" si="0"/>
        <v>4750279.9345465554</v>
      </c>
      <c r="Q18" s="351">
        <f t="shared" si="0"/>
        <v>4750279.9345465554</v>
      </c>
      <c r="R18" s="351">
        <f t="shared" si="0"/>
        <v>4750279.9345465554</v>
      </c>
      <c r="S18" s="351">
        <f t="shared" si="0"/>
        <v>4750279.9345465554</v>
      </c>
      <c r="T18" s="351">
        <f t="shared" si="0"/>
        <v>4750279.9345465554</v>
      </c>
      <c r="U18" s="351">
        <f t="shared" si="0"/>
        <v>4750279.9345465554</v>
      </c>
      <c r="V18" s="351">
        <f t="shared" si="0"/>
        <v>4750279.9345465554</v>
      </c>
      <c r="W18" s="351">
        <f t="shared" ref="W18:AB18" si="1">V18</f>
        <v>4750279.9345465554</v>
      </c>
      <c r="X18" s="351">
        <f t="shared" si="1"/>
        <v>4750279.9345465554</v>
      </c>
      <c r="Y18" s="351">
        <f t="shared" si="1"/>
        <v>4750279.9345465554</v>
      </c>
      <c r="Z18" s="351">
        <f t="shared" si="1"/>
        <v>4750279.9345465554</v>
      </c>
      <c r="AA18" s="351">
        <f t="shared" si="1"/>
        <v>4750279.9345465554</v>
      </c>
      <c r="AB18" s="351">
        <f t="shared" si="1"/>
        <v>4750279.9345465554</v>
      </c>
    </row>
    <row r="19" spans="1:28" ht="14" x14ac:dyDescent="0.2">
      <c r="A19" s="34"/>
      <c r="B19" s="348" t="s">
        <v>277</v>
      </c>
      <c r="C19" s="349"/>
      <c r="D19" s="350">
        <f>D18-D21</f>
        <v>4341619.9345465563</v>
      </c>
      <c r="E19" s="350">
        <f>E18-E21</f>
        <v>4343663.2345465561</v>
      </c>
      <c r="F19" s="350">
        <f t="shared" ref="F19:V19" si="2">F18-F21</f>
        <v>4345696.3180465559</v>
      </c>
      <c r="G19" s="350">
        <f t="shared" si="2"/>
        <v>4347719.2361290557</v>
      </c>
      <c r="H19" s="350">
        <f t="shared" si="2"/>
        <v>4349732.0396211436</v>
      </c>
      <c r="I19" s="350">
        <f t="shared" si="2"/>
        <v>4351734.7790957708</v>
      </c>
      <c r="J19" s="350">
        <f t="shared" si="2"/>
        <v>4353727.5048730243</v>
      </c>
      <c r="K19" s="350">
        <f t="shared" si="2"/>
        <v>4355710.2670213925</v>
      </c>
      <c r="L19" s="350">
        <f t="shared" si="2"/>
        <v>4357683.1153590176</v>
      </c>
      <c r="M19" s="350">
        <f t="shared" si="2"/>
        <v>4359646.0994549552</v>
      </c>
      <c r="N19" s="350">
        <f t="shared" si="2"/>
        <v>4361599.2686304133</v>
      </c>
      <c r="O19" s="350">
        <f t="shared" si="2"/>
        <v>4363542.6719599944</v>
      </c>
      <c r="P19" s="350">
        <f t="shared" si="2"/>
        <v>4365476.3582729269</v>
      </c>
      <c r="Q19" s="350">
        <f t="shared" si="2"/>
        <v>4367400.3761542952</v>
      </c>
      <c r="R19" s="350">
        <f t="shared" si="2"/>
        <v>4369314.7739462564</v>
      </c>
      <c r="S19" s="350">
        <f t="shared" si="2"/>
        <v>4371219.5997492578</v>
      </c>
      <c r="T19" s="350">
        <f t="shared" si="2"/>
        <v>4373114.9014232447</v>
      </c>
      <c r="U19" s="350">
        <f t="shared" si="2"/>
        <v>4375000.7265888611</v>
      </c>
      <c r="V19" s="350">
        <f t="shared" si="2"/>
        <v>4376877.1226286497</v>
      </c>
      <c r="W19" s="350">
        <f t="shared" ref="W19:AB19" si="3">W18-W21</f>
        <v>4378744.1366882389</v>
      </c>
      <c r="X19" s="350">
        <f t="shared" si="3"/>
        <v>4380601.8156775311</v>
      </c>
      <c r="Y19" s="350">
        <f t="shared" si="3"/>
        <v>4382450.2062718756</v>
      </c>
      <c r="Z19" s="350">
        <f t="shared" si="3"/>
        <v>4384289.3549132496</v>
      </c>
      <c r="AA19" s="350">
        <f t="shared" si="3"/>
        <v>4386119.3078114158</v>
      </c>
      <c r="AB19" s="350">
        <f t="shared" si="3"/>
        <v>4387940.1109450916</v>
      </c>
    </row>
    <row r="20" spans="1:28" ht="14" x14ac:dyDescent="0.2">
      <c r="A20" s="34"/>
      <c r="B20" s="348"/>
      <c r="C20" s="349"/>
      <c r="D20" s="351"/>
      <c r="E20" s="351"/>
      <c r="F20" s="351"/>
      <c r="G20" s="351"/>
      <c r="H20" s="351"/>
      <c r="I20" s="351"/>
      <c r="J20" s="351"/>
      <c r="K20" s="351"/>
      <c r="L20" s="351"/>
      <c r="M20" s="351"/>
      <c r="N20" s="351"/>
      <c r="O20" s="351"/>
      <c r="P20" s="351"/>
      <c r="Q20" s="351"/>
      <c r="R20" s="351"/>
      <c r="S20" s="351"/>
      <c r="T20" s="351"/>
      <c r="U20" s="351"/>
      <c r="V20" s="351"/>
      <c r="W20" s="351"/>
      <c r="X20" s="351"/>
      <c r="Y20" s="351"/>
      <c r="Z20" s="351"/>
      <c r="AA20" s="351"/>
      <c r="AB20" s="351"/>
    </row>
    <row r="21" spans="1:28" ht="14" x14ac:dyDescent="0.2">
      <c r="A21" s="34"/>
      <c r="B21" s="352" t="s">
        <v>240</v>
      </c>
      <c r="C21" s="349"/>
      <c r="D21" s="351">
        <f>Unstructured!D21</f>
        <v>408659.99999999942</v>
      </c>
      <c r="E21" s="351">
        <f>Unstructured!E21</f>
        <v>406616.69999999943</v>
      </c>
      <c r="F21" s="351">
        <f>Unstructured!F21</f>
        <v>404583.61649999942</v>
      </c>
      <c r="G21" s="351">
        <f>Unstructured!G21</f>
        <v>402560.69841749943</v>
      </c>
      <c r="H21" s="351">
        <f>Unstructured!H21</f>
        <v>400547.89492541191</v>
      </c>
      <c r="I21" s="351">
        <f>Unstructured!I21</f>
        <v>398545.15545078483</v>
      </c>
      <c r="J21" s="351">
        <f>Unstructured!J21</f>
        <v>396552.42967353092</v>
      </c>
      <c r="K21" s="351">
        <f>Unstructured!K21</f>
        <v>394569.66752516327</v>
      </c>
      <c r="L21" s="351">
        <f>Unstructured!L21</f>
        <v>392596.81918753748</v>
      </c>
      <c r="M21" s="351">
        <f>Unstructured!M21</f>
        <v>390633.83509159979</v>
      </c>
      <c r="N21" s="351">
        <f>Unstructured!N21</f>
        <v>388680.66591614176</v>
      </c>
      <c r="O21" s="351">
        <f>Unstructured!O21</f>
        <v>386737.26258656103</v>
      </c>
      <c r="P21" s="351">
        <f>Unstructured!P21</f>
        <v>384803.57627362822</v>
      </c>
      <c r="Q21" s="351">
        <f>Unstructured!Q21</f>
        <v>382879.55839226005</v>
      </c>
      <c r="R21" s="351">
        <f>Unstructured!R21</f>
        <v>380965.16060029872</v>
      </c>
      <c r="S21" s="351">
        <f>Unstructured!S21</f>
        <v>379060.33479729726</v>
      </c>
      <c r="T21" s="351">
        <f>Unstructured!T21</f>
        <v>377165.03312331077</v>
      </c>
      <c r="U21" s="351">
        <f>Unstructured!U21</f>
        <v>375279.20795769419</v>
      </c>
      <c r="V21" s="351">
        <f>Unstructured!V21</f>
        <v>373402.8119179057</v>
      </c>
      <c r="W21" s="351">
        <f>Unstructured!W21</f>
        <v>371535.79785831616</v>
      </c>
      <c r="X21" s="351">
        <f>Unstructured!X21</f>
        <v>369678.11886902456</v>
      </c>
      <c r="Y21" s="351">
        <f>Unstructured!Y21</f>
        <v>367829.72827467945</v>
      </c>
      <c r="Z21" s="351">
        <f>Unstructured!Z21</f>
        <v>365990.57963330607</v>
      </c>
      <c r="AA21" s="351">
        <f>Unstructured!AA21</f>
        <v>364160.62673513952</v>
      </c>
      <c r="AB21" s="351">
        <f>Unstructured!AB21</f>
        <v>362339.82360146381</v>
      </c>
    </row>
    <row r="22" spans="1:28" ht="14" x14ac:dyDescent="0.2">
      <c r="A22" s="34"/>
      <c r="B22" s="352" t="s">
        <v>387</v>
      </c>
      <c r="C22" s="349"/>
      <c r="D22" s="353">
        <f>Customer_Utility_Charge_kWh</f>
        <v>7.3648296020305801E-2</v>
      </c>
      <c r="E22" s="353">
        <f>D22*(1+Customer_Utility_Charge_Escalator)</f>
        <v>7.5489503420813439E-2</v>
      </c>
      <c r="F22" s="353">
        <f t="shared" ref="F22:V22" si="4">E22*(1+Customer_Utility_Charge_Escalator)</f>
        <v>7.7376741006333766E-2</v>
      </c>
      <c r="G22" s="353">
        <f t="shared" si="4"/>
        <v>7.9311159531492106E-2</v>
      </c>
      <c r="H22" s="353">
        <f t="shared" si="4"/>
        <v>8.1293938519779396E-2</v>
      </c>
      <c r="I22" s="353">
        <f t="shared" si="4"/>
        <v>8.3326286982773876E-2</v>
      </c>
      <c r="J22" s="353">
        <f t="shared" si="4"/>
        <v>8.5409444157343209E-2</v>
      </c>
      <c r="K22" s="353">
        <f t="shared" si="4"/>
        <v>8.7544680261276778E-2</v>
      </c>
      <c r="L22" s="353">
        <f t="shared" si="4"/>
        <v>8.9733297267808695E-2</v>
      </c>
      <c r="M22" s="353">
        <f t="shared" si="4"/>
        <v>9.1976629699503903E-2</v>
      </c>
      <c r="N22" s="353">
        <f t="shared" si="4"/>
        <v>9.4276045441991488E-2</v>
      </c>
      <c r="O22" s="353">
        <f t="shared" si="4"/>
        <v>9.6632946578041265E-2</v>
      </c>
      <c r="P22" s="353">
        <f t="shared" si="4"/>
        <v>9.9048770242492284E-2</v>
      </c>
      <c r="Q22" s="353">
        <f t="shared" si="4"/>
        <v>0.10152498949855458</v>
      </c>
      <c r="R22" s="353">
        <f t="shared" si="4"/>
        <v>0.10406311423601844</v>
      </c>
      <c r="S22" s="353">
        <f t="shared" si="4"/>
        <v>0.10666469209191889</v>
      </c>
      <c r="T22" s="353">
        <f t="shared" si="4"/>
        <v>0.10933130939421686</v>
      </c>
      <c r="U22" s="353">
        <f t="shared" si="4"/>
        <v>0.11206459212907227</v>
      </c>
      <c r="V22" s="353">
        <f t="shared" si="4"/>
        <v>0.11486620693229907</v>
      </c>
      <c r="W22" s="353">
        <f t="shared" ref="W22:AB22" si="5">V22*(1+Customer_Utility_Charge_Escalator)</f>
        <v>0.11773786210560654</v>
      </c>
      <c r="X22" s="353">
        <f t="shared" si="5"/>
        <v>0.12068130865824669</v>
      </c>
      <c r="Y22" s="353">
        <f t="shared" si="5"/>
        <v>0.12369834137470286</v>
      </c>
      <c r="Z22" s="353">
        <f t="shared" si="5"/>
        <v>0.12679079990907041</v>
      </c>
      <c r="AA22" s="353">
        <f t="shared" si="5"/>
        <v>0.12996056990679716</v>
      </c>
      <c r="AB22" s="353">
        <f t="shared" si="5"/>
        <v>0.13320958415446707</v>
      </c>
    </row>
    <row r="23" spans="1:28" ht="14" x14ac:dyDescent="0.2">
      <c r="A23" s="34"/>
      <c r="B23" s="352" t="s">
        <v>247</v>
      </c>
      <c r="C23" s="349"/>
      <c r="D23" s="353">
        <f>D22*Customer_Dem_Charge_Percent</f>
        <v>0</v>
      </c>
      <c r="E23" s="353">
        <f>E22*Customer_Dem_Charge_Percent</f>
        <v>0</v>
      </c>
      <c r="F23" s="353">
        <f t="shared" ref="F23:V23" si="6">F22*Customer_Dem_Charge_Percent</f>
        <v>0</v>
      </c>
      <c r="G23" s="353">
        <f t="shared" si="6"/>
        <v>0</v>
      </c>
      <c r="H23" s="353">
        <f t="shared" si="6"/>
        <v>0</v>
      </c>
      <c r="I23" s="353">
        <f t="shared" si="6"/>
        <v>0</v>
      </c>
      <c r="J23" s="353">
        <f t="shared" si="6"/>
        <v>0</v>
      </c>
      <c r="K23" s="353">
        <f t="shared" si="6"/>
        <v>0</v>
      </c>
      <c r="L23" s="353">
        <f t="shared" si="6"/>
        <v>0</v>
      </c>
      <c r="M23" s="353">
        <f t="shared" si="6"/>
        <v>0</v>
      </c>
      <c r="N23" s="353">
        <f t="shared" si="6"/>
        <v>0</v>
      </c>
      <c r="O23" s="353">
        <f t="shared" si="6"/>
        <v>0</v>
      </c>
      <c r="P23" s="353">
        <f t="shared" si="6"/>
        <v>0</v>
      </c>
      <c r="Q23" s="353">
        <f t="shared" si="6"/>
        <v>0</v>
      </c>
      <c r="R23" s="353">
        <f t="shared" si="6"/>
        <v>0</v>
      </c>
      <c r="S23" s="353">
        <f t="shared" si="6"/>
        <v>0</v>
      </c>
      <c r="T23" s="353">
        <f t="shared" si="6"/>
        <v>0</v>
      </c>
      <c r="U23" s="353">
        <f t="shared" si="6"/>
        <v>0</v>
      </c>
      <c r="V23" s="353">
        <f t="shared" si="6"/>
        <v>0</v>
      </c>
      <c r="W23" s="353">
        <f t="shared" ref="W23:AB23" si="7">W22*Customer_Dem_Charge_Percent</f>
        <v>0</v>
      </c>
      <c r="X23" s="353">
        <f t="shared" si="7"/>
        <v>0</v>
      </c>
      <c r="Y23" s="353">
        <f t="shared" si="7"/>
        <v>0</v>
      </c>
      <c r="Z23" s="353">
        <f t="shared" si="7"/>
        <v>0</v>
      </c>
      <c r="AA23" s="353">
        <f t="shared" si="7"/>
        <v>0</v>
      </c>
      <c r="AB23" s="353">
        <f t="shared" si="7"/>
        <v>0</v>
      </c>
    </row>
    <row r="24" spans="1:28" ht="14" x14ac:dyDescent="0.2">
      <c r="A24" s="34"/>
      <c r="B24" s="352" t="s">
        <v>118</v>
      </c>
      <c r="C24" s="349"/>
      <c r="D24" s="353">
        <f>Unstructured!D19</f>
        <v>7.3031580167629145E-2</v>
      </c>
      <c r="E24" s="353">
        <f>Unstructured!E19</f>
        <v>7.4857369671819871E-2</v>
      </c>
      <c r="F24" s="353">
        <f>Unstructured!F19</f>
        <v>7.6728803913615362E-2</v>
      </c>
      <c r="G24" s="353">
        <f>Unstructured!G19</f>
        <v>7.8647024011455735E-2</v>
      </c>
      <c r="H24" s="353">
        <f>Unstructured!H19</f>
        <v>8.0613199611742126E-2</v>
      </c>
      <c r="I24" s="353">
        <f>Unstructured!I19</f>
        <v>8.2628529602035677E-2</v>
      </c>
      <c r="J24" s="353">
        <f>Unstructured!J19</f>
        <v>8.4694242842086556E-2</v>
      </c>
      <c r="K24" s="353">
        <f>Unstructured!K19</f>
        <v>8.6811598913138707E-2</v>
      </c>
      <c r="L24" s="353">
        <f>Unstructured!L19</f>
        <v>8.898188888596717E-2</v>
      </c>
      <c r="M24" s="353">
        <f>Unstructured!M19</f>
        <v>9.1206436108116337E-2</v>
      </c>
      <c r="N24" s="353">
        <f>Unstructured!N19</f>
        <v>9.3486597010819239E-2</v>
      </c>
      <c r="O24" s="353">
        <f>Unstructured!O19</f>
        <v>9.5823761936089713E-2</v>
      </c>
      <c r="P24" s="353">
        <f>Unstructured!P19</f>
        <v>9.8219355984491941E-2</v>
      </c>
      <c r="Q24" s="353">
        <f>Unstructured!Q19</f>
        <v>0.10067483988410424</v>
      </c>
      <c r="R24" s="353">
        <f>Unstructured!R19</f>
        <v>0.10319171088120684</v>
      </c>
      <c r="S24" s="353">
        <f>Unstructured!S19</f>
        <v>0.105771503653237</v>
      </c>
      <c r="T24" s="353">
        <f>Unstructured!T19</f>
        <v>0.10841579124456791</v>
      </c>
      <c r="U24" s="353">
        <f>Unstructured!U19</f>
        <v>0.1111261860256821</v>
      </c>
      <c r="V24" s="353">
        <f>Unstructured!V19</f>
        <v>0.11390434067632414</v>
      </c>
      <c r="W24" s="353">
        <f>Unstructured!W19</f>
        <v>0.11675194919323223</v>
      </c>
      <c r="X24" s="353">
        <f>Unstructured!X19</f>
        <v>0.11967074792306302</v>
      </c>
      <c r="Y24" s="353">
        <f>Unstructured!Y19</f>
        <v>0.12266251662113958</v>
      </c>
      <c r="Z24" s="353">
        <f>Unstructured!Z19</f>
        <v>0.12572907953666806</v>
      </c>
      <c r="AA24" s="353">
        <f>Unstructured!AA19</f>
        <v>0.12887230652508475</v>
      </c>
      <c r="AB24" s="353">
        <f>Unstructured!AB19</f>
        <v>0.13209411418821185</v>
      </c>
    </row>
    <row r="25" spans="1:28" ht="14" x14ac:dyDescent="0.2">
      <c r="A25" s="34"/>
      <c r="B25" s="348" t="s">
        <v>401</v>
      </c>
      <c r="C25" s="349"/>
      <c r="D25" s="354">
        <f>D21*(D22+D23)</f>
        <v>30097.112651658124</v>
      </c>
      <c r="E25" s="354">
        <f t="shared" ref="E25:V25" si="8">E21*(E22+E23)</f>
        <v>30695.292765609829</v>
      </c>
      <c r="F25" s="354">
        <f t="shared" si="8"/>
        <v>31305.36170932632</v>
      </c>
      <c r="G25" s="354">
        <f t="shared" si="8"/>
        <v>31927.55577329918</v>
      </c>
      <c r="H25" s="354">
        <f t="shared" si="8"/>
        <v>32562.115944293495</v>
      </c>
      <c r="I25" s="354">
        <f t="shared" si="8"/>
        <v>33209.287998686326</v>
      </c>
      <c r="J25" s="354">
        <f t="shared" si="8"/>
        <v>33869.322597660212</v>
      </c>
      <c r="K25" s="354">
        <f t="shared" si="8"/>
        <v>34542.4753842887</v>
      </c>
      <c r="L25" s="354">
        <f t="shared" si="8"/>
        <v>35229.007082551441</v>
      </c>
      <c r="M25" s="354">
        <f t="shared" si="8"/>
        <v>35929.183598317148</v>
      </c>
      <c r="N25" s="354">
        <f t="shared" si="8"/>
        <v>36643.276122333693</v>
      </c>
      <c r="O25" s="354">
        <f t="shared" si="8"/>
        <v>37371.561235265071</v>
      </c>
      <c r="P25" s="354">
        <f t="shared" si="8"/>
        <v>38114.321014815956</v>
      </c>
      <c r="Q25" s="354">
        <f t="shared" si="8"/>
        <v>38871.843144985418</v>
      </c>
      <c r="R25" s="354">
        <f t="shared" si="8"/>
        <v>39644.421027491997</v>
      </c>
      <c r="S25" s="354">
        <f t="shared" si="8"/>
        <v>40432.353895413398</v>
      </c>
      <c r="T25" s="354">
        <f t="shared" si="8"/>
        <v>41235.946929084741</v>
      </c>
      <c r="U25" s="354">
        <f t="shared" si="8"/>
        <v>42055.511374300295</v>
      </c>
      <c r="V25" s="354">
        <f t="shared" si="8"/>
        <v>42891.364662864507</v>
      </c>
      <c r="W25" s="354">
        <f t="shared" ref="W25:AB25" si="9">W21*(W22+W23)</f>
        <v>43743.830535538931</v>
      </c>
      <c r="X25" s="354">
        <f t="shared" si="9"/>
        <v>44613.239167432766</v>
      </c>
      <c r="Y25" s="354">
        <f t="shared" si="9"/>
        <v>45499.927295885493</v>
      </c>
      <c r="Z25" s="354">
        <f t="shared" si="9"/>
        <v>46404.23835089121</v>
      </c>
      <c r="AA25" s="354">
        <f t="shared" si="9"/>
        <v>47326.522588115171</v>
      </c>
      <c r="AB25" s="354">
        <f t="shared" si="9"/>
        <v>48267.137224553946</v>
      </c>
    </row>
    <row r="26" spans="1:28" ht="14" x14ac:dyDescent="0.2">
      <c r="A26" s="34"/>
      <c r="B26" s="348" t="s">
        <v>384</v>
      </c>
      <c r="C26" s="349"/>
      <c r="D26" s="355">
        <f>D21*D24</f>
        <v>29845.085551303284</v>
      </c>
      <c r="E26" s="355">
        <f t="shared" ref="E26:V26" si="10">E21*E24</f>
        <v>30438.256626635437</v>
      </c>
      <c r="F26" s="355">
        <f t="shared" si="10"/>
        <v>31043.216977089811</v>
      </c>
      <c r="G26" s="355">
        <f t="shared" si="10"/>
        <v>31660.200914509467</v>
      </c>
      <c r="H26" s="355">
        <f t="shared" si="10"/>
        <v>32289.44740768534</v>
      </c>
      <c r="I26" s="355">
        <f t="shared" si="10"/>
        <v>32931.200174913087</v>
      </c>
      <c r="J26" s="355">
        <f t="shared" si="10"/>
        <v>33585.707778389478</v>
      </c>
      <c r="K26" s="355">
        <f t="shared" si="10"/>
        <v>34253.223720484966</v>
      </c>
      <c r="L26" s="355">
        <f t="shared" si="10"/>
        <v>34934.006541929601</v>
      </c>
      <c r="M26" s="355">
        <f t="shared" si="10"/>
        <v>35628.319921950453</v>
      </c>
      <c r="N26" s="355">
        <f t="shared" si="10"/>
        <v>36336.432780399213</v>
      </c>
      <c r="O26" s="355">
        <f t="shared" si="10"/>
        <v>37058.619381909637</v>
      </c>
      <c r="P26" s="355">
        <f t="shared" si="10"/>
        <v>37795.159442125085</v>
      </c>
      <c r="Q26" s="355">
        <f t="shared" si="10"/>
        <v>38546.338236037322</v>
      </c>
      <c r="R26" s="355">
        <f t="shared" si="10"/>
        <v>39312.446708478557</v>
      </c>
      <c r="S26" s="355">
        <f t="shared" si="10"/>
        <v>40093.781586809564</v>
      </c>
      <c r="T26" s="355">
        <f t="shared" si="10"/>
        <v>40890.645495847399</v>
      </c>
      <c r="U26" s="355">
        <f t="shared" si="10"/>
        <v>41703.347075077363</v>
      </c>
      <c r="V26" s="355">
        <f t="shared" si="10"/>
        <v>42532.20109819452</v>
      </c>
      <c r="W26" s="355">
        <f t="shared" ref="W26:AB26" si="11">W21*W24</f>
        <v>43377.528595021126</v>
      </c>
      <c r="X26" s="355">
        <f t="shared" si="11"/>
        <v>44239.656975847167</v>
      </c>
      <c r="Y26" s="355">
        <f t="shared" si="11"/>
        <v>45118.920158242123</v>
      </c>
      <c r="Z26" s="355">
        <f t="shared" si="11"/>
        <v>46015.658696387189</v>
      </c>
      <c r="AA26" s="355">
        <f t="shared" si="11"/>
        <v>46930.219912977875</v>
      </c>
      <c r="AB26" s="355">
        <f t="shared" si="11"/>
        <v>47862.958033748298</v>
      </c>
    </row>
    <row r="27" spans="1:28" ht="14" x14ac:dyDescent="0.2">
      <c r="A27" s="34"/>
      <c r="B27" s="348" t="s">
        <v>402</v>
      </c>
      <c r="C27" s="349"/>
      <c r="D27" s="354">
        <f t="shared" ref="D27:V27" si="12">D25-D26</f>
        <v>252.02710035484051</v>
      </c>
      <c r="E27" s="354">
        <f t="shared" si="12"/>
        <v>257.03613897439209</v>
      </c>
      <c r="F27" s="354">
        <f t="shared" si="12"/>
        <v>262.1447322365093</v>
      </c>
      <c r="G27" s="354">
        <f t="shared" si="12"/>
        <v>267.35485878971303</v>
      </c>
      <c r="H27" s="354">
        <f t="shared" si="12"/>
        <v>272.66853660815468</v>
      </c>
      <c r="I27" s="354">
        <f t="shared" si="12"/>
        <v>278.08782377323951</v>
      </c>
      <c r="J27" s="354">
        <f t="shared" si="12"/>
        <v>283.61481927073328</v>
      </c>
      <c r="K27" s="354">
        <f t="shared" si="12"/>
        <v>289.25166380373412</v>
      </c>
      <c r="L27" s="354">
        <f t="shared" si="12"/>
        <v>295.00054062184063</v>
      </c>
      <c r="M27" s="354">
        <f t="shared" si="12"/>
        <v>300.86367636669456</v>
      </c>
      <c r="N27" s="354">
        <f t="shared" si="12"/>
        <v>306.84334193448012</v>
      </c>
      <c r="O27" s="354">
        <f t="shared" si="12"/>
        <v>312.94185335543443</v>
      </c>
      <c r="P27" s="354">
        <f t="shared" si="12"/>
        <v>319.16157269087125</v>
      </c>
      <c r="Q27" s="354">
        <f t="shared" si="12"/>
        <v>325.50490894809627</v>
      </c>
      <c r="R27" s="354">
        <f t="shared" si="12"/>
        <v>331.97431901343953</v>
      </c>
      <c r="S27" s="354">
        <f t="shared" si="12"/>
        <v>338.57230860383424</v>
      </c>
      <c r="T27" s="354">
        <f t="shared" si="12"/>
        <v>345.30143323734228</v>
      </c>
      <c r="U27" s="354">
        <f t="shared" si="12"/>
        <v>352.16429922293173</v>
      </c>
      <c r="V27" s="354">
        <f t="shared" si="12"/>
        <v>359.16356466998695</v>
      </c>
      <c r="W27" s="354">
        <f t="shared" ref="W27:AB27" si="13">W25-W26</f>
        <v>366.30194051780563</v>
      </c>
      <c r="X27" s="354">
        <f t="shared" si="13"/>
        <v>373.5821915855995</v>
      </c>
      <c r="Y27" s="354">
        <f t="shared" si="13"/>
        <v>381.00713764336979</v>
      </c>
      <c r="Z27" s="354">
        <f t="shared" si="13"/>
        <v>388.57965450402116</v>
      </c>
      <c r="AA27" s="354">
        <f t="shared" si="13"/>
        <v>396.30267513729632</v>
      </c>
      <c r="AB27" s="354">
        <f t="shared" si="13"/>
        <v>404.17919080564752</v>
      </c>
    </row>
    <row r="28" spans="1:28" ht="14" x14ac:dyDescent="0.2">
      <c r="A28" s="34"/>
      <c r="B28" s="348" t="s">
        <v>451</v>
      </c>
      <c r="C28" s="349"/>
      <c r="D28" s="354">
        <f>NPV(Customer_Discount_Rate,D27:AB27)</f>
        <v>3887.4071055445561</v>
      </c>
      <c r="E28" s="354"/>
      <c r="F28" s="354"/>
      <c r="G28" s="354"/>
      <c r="H28" s="354"/>
      <c r="I28" s="354"/>
      <c r="J28" s="354"/>
      <c r="K28" s="354"/>
      <c r="L28" s="354"/>
      <c r="M28" s="354"/>
      <c r="N28" s="354"/>
      <c r="O28" s="354"/>
      <c r="P28" s="354"/>
      <c r="Q28" s="354"/>
      <c r="R28" s="354"/>
      <c r="S28" s="354"/>
      <c r="T28" s="354"/>
      <c r="U28" s="354"/>
      <c r="V28" s="354"/>
      <c r="W28" s="354"/>
      <c r="X28" s="354"/>
      <c r="Y28" s="354"/>
      <c r="Z28" s="354"/>
      <c r="AA28" s="354"/>
      <c r="AB28" s="354"/>
    </row>
    <row r="29" spans="1:28" ht="14" x14ac:dyDescent="0.2">
      <c r="A29" s="34"/>
      <c r="B29" s="348"/>
      <c r="C29" s="349"/>
      <c r="D29" s="354"/>
      <c r="E29" s="354"/>
      <c r="F29" s="354"/>
      <c r="G29" s="354"/>
      <c r="H29" s="354"/>
      <c r="I29" s="354"/>
      <c r="J29" s="354"/>
      <c r="K29" s="354"/>
      <c r="L29" s="354"/>
      <c r="M29" s="354"/>
      <c r="N29" s="354"/>
      <c r="O29" s="354"/>
      <c r="P29" s="354"/>
      <c r="Q29" s="354"/>
      <c r="R29" s="354"/>
      <c r="S29" s="354"/>
      <c r="T29" s="354"/>
      <c r="U29" s="354"/>
      <c r="V29" s="354"/>
      <c r="W29" s="354"/>
      <c r="X29" s="354"/>
      <c r="Y29" s="354"/>
      <c r="Z29" s="354"/>
      <c r="AA29" s="354"/>
      <c r="AB29" s="354"/>
    </row>
    <row r="30" spans="1:28" ht="14" x14ac:dyDescent="0.2">
      <c r="A30" s="34"/>
      <c r="B30" s="394" t="s">
        <v>140</v>
      </c>
      <c r="C30" s="349"/>
      <c r="D30" s="354"/>
      <c r="E30" s="354"/>
      <c r="F30" s="354"/>
      <c r="G30" s="354"/>
      <c r="H30" s="354"/>
      <c r="I30" s="354"/>
      <c r="J30" s="354"/>
      <c r="K30" s="354"/>
      <c r="L30" s="354"/>
      <c r="M30" s="354"/>
      <c r="N30" s="354"/>
      <c r="O30" s="354"/>
      <c r="P30" s="354"/>
      <c r="Q30" s="354"/>
      <c r="R30" s="354"/>
      <c r="S30" s="354"/>
      <c r="T30" s="354"/>
      <c r="U30" s="354"/>
      <c r="V30" s="354"/>
      <c r="W30" s="354"/>
      <c r="X30" s="354"/>
      <c r="Y30" s="354"/>
      <c r="Z30" s="354"/>
      <c r="AA30" s="354"/>
      <c r="AB30" s="354"/>
    </row>
    <row r="31" spans="1:28" ht="14" x14ac:dyDescent="0.2">
      <c r="A31" s="34"/>
      <c r="B31" s="352" t="s">
        <v>394</v>
      </c>
      <c r="C31" s="349"/>
      <c r="D31" s="356"/>
      <c r="E31" s="356"/>
      <c r="F31" s="356"/>
      <c r="G31" s="356"/>
      <c r="H31" s="356"/>
      <c r="I31" s="356"/>
      <c r="J31" s="354">
        <f>NPV(Customer_Discount_Rate,Unstructured!K87:$AB$87)</f>
        <v>260659.98658340407</v>
      </c>
      <c r="K31" s="354">
        <f>NPV(Customer_Discount_Rate,Unstructured!L87:$AB$87)</f>
        <v>257582.59063761478</v>
      </c>
      <c r="L31" s="354">
        <f>NPV(Customer_Discount_Rate,Unstructured!M87:$AB$87)</f>
        <v>253949.27811943481</v>
      </c>
      <c r="M31" s="354">
        <f>NPV(Customer_Discount_Rate,Unstructured!N87:$AB$87)</f>
        <v>249719.3295365654</v>
      </c>
      <c r="N31" s="354">
        <f>NPV(Customer_Discount_Rate,Unstructured!O87:$AB$87)</f>
        <v>244849.43614875834</v>
      </c>
      <c r="O31" s="354">
        <f>NPV(Customer_Discount_Rate,Unstructured!P87:$AB$87)</f>
        <v>239293.54171544954</v>
      </c>
      <c r="P31" s="354">
        <f>NPV(Customer_Discount_Rate,Unstructured!Q87:$AB$87)</f>
        <v>233002.6746907811</v>
      </c>
      <c r="Q31" s="354">
        <f>NPV(Customer_Discount_Rate,Unstructured!R87:$AB$87)</f>
        <v>225924.77029171216</v>
      </c>
      <c r="R31" s="354">
        <f>NPV(Customer_Discount_Rate,Unstructured!S87:$AB$87)</f>
        <v>218004.48183044294</v>
      </c>
      <c r="S31" s="354">
        <f>NPV(Customer_Discount_Rate,Unstructured!T87:$AB$87)</f>
        <v>209182.98066582612</v>
      </c>
      <c r="T31" s="354">
        <f>NPV(Customer_Discount_Rate,Unstructured!U87:$AB$87)</f>
        <v>199397.74408969327</v>
      </c>
      <c r="U31" s="354">
        <f>NPV(Customer_Discount_Rate,Unstructured!V87:$AB$87)</f>
        <v>188582.33042296013</v>
      </c>
      <c r="V31" s="354">
        <f>NPV(Customer_Discount_Rate,Unstructured!W87:$AB$87)</f>
        <v>176666.14055283929</v>
      </c>
      <c r="W31" s="354">
        <f>NPV(Customer_Discount_Rate,Unstructured!X87:$AB$87)</f>
        <v>163574.16509634414</v>
      </c>
      <c r="X31" s="354">
        <f>NPV(Customer_Discount_Rate,Unstructured!Y87:$AB$87)</f>
        <v>149226.71632635378</v>
      </c>
      <c r="Y31" s="354">
        <f>NPV(Customer_Discount_Rate,Unstructured!Z87:$AB$87)</f>
        <v>133539.14394465863</v>
      </c>
      <c r="Z31" s="354">
        <f>NPV(Customer_Discount_Rate,Unstructured!AA87:$AB$87)</f>
        <v>116421.53373144555</v>
      </c>
      <c r="AA31" s="354">
        <f>NPV(Customer_Discount_Rate,Unstructured!AB87:$AB$87)</f>
        <v>97778.388042420964</v>
      </c>
      <c r="AB31" s="354">
        <f>NPV(Customer_Discount_Rate,Unstructured!$AB87:AC$87)</f>
        <v>97778.388042420964</v>
      </c>
    </row>
    <row r="32" spans="1:28" ht="14" x14ac:dyDescent="0.2">
      <c r="A32" s="34"/>
      <c r="B32" s="352" t="s">
        <v>395</v>
      </c>
      <c r="C32" s="349"/>
      <c r="D32" s="356"/>
      <c r="E32" s="356"/>
      <c r="F32" s="356"/>
      <c r="G32" s="356"/>
      <c r="H32" s="356"/>
      <c r="I32" s="356"/>
      <c r="J32" s="354">
        <v>0</v>
      </c>
      <c r="K32" s="354">
        <v>0</v>
      </c>
      <c r="L32" s="354">
        <v>0</v>
      </c>
      <c r="M32" s="354">
        <v>0</v>
      </c>
      <c r="N32" s="354">
        <v>0</v>
      </c>
      <c r="O32" s="354">
        <v>0</v>
      </c>
      <c r="P32" s="354">
        <v>0</v>
      </c>
      <c r="Q32" s="354">
        <v>0</v>
      </c>
      <c r="R32" s="354">
        <v>0</v>
      </c>
      <c r="S32" s="354">
        <v>0</v>
      </c>
      <c r="T32" s="354">
        <v>0</v>
      </c>
      <c r="U32" s="354">
        <v>0</v>
      </c>
      <c r="V32" s="354">
        <v>0</v>
      </c>
      <c r="W32" s="354">
        <v>0</v>
      </c>
      <c r="X32" s="354">
        <v>0</v>
      </c>
      <c r="Y32" s="354">
        <v>0</v>
      </c>
      <c r="Z32" s="354">
        <v>0</v>
      </c>
      <c r="AA32" s="354">
        <v>0</v>
      </c>
      <c r="AB32" s="354">
        <v>0</v>
      </c>
    </row>
    <row r="33" spans="1:28" ht="14" x14ac:dyDescent="0.2">
      <c r="A33" s="34"/>
      <c r="B33" s="352" t="s">
        <v>393</v>
      </c>
      <c r="C33" s="349"/>
      <c r="D33" s="356"/>
      <c r="E33" s="356"/>
      <c r="F33" s="356"/>
      <c r="G33" s="356"/>
      <c r="H33" s="356"/>
      <c r="I33" s="356"/>
      <c r="J33" s="355">
        <f t="shared" ref="J33:V33" si="14">NPV(Customer_Discount_Rate,J32:W32)</f>
        <v>0</v>
      </c>
      <c r="K33" s="355">
        <f>NPV(Customer_Discount_Rate,K32:AB32)</f>
        <v>0</v>
      </c>
      <c r="L33" s="355">
        <f t="shared" si="14"/>
        <v>0</v>
      </c>
      <c r="M33" s="355">
        <f t="shared" si="14"/>
        <v>0</v>
      </c>
      <c r="N33" s="355">
        <f t="shared" si="14"/>
        <v>0</v>
      </c>
      <c r="O33" s="355">
        <f t="shared" si="14"/>
        <v>0</v>
      </c>
      <c r="P33" s="355">
        <f t="shared" si="14"/>
        <v>0</v>
      </c>
      <c r="Q33" s="355">
        <f t="shared" si="14"/>
        <v>0</v>
      </c>
      <c r="R33" s="355">
        <f t="shared" si="14"/>
        <v>0</v>
      </c>
      <c r="S33" s="355">
        <f t="shared" si="14"/>
        <v>0</v>
      </c>
      <c r="T33" s="355">
        <f t="shared" si="14"/>
        <v>0</v>
      </c>
      <c r="U33" s="355">
        <f t="shared" si="14"/>
        <v>0</v>
      </c>
      <c r="V33" s="355">
        <f t="shared" si="14"/>
        <v>0</v>
      </c>
      <c r="W33" s="355">
        <f t="shared" ref="W33:AB33" si="15">NPV(Customer_Discount_Rate,W32:AJ32)</f>
        <v>0</v>
      </c>
      <c r="X33" s="355">
        <f t="shared" si="15"/>
        <v>0</v>
      </c>
      <c r="Y33" s="355">
        <f t="shared" si="15"/>
        <v>0</v>
      </c>
      <c r="Z33" s="355">
        <f t="shared" si="15"/>
        <v>0</v>
      </c>
      <c r="AA33" s="355">
        <f t="shared" si="15"/>
        <v>0</v>
      </c>
      <c r="AB33" s="355">
        <f t="shared" si="15"/>
        <v>0</v>
      </c>
    </row>
    <row r="34" spans="1:28" ht="14" x14ac:dyDescent="0.2">
      <c r="A34" s="34"/>
      <c r="B34" s="358" t="s">
        <v>210</v>
      </c>
      <c r="C34" s="349"/>
      <c r="D34" s="356"/>
      <c r="E34" s="356"/>
      <c r="F34" s="356"/>
      <c r="G34" s="356"/>
      <c r="H34" s="356"/>
      <c r="I34" s="356"/>
      <c r="J34" s="354">
        <f>SUM(J31+J33)</f>
        <v>260659.98658340407</v>
      </c>
      <c r="K34" s="354">
        <f t="shared" ref="K34:V34" si="16">SUM(K31+K33)</f>
        <v>257582.59063761478</v>
      </c>
      <c r="L34" s="354">
        <f t="shared" si="16"/>
        <v>253949.27811943481</v>
      </c>
      <c r="M34" s="354">
        <f t="shared" si="16"/>
        <v>249719.3295365654</v>
      </c>
      <c r="N34" s="354">
        <f t="shared" si="16"/>
        <v>244849.43614875834</v>
      </c>
      <c r="O34" s="354">
        <f t="shared" si="16"/>
        <v>239293.54171544954</v>
      </c>
      <c r="P34" s="354">
        <f t="shared" si="16"/>
        <v>233002.6746907811</v>
      </c>
      <c r="Q34" s="354">
        <f t="shared" si="16"/>
        <v>225924.77029171216</v>
      </c>
      <c r="R34" s="354">
        <f t="shared" si="16"/>
        <v>218004.48183044294</v>
      </c>
      <c r="S34" s="354">
        <f t="shared" si="16"/>
        <v>209182.98066582612</v>
      </c>
      <c r="T34" s="354">
        <f t="shared" si="16"/>
        <v>199397.74408969327</v>
      </c>
      <c r="U34" s="354">
        <f t="shared" si="16"/>
        <v>188582.33042296013</v>
      </c>
      <c r="V34" s="354">
        <f t="shared" si="16"/>
        <v>176666.14055283929</v>
      </c>
      <c r="W34" s="354">
        <f t="shared" ref="W34:AB34" si="17">SUM(W31+W33)</f>
        <v>163574.16509634414</v>
      </c>
      <c r="X34" s="354">
        <f t="shared" si="17"/>
        <v>149226.71632635378</v>
      </c>
      <c r="Y34" s="354">
        <f t="shared" si="17"/>
        <v>133539.14394465863</v>
      </c>
      <c r="Z34" s="354">
        <f t="shared" si="17"/>
        <v>116421.53373144555</v>
      </c>
      <c r="AA34" s="354">
        <f t="shared" si="17"/>
        <v>97778.388042420964</v>
      </c>
      <c r="AB34" s="354">
        <f t="shared" si="17"/>
        <v>97778.388042420964</v>
      </c>
    </row>
    <row r="35" spans="1:28" ht="14" x14ac:dyDescent="0.2">
      <c r="A35" s="34"/>
      <c r="B35" s="357"/>
      <c r="C35" s="349"/>
      <c r="D35" s="354"/>
      <c r="E35" s="354"/>
      <c r="F35" s="354"/>
      <c r="G35" s="354"/>
      <c r="H35" s="354"/>
      <c r="I35" s="354"/>
      <c r="J35" s="354"/>
      <c r="K35" s="354"/>
      <c r="L35" s="354"/>
      <c r="M35" s="354"/>
      <c r="N35" s="354"/>
      <c r="O35" s="354"/>
      <c r="P35" s="354"/>
      <c r="Q35" s="354"/>
      <c r="R35" s="354"/>
      <c r="S35" s="354"/>
      <c r="T35" s="354"/>
      <c r="U35" s="354"/>
      <c r="V35" s="354"/>
      <c r="W35" s="354"/>
      <c r="X35" s="354"/>
      <c r="Y35" s="354"/>
      <c r="Z35" s="354"/>
      <c r="AA35" s="354"/>
      <c r="AB35" s="354"/>
    </row>
    <row r="36" spans="1:28" ht="14" x14ac:dyDescent="0.2">
      <c r="A36" s="34"/>
      <c r="B36" s="358" t="s">
        <v>391</v>
      </c>
      <c r="C36" s="349"/>
      <c r="D36" s="354"/>
      <c r="E36" s="354"/>
      <c r="F36" s="354"/>
      <c r="G36" s="354"/>
      <c r="H36" s="354"/>
      <c r="I36" s="354"/>
      <c r="J36" s="354"/>
      <c r="K36" s="354"/>
      <c r="L36" s="354"/>
      <c r="M36" s="354"/>
      <c r="N36" s="354"/>
      <c r="O36" s="354"/>
      <c r="P36" s="354"/>
      <c r="Q36" s="354"/>
      <c r="R36" s="354"/>
      <c r="S36" s="354"/>
      <c r="T36" s="354"/>
      <c r="U36" s="354"/>
      <c r="V36" s="354"/>
      <c r="W36" s="354"/>
      <c r="X36" s="354"/>
      <c r="Y36" s="354"/>
      <c r="Z36" s="354"/>
      <c r="AA36" s="354"/>
      <c r="AB36" s="354"/>
    </row>
    <row r="37" spans="1:28" ht="14" x14ac:dyDescent="0.2">
      <c r="A37" s="34"/>
      <c r="B37" s="358" t="s">
        <v>472</v>
      </c>
      <c r="C37" s="349"/>
      <c r="D37" s="354"/>
      <c r="E37" s="354"/>
      <c r="F37" s="354"/>
      <c r="G37" s="354"/>
      <c r="H37" s="354"/>
      <c r="I37" s="354"/>
      <c r="J37" s="354"/>
      <c r="K37" s="354"/>
      <c r="L37" s="354"/>
      <c r="M37" s="354"/>
      <c r="N37" s="354"/>
      <c r="O37" s="354"/>
      <c r="P37" s="354"/>
      <c r="Q37" s="354"/>
      <c r="R37" s="354"/>
      <c r="S37" s="354"/>
      <c r="T37" s="354"/>
      <c r="U37" s="354"/>
      <c r="V37" s="354"/>
      <c r="W37" s="354"/>
      <c r="X37" s="354"/>
      <c r="Y37" s="354"/>
      <c r="Z37" s="354"/>
      <c r="AA37" s="354"/>
      <c r="AB37" s="354"/>
    </row>
    <row r="38" spans="1:28" ht="14" x14ac:dyDescent="0.2">
      <c r="A38" s="34"/>
      <c r="B38" s="352" t="s">
        <v>396</v>
      </c>
      <c r="C38" s="349"/>
      <c r="D38" s="351">
        <f>SUM(D21:AB21)</f>
        <v>9626375.1033085547</v>
      </c>
      <c r="E38" s="354"/>
      <c r="F38" s="354"/>
      <c r="G38" s="354"/>
      <c r="H38" s="354"/>
      <c r="I38" s="354"/>
      <c r="J38" s="354"/>
      <c r="K38" s="354"/>
      <c r="L38" s="354"/>
      <c r="M38" s="354"/>
      <c r="N38" s="354"/>
      <c r="O38" s="354"/>
      <c r="P38" s="354"/>
      <c r="Q38" s="354"/>
      <c r="R38" s="354"/>
      <c r="S38" s="354"/>
      <c r="T38" s="354"/>
      <c r="U38" s="354"/>
      <c r="V38" s="354"/>
      <c r="W38" s="354"/>
      <c r="X38" s="354"/>
      <c r="Y38" s="354"/>
      <c r="Z38" s="354"/>
      <c r="AA38" s="354"/>
      <c r="AB38" s="354"/>
    </row>
    <row r="39" spans="1:28" ht="14" x14ac:dyDescent="0.2">
      <c r="A39" s="34"/>
      <c r="B39" s="352" t="s">
        <v>473</v>
      </c>
      <c r="C39" s="349"/>
      <c r="D39" s="354">
        <f>SUM(D25:AB25)</f>
        <v>962482.2100746634</v>
      </c>
      <c r="E39" s="354"/>
      <c r="F39" s="354"/>
      <c r="G39" s="354"/>
      <c r="H39" s="354"/>
      <c r="I39" s="354"/>
      <c r="J39" s="354"/>
      <c r="K39" s="354"/>
      <c r="L39" s="354"/>
      <c r="M39" s="354"/>
      <c r="N39" s="354"/>
      <c r="O39" s="354"/>
      <c r="P39" s="354"/>
      <c r="Q39" s="354"/>
      <c r="R39" s="354"/>
      <c r="S39" s="354"/>
      <c r="T39" s="354"/>
      <c r="U39" s="354"/>
      <c r="V39" s="354"/>
      <c r="W39" s="354"/>
      <c r="X39" s="354"/>
      <c r="Y39" s="354"/>
      <c r="Z39" s="354"/>
      <c r="AA39" s="354"/>
      <c r="AB39" s="354"/>
    </row>
    <row r="40" spans="1:28" ht="14" x14ac:dyDescent="0.2">
      <c r="A40" s="34"/>
      <c r="B40" s="358" t="s">
        <v>398</v>
      </c>
      <c r="C40" s="349"/>
      <c r="D40" s="353">
        <f>D39/D38</f>
        <v>9.9983867213304545E-2</v>
      </c>
      <c r="E40" s="354"/>
      <c r="F40" s="354"/>
      <c r="G40" s="354"/>
      <c r="H40" s="354"/>
      <c r="I40" s="354"/>
      <c r="J40" s="354"/>
      <c r="K40" s="354"/>
      <c r="L40" s="354"/>
      <c r="M40" s="354"/>
      <c r="N40" s="354"/>
      <c r="O40" s="354"/>
      <c r="P40" s="354"/>
      <c r="Q40" s="354"/>
      <c r="R40" s="354"/>
      <c r="S40" s="354"/>
      <c r="T40" s="354"/>
      <c r="U40" s="354"/>
      <c r="V40" s="354"/>
      <c r="W40" s="354"/>
      <c r="X40" s="354"/>
      <c r="Y40" s="354"/>
      <c r="Z40" s="354"/>
      <c r="AA40" s="354"/>
      <c r="AB40" s="354"/>
    </row>
    <row r="41" spans="1:28" ht="14" x14ac:dyDescent="0.2">
      <c r="A41" s="34"/>
      <c r="B41" s="358"/>
      <c r="C41" s="349"/>
      <c r="D41" s="354"/>
      <c r="E41" s="354"/>
      <c r="F41" s="354"/>
      <c r="G41" s="354"/>
      <c r="H41" s="354"/>
      <c r="I41" s="354"/>
      <c r="J41" s="354"/>
      <c r="K41" s="354"/>
      <c r="L41" s="354"/>
      <c r="M41" s="354"/>
      <c r="N41" s="354"/>
      <c r="O41" s="354"/>
      <c r="P41" s="354"/>
      <c r="Q41" s="354"/>
      <c r="R41" s="354"/>
      <c r="S41" s="354"/>
      <c r="T41" s="354"/>
      <c r="U41" s="354"/>
      <c r="V41" s="354"/>
      <c r="W41" s="354"/>
      <c r="X41" s="354"/>
      <c r="Y41" s="354"/>
      <c r="Z41" s="354"/>
      <c r="AA41" s="354"/>
      <c r="AB41" s="354"/>
    </row>
    <row r="42" spans="1:28" ht="14" x14ac:dyDescent="0.2">
      <c r="A42" s="34"/>
      <c r="B42" s="358" t="s">
        <v>400</v>
      </c>
      <c r="C42" s="349"/>
      <c r="D42" s="354"/>
      <c r="E42" s="354"/>
      <c r="F42" s="354"/>
      <c r="G42" s="354"/>
      <c r="H42" s="354"/>
      <c r="I42" s="354"/>
      <c r="J42" s="354"/>
      <c r="K42" s="354"/>
      <c r="L42" s="354"/>
      <c r="M42" s="354"/>
      <c r="N42" s="354"/>
      <c r="O42" s="354"/>
      <c r="P42" s="354"/>
      <c r="Q42" s="354"/>
      <c r="R42" s="354"/>
      <c r="S42" s="354"/>
      <c r="T42" s="354"/>
      <c r="U42" s="354"/>
      <c r="V42" s="354"/>
      <c r="W42" s="354"/>
      <c r="X42" s="354"/>
      <c r="Y42" s="354"/>
      <c r="Z42" s="354"/>
      <c r="AA42" s="354"/>
      <c r="AB42" s="354"/>
    </row>
    <row r="43" spans="1:28" ht="14" x14ac:dyDescent="0.2">
      <c r="A43" s="34"/>
      <c r="B43" s="352" t="s">
        <v>385</v>
      </c>
      <c r="C43" s="349"/>
      <c r="D43" s="351">
        <f>SUM(D21:AB21)</f>
        <v>9626375.1033085547</v>
      </c>
      <c r="E43" s="354"/>
      <c r="F43" s="354"/>
      <c r="G43" s="354"/>
      <c r="H43" s="354"/>
      <c r="I43" s="354"/>
      <c r="J43" s="354"/>
      <c r="K43" s="354"/>
      <c r="L43" s="354"/>
      <c r="M43" s="354"/>
      <c r="N43" s="354"/>
      <c r="O43" s="354"/>
      <c r="P43" s="354"/>
      <c r="Q43" s="354"/>
      <c r="R43" s="354"/>
      <c r="S43" s="354"/>
      <c r="T43" s="354"/>
      <c r="U43" s="354"/>
      <c r="V43" s="354"/>
      <c r="W43" s="354"/>
      <c r="X43" s="354"/>
      <c r="Y43" s="354"/>
      <c r="Z43" s="354"/>
      <c r="AA43" s="354"/>
      <c r="AB43" s="354"/>
    </row>
    <row r="44" spans="1:28" ht="14" x14ac:dyDescent="0.2">
      <c r="A44" s="34"/>
      <c r="B44" s="352" t="s">
        <v>386</v>
      </c>
      <c r="C44" s="349"/>
      <c r="D44" s="354">
        <f>SUM(D26:AB26)</f>
        <v>954422.5797919936</v>
      </c>
      <c r="E44" s="354"/>
      <c r="F44" s="354"/>
      <c r="G44" s="354"/>
      <c r="H44" s="354"/>
      <c r="I44" s="354"/>
      <c r="J44" s="354"/>
      <c r="K44" s="354"/>
      <c r="L44" s="354"/>
      <c r="M44" s="354"/>
      <c r="N44" s="354"/>
      <c r="O44" s="354"/>
      <c r="P44" s="354"/>
      <c r="Q44" s="354"/>
      <c r="R44" s="354"/>
      <c r="S44" s="354"/>
      <c r="T44" s="354"/>
      <c r="U44" s="354"/>
      <c r="V44" s="354"/>
      <c r="W44" s="354"/>
      <c r="X44" s="354"/>
      <c r="Y44" s="354"/>
      <c r="Z44" s="354"/>
      <c r="AA44" s="354"/>
      <c r="AB44" s="354"/>
    </row>
    <row r="45" spans="1:28" ht="14" x14ac:dyDescent="0.2">
      <c r="A45" s="34"/>
      <c r="B45" s="358" t="s">
        <v>397</v>
      </c>
      <c r="C45" s="349"/>
      <c r="D45" s="359">
        <f>D44/D43</f>
        <v>9.9146622643445675E-2</v>
      </c>
      <c r="E45" s="354"/>
      <c r="F45" s="354"/>
      <c r="G45" s="354"/>
      <c r="H45" s="354"/>
      <c r="I45" s="354"/>
      <c r="J45" s="354"/>
      <c r="K45" s="354"/>
      <c r="L45" s="354"/>
      <c r="M45" s="354"/>
      <c r="N45" s="354"/>
      <c r="O45" s="354"/>
      <c r="P45" s="354"/>
      <c r="Q45" s="354"/>
      <c r="R45" s="354"/>
      <c r="S45" s="354"/>
      <c r="T45" s="354"/>
      <c r="U45" s="354"/>
      <c r="V45" s="354"/>
      <c r="W45" s="354"/>
      <c r="X45" s="354"/>
      <c r="Y45" s="354"/>
      <c r="Z45" s="354"/>
      <c r="AA45" s="354"/>
      <c r="AB45" s="354"/>
    </row>
    <row r="46" spans="1:28" ht="14" x14ac:dyDescent="0.2">
      <c r="A46" s="34"/>
      <c r="B46" s="358"/>
      <c r="C46" s="349"/>
      <c r="D46" s="354"/>
      <c r="E46" s="354"/>
      <c r="F46" s="354"/>
      <c r="G46" s="354"/>
      <c r="H46" s="354"/>
      <c r="I46" s="354"/>
      <c r="J46" s="354"/>
      <c r="K46" s="354"/>
      <c r="L46" s="354"/>
      <c r="M46" s="354"/>
      <c r="N46" s="354"/>
      <c r="O46" s="354"/>
      <c r="P46" s="354"/>
      <c r="Q46" s="354"/>
      <c r="R46" s="354"/>
      <c r="S46" s="354"/>
      <c r="T46" s="354"/>
      <c r="U46" s="354"/>
      <c r="V46" s="354"/>
      <c r="W46" s="354"/>
      <c r="X46" s="354"/>
      <c r="Y46" s="354"/>
      <c r="Z46" s="354"/>
      <c r="AA46" s="354"/>
      <c r="AB46" s="354"/>
    </row>
    <row r="47" spans="1:28" ht="14" x14ac:dyDescent="0.2">
      <c r="A47" s="34"/>
      <c r="B47" s="603" t="s">
        <v>404</v>
      </c>
      <c r="C47" s="349"/>
      <c r="D47" s="354"/>
      <c r="E47" s="354"/>
      <c r="F47" s="354"/>
      <c r="G47" s="354"/>
      <c r="H47" s="354"/>
      <c r="I47" s="354"/>
      <c r="J47" s="354"/>
      <c r="K47" s="354"/>
      <c r="L47" s="354"/>
      <c r="M47" s="354"/>
      <c r="N47" s="354"/>
      <c r="O47" s="354"/>
      <c r="P47" s="354"/>
      <c r="Q47" s="354"/>
      <c r="R47" s="354"/>
      <c r="S47" s="354"/>
      <c r="T47" s="354"/>
      <c r="U47" s="354"/>
      <c r="V47" s="354"/>
      <c r="W47" s="354"/>
      <c r="X47" s="354"/>
      <c r="Y47" s="354"/>
      <c r="Z47" s="354"/>
      <c r="AA47" s="354"/>
      <c r="AB47" s="354"/>
    </row>
    <row r="48" spans="1:28" ht="14" x14ac:dyDescent="0.2">
      <c r="A48" s="34"/>
      <c r="B48" s="603"/>
      <c r="C48" s="349"/>
      <c r="D48" s="354"/>
      <c r="E48" s="354"/>
      <c r="F48" s="354"/>
      <c r="G48" s="354"/>
      <c r="H48" s="354"/>
      <c r="I48" s="354"/>
      <c r="J48" s="354"/>
      <c r="K48" s="354"/>
      <c r="L48" s="354"/>
      <c r="M48" s="354"/>
      <c r="N48" s="354"/>
      <c r="O48" s="354"/>
      <c r="P48" s="354"/>
      <c r="Q48" s="354"/>
      <c r="R48" s="354"/>
      <c r="S48" s="354"/>
      <c r="T48" s="354"/>
      <c r="U48" s="354"/>
      <c r="V48" s="354"/>
      <c r="W48" s="354"/>
      <c r="X48" s="354"/>
      <c r="Y48" s="354"/>
      <c r="Z48" s="354"/>
      <c r="AA48" s="354"/>
      <c r="AB48" s="354"/>
    </row>
    <row r="49" spans="1:28" ht="14" x14ac:dyDescent="0.2">
      <c r="A49" s="34"/>
      <c r="B49" s="352" t="s">
        <v>295</v>
      </c>
      <c r="C49" s="354">
        <f>-Unstructured!C80</f>
        <v>516721.91375344113</v>
      </c>
      <c r="D49" s="360"/>
      <c r="E49" s="356"/>
      <c r="F49" s="356"/>
      <c r="G49" s="356"/>
      <c r="H49" s="356"/>
      <c r="I49" s="356"/>
      <c r="J49" s="356"/>
      <c r="K49" s="356"/>
      <c r="L49" s="356"/>
      <c r="M49" s="356"/>
      <c r="N49" s="356"/>
      <c r="O49" s="356"/>
      <c r="P49" s="356"/>
      <c r="Q49" s="356"/>
      <c r="R49" s="356"/>
      <c r="S49" s="356"/>
      <c r="T49" s="356"/>
      <c r="U49" s="356"/>
      <c r="V49" s="356"/>
      <c r="W49" s="356"/>
      <c r="X49" s="356"/>
      <c r="Y49" s="356"/>
      <c r="Z49" s="356"/>
      <c r="AA49" s="356"/>
      <c r="AB49" s="356"/>
    </row>
    <row r="50" spans="1:28" ht="14" x14ac:dyDescent="0.2">
      <c r="A50" s="34"/>
      <c r="B50" s="352" t="s">
        <v>296</v>
      </c>
      <c r="C50" s="361"/>
      <c r="D50" s="356"/>
      <c r="E50" s="356"/>
      <c r="F50" s="356"/>
      <c r="G50" s="356"/>
      <c r="H50" s="356"/>
      <c r="I50" s="356"/>
      <c r="J50" s="354">
        <f t="shared" ref="J50:V50" si="18">J31</f>
        <v>260659.98658340407</v>
      </c>
      <c r="K50" s="354">
        <f t="shared" si="18"/>
        <v>257582.59063761478</v>
      </c>
      <c r="L50" s="354">
        <f t="shared" si="18"/>
        <v>253949.27811943481</v>
      </c>
      <c r="M50" s="354">
        <f t="shared" si="18"/>
        <v>249719.3295365654</v>
      </c>
      <c r="N50" s="354">
        <f t="shared" si="18"/>
        <v>244849.43614875834</v>
      </c>
      <c r="O50" s="354">
        <f t="shared" si="18"/>
        <v>239293.54171544954</v>
      </c>
      <c r="P50" s="354">
        <f t="shared" si="18"/>
        <v>233002.6746907811</v>
      </c>
      <c r="Q50" s="354">
        <f t="shared" si="18"/>
        <v>225924.77029171216</v>
      </c>
      <c r="R50" s="354">
        <f t="shared" si="18"/>
        <v>218004.48183044294</v>
      </c>
      <c r="S50" s="354">
        <f t="shared" si="18"/>
        <v>209182.98066582612</v>
      </c>
      <c r="T50" s="354">
        <f t="shared" si="18"/>
        <v>199397.74408969327</v>
      </c>
      <c r="U50" s="354">
        <f t="shared" si="18"/>
        <v>188582.33042296013</v>
      </c>
      <c r="V50" s="354">
        <f t="shared" si="18"/>
        <v>176666.14055283929</v>
      </c>
      <c r="W50" s="354">
        <f t="shared" ref="W50:AB50" si="19">W31</f>
        <v>163574.16509634414</v>
      </c>
      <c r="X50" s="354">
        <f t="shared" si="19"/>
        <v>149226.71632635378</v>
      </c>
      <c r="Y50" s="354">
        <f t="shared" si="19"/>
        <v>133539.14394465863</v>
      </c>
      <c r="Z50" s="354">
        <f t="shared" si="19"/>
        <v>116421.53373144555</v>
      </c>
      <c r="AA50" s="354">
        <f t="shared" si="19"/>
        <v>97778.388042420964</v>
      </c>
      <c r="AB50" s="354">
        <f t="shared" si="19"/>
        <v>97778.388042420964</v>
      </c>
    </row>
    <row r="51" spans="1:28" ht="14" x14ac:dyDescent="0.2">
      <c r="A51" s="34"/>
      <c r="B51" s="352" t="s">
        <v>389</v>
      </c>
      <c r="C51" s="354">
        <v>0</v>
      </c>
      <c r="D51" s="354">
        <v>0</v>
      </c>
      <c r="E51" s="354">
        <f>SUM($D$26:E26)</f>
        <v>60283.342177938721</v>
      </c>
      <c r="F51" s="354">
        <f>SUM($D$26:F26)</f>
        <v>91326.559155028532</v>
      </c>
      <c r="G51" s="354">
        <f>SUM($D$26:G26)</f>
        <v>122986.760069538</v>
      </c>
      <c r="H51" s="354">
        <f>SUM($D$26:H26)</f>
        <v>155276.20747722333</v>
      </c>
      <c r="I51" s="354">
        <f>SUM($D$26:I26)</f>
        <v>188207.4076521364</v>
      </c>
      <c r="J51" s="354">
        <f>SUM($D$26:J26)</f>
        <v>221793.11543052588</v>
      </c>
      <c r="K51" s="354">
        <f>SUM($D$26:K26)</f>
        <v>256046.33915101085</v>
      </c>
      <c r="L51" s="354">
        <f>SUM($D$26:L26)</f>
        <v>290980.34569294046</v>
      </c>
      <c r="M51" s="354">
        <f>SUM($D$26:M26)</f>
        <v>326608.66561489092</v>
      </c>
      <c r="N51" s="354">
        <f>SUM($D$26:N26)</f>
        <v>362945.09839529014</v>
      </c>
      <c r="O51" s="354">
        <f>SUM($D$26:O26)</f>
        <v>400003.71777719981</v>
      </c>
      <c r="P51" s="354">
        <f>SUM($D$26:P26)</f>
        <v>437798.87721932487</v>
      </c>
      <c r="Q51" s="354">
        <f>SUM($D$26:Q26)</f>
        <v>476345.21545536222</v>
      </c>
      <c r="R51" s="354">
        <f>SUM($D$26:R26)</f>
        <v>515657.66216384078</v>
      </c>
      <c r="S51" s="354">
        <f>SUM($D$26:S26)</f>
        <v>555751.44375065039</v>
      </c>
      <c r="T51" s="354">
        <f>SUM($D$26:T26)</f>
        <v>596642.08924649784</v>
      </c>
      <c r="U51" s="354">
        <f>SUM($D$26:U26)</f>
        <v>638345.43632157519</v>
      </c>
      <c r="V51" s="354">
        <f>SUM($D$26:V26)</f>
        <v>680877.63741976977</v>
      </c>
      <c r="W51" s="354">
        <f>SUM($D$26:W26)</f>
        <v>724255.16601479088</v>
      </c>
      <c r="X51" s="354">
        <f>SUM($D$26:X26)</f>
        <v>768494.82299063809</v>
      </c>
      <c r="Y51" s="354">
        <f>SUM($D$26:Y26)</f>
        <v>813613.7431488802</v>
      </c>
      <c r="Z51" s="354">
        <f>SUM($D$26:Z26)</f>
        <v>859629.40184526739</v>
      </c>
      <c r="AA51" s="354">
        <f>SUM($D$26:AA26)</f>
        <v>906559.62175824528</v>
      </c>
      <c r="AB51" s="354">
        <f>SUM($D$26:AB26)</f>
        <v>954422.5797919936</v>
      </c>
    </row>
    <row r="52" spans="1:28" ht="14" x14ac:dyDescent="0.2">
      <c r="A52" s="34"/>
      <c r="B52" s="352" t="s">
        <v>181</v>
      </c>
      <c r="C52" s="354">
        <f>NPV(Customer_Discount_Rate,Unstructured!D38:$AB$38)</f>
        <v>101581.43093848924</v>
      </c>
      <c r="D52" s="354">
        <f>NPV(Customer_Discount_Rate,Unstructured!E38:$AB$38)</f>
        <v>101098.71079479858</v>
      </c>
      <c r="E52" s="354">
        <f>NPV(Customer_Discount_Rate,Unstructured!F38:$AB$38)</f>
        <v>100455.47532248653</v>
      </c>
      <c r="F52" s="354">
        <f>NPV(Customer_Discount_Rate,Unstructured!G38:$AB$38)</f>
        <v>99639.46255943572</v>
      </c>
      <c r="G52" s="354">
        <f>NPV(Customer_Discount_Rate,Unstructured!H38:$AB$38)</f>
        <v>98637.622204953848</v>
      </c>
      <c r="H52" s="354">
        <f>NPV(Customer_Discount_Rate,Unstructured!I38:$AB$38)</f>
        <v>97436.067267042119</v>
      </c>
      <c r="I52" s="354">
        <f>NPV(Customer_Discount_Rate,Unstructured!J38:$AB$38)</f>
        <v>96020.022787451555</v>
      </c>
      <c r="J52" s="354">
        <f>NPV(Customer_Discount_Rate,Unstructured!K38:$AB$38)</f>
        <v>94373.771468773208</v>
      </c>
      <c r="K52" s="354">
        <f>NPV(Customer_Discount_Rate,Unstructured!L38:$AB$38)</f>
        <v>92480.596017255695</v>
      </c>
      <c r="L52" s="354">
        <f>NPV(Customer_Discount_Rate,Unstructured!M38:$AB$38)</f>
        <v>90322.718003854272</v>
      </c>
      <c r="M52" s="354">
        <f>NPV(Customer_Discount_Rate,Unstructured!N38:$AB$38)</f>
        <v>87881.233034160003</v>
      </c>
      <c r="N52" s="354">
        <f>NPV(Customer_Discount_Rate,Unstructured!O38:$AB$38)</f>
        <v>85136.042005285577</v>
      </c>
      <c r="O52" s="354">
        <f>NPV(Customer_Discount_Rate,Unstructured!P38:$AB$38)</f>
        <v>82065.77821446021</v>
      </c>
      <c r="P52" s="354">
        <f>NPV(Customer_Discount_Rate,Unstructured!Q38:$AB$38)</f>
        <v>78647.730069962461</v>
      </c>
      <c r="Q52" s="354">
        <f>NPV(Customer_Discount_Rate,Unstructured!R38:$AB$38)</f>
        <v>74857.759140047521</v>
      </c>
      <c r="R52" s="354">
        <f>NPV(Customer_Discount_Rate,Unstructured!S38:$AB$38)</f>
        <v>70670.213259655473</v>
      </c>
      <c r="S52" s="354">
        <f>NPV(Customer_Discount_Rate,Unstructured!T38:$AB$38)</f>
        <v>66057.83439786396</v>
      </c>
      <c r="T52" s="354">
        <f>NPV(Customer_Discount_Rate,Unstructured!U38:$AB$38)</f>
        <v>60991.660971217563</v>
      </c>
      <c r="U52" s="354">
        <f>NPV(Customer_Discount_Rate,Unstructured!V38:$AB$38)</f>
        <v>55440.924269162024</v>
      </c>
      <c r="V52" s="354">
        <f>NPV(Customer_Discount_Rate,Unstructured!W38:$AB$38)</f>
        <v>49372.93863777657</v>
      </c>
      <c r="W52" s="354">
        <f>NPV(Customer_Discount_Rate,Unstructured!X38:$AB$38)</f>
        <v>42752.985046757283</v>
      </c>
      <c r="X52" s="354">
        <f>NPV(Customer_Discount_Rate,Unstructured!Y38:$AB$38)</f>
        <v>35544.187642091129</v>
      </c>
      <c r="Y52" s="354">
        <f>NPV(Customer_Discount_Rate,Unstructured!Z38:$AB$38)</f>
        <v>27707.382862995564</v>
      </c>
      <c r="Z52" s="354">
        <f>NPV(Customer_Discount_Rate,Unstructured!AA38:$AB$38)</f>
        <v>19200.980676401843</v>
      </c>
      <c r="AA52" s="354">
        <f>NPV(Customer_Discount_Rate,Unstructured!AB38:$AB$38)</f>
        <v>9980.8174554450361</v>
      </c>
      <c r="AB52" s="354">
        <f>NPV(Customer_Discount_Rate,Unstructured!$AB38:AC$38)</f>
        <v>9980.8174554450361</v>
      </c>
    </row>
    <row r="53" spans="1:28" ht="14" x14ac:dyDescent="0.2">
      <c r="A53" s="34"/>
      <c r="B53" s="357" t="s">
        <v>182</v>
      </c>
      <c r="C53" s="341">
        <f>SUM(C49:C52)</f>
        <v>618303.34469193034</v>
      </c>
      <c r="D53" s="354">
        <f>SUM(D49:D52)</f>
        <v>101098.71079479858</v>
      </c>
      <c r="E53" s="354">
        <f t="shared" ref="E53:V53" si="20">SUM(E49:E52)</f>
        <v>160738.81750042524</v>
      </c>
      <c r="F53" s="354">
        <f t="shared" si="20"/>
        <v>190966.02171446424</v>
      </c>
      <c r="G53" s="354">
        <f t="shared" si="20"/>
        <v>221624.38227449183</v>
      </c>
      <c r="H53" s="354">
        <f t="shared" si="20"/>
        <v>252712.27474426545</v>
      </c>
      <c r="I53" s="354">
        <f t="shared" si="20"/>
        <v>284227.43043958797</v>
      </c>
      <c r="J53" s="354">
        <f t="shared" si="20"/>
        <v>576826.87348270323</v>
      </c>
      <c r="K53" s="354">
        <f t="shared" si="20"/>
        <v>606109.52580588136</v>
      </c>
      <c r="L53" s="354">
        <f t="shared" si="20"/>
        <v>635252.34181622951</v>
      </c>
      <c r="M53" s="354">
        <f t="shared" si="20"/>
        <v>664209.22818561632</v>
      </c>
      <c r="N53" s="354">
        <f t="shared" si="20"/>
        <v>692930.5765493341</v>
      </c>
      <c r="O53" s="354">
        <f t="shared" si="20"/>
        <v>721363.03770710959</v>
      </c>
      <c r="P53" s="354">
        <f t="shared" si="20"/>
        <v>749449.28198006842</v>
      </c>
      <c r="Q53" s="354">
        <f t="shared" si="20"/>
        <v>777127.74488712184</v>
      </c>
      <c r="R53" s="354">
        <f t="shared" si="20"/>
        <v>804332.35725393926</v>
      </c>
      <c r="S53" s="354">
        <f t="shared" si="20"/>
        <v>830992.25881434046</v>
      </c>
      <c r="T53" s="354">
        <f t="shared" si="20"/>
        <v>857031.49430740869</v>
      </c>
      <c r="U53" s="354">
        <f t="shared" si="20"/>
        <v>882368.6910136973</v>
      </c>
      <c r="V53" s="354">
        <f t="shared" si="20"/>
        <v>906916.71661038557</v>
      </c>
      <c r="W53" s="354">
        <f t="shared" ref="W53:AB53" si="21">SUM(W49:W52)</f>
        <v>930582.31615789223</v>
      </c>
      <c r="X53" s="354">
        <f t="shared" si="21"/>
        <v>953265.726959083</v>
      </c>
      <c r="Y53" s="354">
        <f t="shared" si="21"/>
        <v>974860.2699565345</v>
      </c>
      <c r="Z53" s="354">
        <f t="shared" si="21"/>
        <v>995251.91625311482</v>
      </c>
      <c r="AA53" s="354">
        <f t="shared" si="21"/>
        <v>1014318.8272561113</v>
      </c>
      <c r="AB53" s="354">
        <f t="shared" si="21"/>
        <v>1062181.7852898594</v>
      </c>
    </row>
    <row r="54" spans="1:28" ht="14" x14ac:dyDescent="0.2">
      <c r="A54" s="34"/>
      <c r="B54" s="363"/>
      <c r="C54" s="604" t="s">
        <v>403</v>
      </c>
      <c r="D54" s="604"/>
      <c r="E54" s="364"/>
      <c r="F54" s="364"/>
      <c r="G54" s="364"/>
      <c r="H54" s="364"/>
      <c r="I54" s="364"/>
      <c r="J54" s="364"/>
      <c r="K54" s="364"/>
      <c r="L54" s="364"/>
      <c r="M54" s="364"/>
      <c r="N54" s="364"/>
      <c r="O54" s="364"/>
      <c r="P54" s="364"/>
      <c r="Q54" s="364"/>
      <c r="R54" s="364"/>
      <c r="S54" s="364"/>
      <c r="T54" s="364"/>
      <c r="U54" s="364"/>
      <c r="V54" s="364"/>
      <c r="W54" s="364"/>
      <c r="X54" s="364"/>
      <c r="Y54" s="364"/>
      <c r="Z54" s="364"/>
      <c r="AA54" s="364"/>
      <c r="AB54" s="364"/>
    </row>
    <row r="55" spans="1:28" ht="14" customHeight="1" x14ac:dyDescent="0.2">
      <c r="A55" s="34"/>
      <c r="B55" s="365" t="s">
        <v>390</v>
      </c>
      <c r="C55" s="604"/>
      <c r="D55" s="604"/>
      <c r="E55" s="364"/>
      <c r="F55" s="364"/>
      <c r="G55" s="364"/>
      <c r="H55" s="364"/>
      <c r="I55" s="364"/>
      <c r="J55" s="364"/>
      <c r="K55" s="364"/>
      <c r="L55" s="364"/>
      <c r="M55" s="364"/>
      <c r="N55" s="364"/>
      <c r="O55" s="364"/>
      <c r="P55" s="364"/>
      <c r="Q55" s="364"/>
      <c r="R55" s="364"/>
      <c r="S55" s="364"/>
      <c r="T55" s="364"/>
      <c r="U55" s="364"/>
      <c r="V55" s="364"/>
      <c r="W55" s="364"/>
      <c r="X55" s="364"/>
      <c r="Y55" s="364"/>
      <c r="Z55" s="364"/>
      <c r="AA55" s="364"/>
      <c r="AB55" s="364"/>
    </row>
    <row r="56" spans="1:28" ht="15" x14ac:dyDescent="0.2">
      <c r="A56" s="34"/>
      <c r="B56" s="352" t="s">
        <v>405</v>
      </c>
      <c r="C56" s="353">
        <f>$C$53/$D$43</f>
        <v>6.4230132116856881E-2</v>
      </c>
      <c r="D56" s="366" t="s">
        <v>399</v>
      </c>
      <c r="E56" s="367"/>
      <c r="F56" s="364"/>
      <c r="G56" s="364"/>
      <c r="H56" s="364"/>
      <c r="I56" s="364"/>
      <c r="J56" s="364"/>
      <c r="K56" s="364"/>
      <c r="L56" s="364"/>
      <c r="M56" s="364"/>
      <c r="N56" s="364"/>
      <c r="O56" s="364"/>
      <c r="P56" s="364"/>
      <c r="Q56" s="364"/>
      <c r="R56" s="364"/>
      <c r="S56" s="364"/>
      <c r="T56" s="364"/>
      <c r="U56" s="364"/>
      <c r="V56" s="364"/>
      <c r="W56" s="364"/>
      <c r="X56" s="364"/>
      <c r="Y56" s="364"/>
      <c r="Z56" s="364"/>
      <c r="AA56" s="364"/>
      <c r="AB56" s="364"/>
    </row>
    <row r="57" spans="1:28" ht="15" x14ac:dyDescent="0.2">
      <c r="A57" s="34"/>
      <c r="B57" s="352" t="s">
        <v>124</v>
      </c>
      <c r="C57" s="353">
        <f>$J$53/$D$43</f>
        <v>5.9921503919419229E-2</v>
      </c>
      <c r="D57" s="366" t="s">
        <v>399</v>
      </c>
      <c r="E57" s="367"/>
      <c r="F57" s="364"/>
      <c r="G57" s="364"/>
      <c r="H57" s="364"/>
      <c r="I57" s="364"/>
      <c r="J57" s="364"/>
      <c r="K57" s="364"/>
      <c r="L57" s="364"/>
      <c r="M57" s="364"/>
      <c r="N57" s="364"/>
      <c r="O57" s="364"/>
      <c r="P57" s="364"/>
      <c r="Q57" s="364"/>
      <c r="R57" s="364"/>
      <c r="S57" s="364"/>
      <c r="T57" s="364"/>
      <c r="U57" s="364"/>
      <c r="V57" s="364"/>
      <c r="W57" s="364"/>
      <c r="X57" s="364"/>
      <c r="Y57" s="364"/>
      <c r="Z57" s="364"/>
      <c r="AA57" s="364"/>
      <c r="AB57" s="364"/>
    </row>
    <row r="58" spans="1:28" ht="15" x14ac:dyDescent="0.2">
      <c r="A58" s="34"/>
      <c r="B58" s="352" t="s">
        <v>191</v>
      </c>
      <c r="C58" s="353">
        <f>$M$53/$D$43</f>
        <v>6.8998893254983359E-2</v>
      </c>
      <c r="D58" s="366" t="s">
        <v>399</v>
      </c>
      <c r="E58" s="367"/>
      <c r="F58" s="364"/>
      <c r="G58" s="364"/>
      <c r="H58" s="364"/>
      <c r="I58" s="364"/>
      <c r="J58" s="364"/>
      <c r="K58" s="364"/>
      <c r="L58" s="364"/>
      <c r="M58" s="364"/>
      <c r="N58" s="364"/>
      <c r="O58" s="364"/>
      <c r="P58" s="364"/>
      <c r="Q58" s="364"/>
      <c r="R58" s="364"/>
      <c r="S58" s="364"/>
      <c r="T58" s="364"/>
      <c r="U58" s="364"/>
      <c r="V58" s="364"/>
      <c r="W58" s="364"/>
      <c r="X58" s="364"/>
      <c r="Y58" s="364"/>
      <c r="Z58" s="364"/>
      <c r="AA58" s="364"/>
      <c r="AB58" s="364"/>
    </row>
    <row r="59" spans="1:28" ht="15" x14ac:dyDescent="0.2">
      <c r="A59" s="34"/>
      <c r="B59" s="352" t="s">
        <v>174</v>
      </c>
      <c r="C59" s="353">
        <f>$R$53/$D$43</f>
        <v>8.3555060822166877E-2</v>
      </c>
      <c r="D59" s="366" t="s">
        <v>399</v>
      </c>
      <c r="E59" s="367"/>
      <c r="F59" s="364"/>
      <c r="G59" s="364"/>
      <c r="H59" s="364"/>
      <c r="I59" s="364"/>
      <c r="J59" s="364"/>
      <c r="K59" s="364"/>
      <c r="L59" s="364"/>
      <c r="M59" s="364"/>
      <c r="N59" s="364"/>
      <c r="O59" s="364"/>
      <c r="P59" s="364"/>
      <c r="Q59" s="364"/>
      <c r="R59" s="364"/>
      <c r="S59" s="364"/>
      <c r="T59" s="364"/>
      <c r="U59" s="364"/>
      <c r="V59" s="364"/>
      <c r="W59" s="364"/>
      <c r="X59" s="364"/>
      <c r="Y59" s="364"/>
      <c r="Z59" s="364"/>
      <c r="AA59" s="364"/>
      <c r="AB59" s="364"/>
    </row>
    <row r="60" spans="1:28" ht="15" x14ac:dyDescent="0.2">
      <c r="A60" s="34"/>
      <c r="B60" s="352" t="s">
        <v>91</v>
      </c>
      <c r="C60" s="353">
        <f>$W$53/$D$43</f>
        <v>9.6670065956400764E-2</v>
      </c>
      <c r="D60" s="366" t="s">
        <v>399</v>
      </c>
      <c r="E60" s="367"/>
      <c r="F60" s="364"/>
      <c r="G60" s="364"/>
      <c r="H60" s="364"/>
      <c r="I60" s="364"/>
      <c r="J60" s="364"/>
      <c r="K60" s="364"/>
      <c r="L60" s="364"/>
      <c r="M60" s="364"/>
      <c r="N60" s="364"/>
      <c r="O60" s="364"/>
      <c r="P60" s="364"/>
      <c r="Q60" s="364"/>
      <c r="R60" s="364"/>
      <c r="S60" s="364"/>
      <c r="T60" s="364"/>
      <c r="U60" s="364"/>
      <c r="V60" s="364"/>
      <c r="W60" s="364"/>
      <c r="X60" s="364"/>
      <c r="Y60" s="364"/>
      <c r="Z60" s="364"/>
      <c r="AA60" s="364"/>
      <c r="AB60" s="364"/>
    </row>
    <row r="61" spans="1:28" ht="16" thickBot="1" x14ac:dyDescent="0.25">
      <c r="A61" s="34"/>
      <c r="B61" s="368" t="s">
        <v>449</v>
      </c>
      <c r="C61" s="369">
        <f>$AB$53/$D$43</f>
        <v>0.11034078496741632</v>
      </c>
      <c r="D61" s="370" t="s">
        <v>399</v>
      </c>
      <c r="E61" s="371"/>
      <c r="F61" s="372"/>
      <c r="G61" s="372"/>
      <c r="H61" s="372"/>
      <c r="I61" s="372"/>
      <c r="J61" s="372"/>
      <c r="K61" s="372"/>
      <c r="L61" s="372"/>
      <c r="M61" s="372"/>
      <c r="N61" s="372"/>
      <c r="O61" s="372"/>
      <c r="P61" s="372"/>
      <c r="Q61" s="372"/>
      <c r="R61" s="372"/>
      <c r="S61" s="372"/>
      <c r="T61" s="372"/>
      <c r="U61" s="372"/>
      <c r="V61" s="372"/>
      <c r="W61" s="372"/>
      <c r="X61" s="372"/>
      <c r="Y61" s="372"/>
      <c r="Z61" s="372"/>
      <c r="AA61" s="372"/>
      <c r="AB61" s="372"/>
    </row>
    <row r="62" spans="1:28" ht="14" x14ac:dyDescent="0.2">
      <c r="A62" s="34"/>
      <c r="B62" s="373"/>
      <c r="C62" s="374"/>
      <c r="D62" s="362"/>
      <c r="E62" s="343"/>
      <c r="F62" s="343"/>
      <c r="G62" s="343"/>
      <c r="H62" s="343"/>
      <c r="I62" s="343"/>
      <c r="J62" s="343"/>
      <c r="K62" s="343"/>
      <c r="L62" s="343"/>
      <c r="M62" s="343"/>
      <c r="N62" s="343"/>
      <c r="O62" s="343"/>
      <c r="P62" s="343"/>
      <c r="Q62" s="343"/>
      <c r="R62" s="343"/>
      <c r="S62" s="343"/>
      <c r="T62" s="343"/>
      <c r="U62" s="343"/>
      <c r="V62" s="343"/>
      <c r="W62" s="343"/>
      <c r="X62" s="343"/>
      <c r="Y62" s="343"/>
      <c r="Z62" s="343"/>
      <c r="AA62" s="343"/>
      <c r="AB62" s="343"/>
    </row>
    <row r="63" spans="1:28" ht="15" thickBot="1" x14ac:dyDescent="0.25">
      <c r="A63" s="34"/>
      <c r="B63" s="344"/>
      <c r="C63" s="374"/>
      <c r="D63" s="362"/>
      <c r="E63" s="362"/>
      <c r="F63" s="362"/>
      <c r="G63" s="362"/>
      <c r="H63" s="362"/>
      <c r="I63" s="362"/>
      <c r="J63" s="362"/>
      <c r="K63" s="362"/>
      <c r="L63" s="362"/>
      <c r="M63" s="362"/>
      <c r="N63" s="362"/>
      <c r="O63" s="362"/>
      <c r="P63" s="362"/>
      <c r="Q63" s="362"/>
      <c r="R63" s="362"/>
      <c r="S63" s="362"/>
      <c r="T63" s="362"/>
      <c r="U63" s="362"/>
      <c r="V63" s="362"/>
      <c r="W63" s="362"/>
      <c r="X63" s="362"/>
      <c r="Y63" s="362"/>
      <c r="Z63" s="362"/>
      <c r="AA63" s="362"/>
      <c r="AB63" s="362"/>
    </row>
    <row r="64" spans="1:28" ht="17" customHeight="1" thickBot="1" x14ac:dyDescent="0.25">
      <c r="A64" s="34"/>
      <c r="B64" s="600" t="s">
        <v>266</v>
      </c>
      <c r="C64" s="600"/>
      <c r="D64" s="600">
        <v>1</v>
      </c>
      <c r="E64" s="605" t="s">
        <v>474</v>
      </c>
      <c r="F64" s="606"/>
      <c r="G64" s="606"/>
      <c r="H64" s="606"/>
      <c r="I64" s="606"/>
      <c r="J64" s="606"/>
      <c r="K64" s="606"/>
      <c r="L64" s="606"/>
      <c r="M64" s="606"/>
      <c r="N64" s="606"/>
      <c r="O64" s="607"/>
      <c r="P64" s="343"/>
      <c r="Q64" s="343"/>
      <c r="R64" s="343"/>
      <c r="S64" s="343"/>
      <c r="T64" s="343"/>
      <c r="U64" s="343"/>
      <c r="V64" s="343"/>
      <c r="W64" s="343"/>
      <c r="X64" s="343"/>
      <c r="Y64" s="343"/>
      <c r="Z64" s="343"/>
      <c r="AA64" s="343"/>
      <c r="AB64" s="343"/>
    </row>
    <row r="65" spans="1:28" ht="14" x14ac:dyDescent="0.2">
      <c r="A65" s="34"/>
      <c r="B65" s="345" t="s">
        <v>286</v>
      </c>
      <c r="C65" s="346">
        <v>0</v>
      </c>
      <c r="D65" s="347">
        <v>1</v>
      </c>
      <c r="E65" s="347">
        <v>2</v>
      </c>
      <c r="F65" s="347">
        <v>3</v>
      </c>
      <c r="G65" s="347">
        <v>4</v>
      </c>
      <c r="H65" s="347">
        <v>5</v>
      </c>
      <c r="I65" s="347">
        <v>6</v>
      </c>
      <c r="J65" s="347">
        <v>7</v>
      </c>
      <c r="K65" s="347">
        <v>8</v>
      </c>
      <c r="L65" s="347">
        <v>9</v>
      </c>
      <c r="M65" s="347">
        <v>10</v>
      </c>
      <c r="N65" s="347">
        <v>11</v>
      </c>
      <c r="O65" s="347">
        <v>12</v>
      </c>
      <c r="P65" s="347">
        <v>13</v>
      </c>
      <c r="Q65" s="347">
        <v>14</v>
      </c>
      <c r="R65" s="347">
        <v>15</v>
      </c>
      <c r="S65" s="347">
        <v>16</v>
      </c>
      <c r="T65" s="347">
        <v>17</v>
      </c>
      <c r="U65" s="347">
        <v>18</v>
      </c>
      <c r="V65" s="347">
        <v>19</v>
      </c>
      <c r="W65" s="347">
        <v>20</v>
      </c>
      <c r="X65" s="347">
        <v>21</v>
      </c>
      <c r="Y65" s="347">
        <v>22</v>
      </c>
      <c r="Z65" s="347">
        <v>23</v>
      </c>
      <c r="AA65" s="347">
        <v>24</v>
      </c>
      <c r="AB65" s="347">
        <v>25</v>
      </c>
    </row>
    <row r="66" spans="1:28" ht="14" x14ac:dyDescent="0.2">
      <c r="A66" s="34"/>
      <c r="B66" s="348" t="s">
        <v>267</v>
      </c>
      <c r="C66" s="375"/>
      <c r="D66" s="354">
        <f t="shared" ref="D66:V66" si="22">D25</f>
        <v>30097.112651658124</v>
      </c>
      <c r="E66" s="354">
        <f t="shared" si="22"/>
        <v>30695.292765609829</v>
      </c>
      <c r="F66" s="354">
        <f t="shared" si="22"/>
        <v>31305.36170932632</v>
      </c>
      <c r="G66" s="354">
        <f t="shared" si="22"/>
        <v>31927.55577329918</v>
      </c>
      <c r="H66" s="354">
        <f t="shared" si="22"/>
        <v>32562.115944293495</v>
      </c>
      <c r="I66" s="354">
        <f t="shared" si="22"/>
        <v>33209.287998686326</v>
      </c>
      <c r="J66" s="354">
        <f t="shared" si="22"/>
        <v>33869.322597660212</v>
      </c>
      <c r="K66" s="354">
        <f t="shared" si="22"/>
        <v>34542.4753842887</v>
      </c>
      <c r="L66" s="354">
        <f t="shared" si="22"/>
        <v>35229.007082551441</v>
      </c>
      <c r="M66" s="354">
        <f t="shared" si="22"/>
        <v>35929.183598317148</v>
      </c>
      <c r="N66" s="354">
        <f t="shared" si="22"/>
        <v>36643.276122333693</v>
      </c>
      <c r="O66" s="354">
        <f t="shared" si="22"/>
        <v>37371.561235265071</v>
      </c>
      <c r="P66" s="354">
        <f t="shared" si="22"/>
        <v>38114.321014815956</v>
      </c>
      <c r="Q66" s="354">
        <f t="shared" si="22"/>
        <v>38871.843144985418</v>
      </c>
      <c r="R66" s="354">
        <f t="shared" si="22"/>
        <v>39644.421027491997</v>
      </c>
      <c r="S66" s="354">
        <f t="shared" si="22"/>
        <v>40432.353895413398</v>
      </c>
      <c r="T66" s="354">
        <f t="shared" si="22"/>
        <v>41235.946929084741</v>
      </c>
      <c r="U66" s="354">
        <f t="shared" si="22"/>
        <v>42055.511374300295</v>
      </c>
      <c r="V66" s="354">
        <f t="shared" si="22"/>
        <v>42891.364662864507</v>
      </c>
      <c r="W66" s="354">
        <f t="shared" ref="W66:AB66" si="23">W25</f>
        <v>43743.830535538931</v>
      </c>
      <c r="X66" s="354">
        <f t="shared" si="23"/>
        <v>44613.239167432766</v>
      </c>
      <c r="Y66" s="354">
        <f t="shared" si="23"/>
        <v>45499.927295885493</v>
      </c>
      <c r="Z66" s="354">
        <f t="shared" si="23"/>
        <v>46404.23835089121</v>
      </c>
      <c r="AA66" s="354">
        <f t="shared" si="23"/>
        <v>47326.522588115171</v>
      </c>
      <c r="AB66" s="354">
        <f t="shared" si="23"/>
        <v>48267.137224553946</v>
      </c>
    </row>
    <row r="67" spans="1:28" ht="14" x14ac:dyDescent="0.2">
      <c r="A67" s="34"/>
      <c r="B67" s="348" t="s">
        <v>297</v>
      </c>
      <c r="C67" s="375"/>
      <c r="D67" s="354">
        <f>D66*(Taxpayer_Marginal_Rate+IF(Tax_Efficient_Status?="State &amp; Federal",State_Income_Tax_Rate,0))</f>
        <v>7072.8214731396592</v>
      </c>
      <c r="E67" s="354">
        <f t="shared" ref="E67:V67" si="24">E66*(Taxpayer_Marginal_Rate+IF(Tax_Efficient_Status?="State &amp; Federal",State_Income_Tax_Rate,0))</f>
        <v>7213.393799918309</v>
      </c>
      <c r="F67" s="354">
        <f t="shared" si="24"/>
        <v>7356.7600016916849</v>
      </c>
      <c r="G67" s="354">
        <f t="shared" si="24"/>
        <v>7502.9756067253065</v>
      </c>
      <c r="H67" s="354">
        <f t="shared" si="24"/>
        <v>7652.0972469089711</v>
      </c>
      <c r="I67" s="354">
        <f t="shared" si="24"/>
        <v>7804.1826796912865</v>
      </c>
      <c r="J67" s="354">
        <f t="shared" si="24"/>
        <v>7959.2908104501494</v>
      </c>
      <c r="K67" s="354">
        <f t="shared" si="24"/>
        <v>8117.4817153078438</v>
      </c>
      <c r="L67" s="354">
        <f t="shared" si="24"/>
        <v>8278.8166643995883</v>
      </c>
      <c r="M67" s="354">
        <f t="shared" si="24"/>
        <v>8443.3581456045285</v>
      </c>
      <c r="N67" s="354">
        <f t="shared" si="24"/>
        <v>8611.1698887484181</v>
      </c>
      <c r="O67" s="354">
        <f t="shared" si="24"/>
        <v>8782.3168902872912</v>
      </c>
      <c r="P67" s="354">
        <f t="shared" si="24"/>
        <v>8956.8654384817492</v>
      </c>
      <c r="Q67" s="354">
        <f t="shared" si="24"/>
        <v>9134.8831390715732</v>
      </c>
      <c r="R67" s="354">
        <f t="shared" si="24"/>
        <v>9316.4389414606194</v>
      </c>
      <c r="S67" s="354">
        <f t="shared" si="24"/>
        <v>9501.6031654221479</v>
      </c>
      <c r="T67" s="354">
        <f t="shared" si="24"/>
        <v>9690.4475283349129</v>
      </c>
      <c r="U67" s="354">
        <f t="shared" si="24"/>
        <v>9883.0451729605684</v>
      </c>
      <c r="V67" s="354">
        <f t="shared" si="24"/>
        <v>10079.470695773158</v>
      </c>
      <c r="W67" s="354">
        <f t="shared" ref="W67:AB67" si="25">W66*(Taxpayer_Marginal_Rate+IF(Tax_Efficient_Status?="State &amp; Federal",State_Income_Tax_Rate,0))</f>
        <v>10279.800175851648</v>
      </c>
      <c r="X67" s="354">
        <f t="shared" si="25"/>
        <v>10484.1112043467</v>
      </c>
      <c r="Y67" s="354">
        <f t="shared" si="25"/>
        <v>10692.48291453309</v>
      </c>
      <c r="Z67" s="354">
        <f t="shared" si="25"/>
        <v>10904.996012459434</v>
      </c>
      <c r="AA67" s="354">
        <f t="shared" si="25"/>
        <v>11121.732808207065</v>
      </c>
      <c r="AB67" s="354">
        <f t="shared" si="25"/>
        <v>11342.777247770176</v>
      </c>
    </row>
    <row r="68" spans="1:28" ht="14" x14ac:dyDescent="0.2">
      <c r="B68" s="348" t="s">
        <v>299</v>
      </c>
      <c r="C68" s="354">
        <f>Unstructured!C87</f>
        <v>-516721.91375344113</v>
      </c>
      <c r="D68" s="354">
        <f>Unstructured!D87</f>
        <v>175506.08209618859</v>
      </c>
      <c r="E68" s="354">
        <f>Unstructured!E87</f>
        <v>45977.279993484735</v>
      </c>
      <c r="F68" s="354">
        <f>Unstructured!F87</f>
        <v>34570.839544721843</v>
      </c>
      <c r="G68" s="354">
        <f>Unstructured!G87</f>
        <v>27865.520341718431</v>
      </c>
      <c r="H68" s="354">
        <f>Unstructured!H87</f>
        <v>28208.739949386858</v>
      </c>
      <c r="I68" s="354">
        <f>Unstructured!I87</f>
        <v>23277.370222819682</v>
      </c>
      <c r="J68" s="354">
        <f>Unstructured!J87</f>
        <v>18352.94358582914</v>
      </c>
      <c r="K68" s="354">
        <f>Unstructured!K87</f>
        <v>18716.995140793573</v>
      </c>
      <c r="L68" s="354">
        <f>Unstructured!L87</f>
        <v>19088.267956436848</v>
      </c>
      <c r="M68" s="354">
        <f>Unstructured!M87</f>
        <v>19466.905270035437</v>
      </c>
      <c r="N68" s="354">
        <f>Unstructured!N87</f>
        <v>19853.053160001084</v>
      </c>
      <c r="O68" s="354">
        <f>Unstructured!O87</f>
        <v>20246.860602234261</v>
      </c>
      <c r="P68" s="354">
        <f>Unstructured!P87</f>
        <v>20648.479527595395</v>
      </c>
      <c r="Q68" s="354">
        <f>Unstructured!Q87</f>
        <v>21058.064880515914</v>
      </c>
      <c r="R68" s="354">
        <f>Unstructured!R87</f>
        <v>21475.774678771926</v>
      </c>
      <c r="S68" s="354">
        <f>Unstructured!S87</f>
        <v>21901.770074443382</v>
      </c>
      <c r="T68" s="354">
        <f>Unstructured!T87</f>
        <v>22336.215416082432</v>
      </c>
      <c r="U68" s="354">
        <f>Unstructured!U87</f>
        <v>22779.278312114744</v>
      </c>
      <c r="V68" s="354">
        <f>Unstructured!V87</f>
        <v>23231.129695498457</v>
      </c>
      <c r="W68" s="354">
        <f>Unstructured!W87</f>
        <v>23691.943889665519</v>
      </c>
      <c r="X68" s="354">
        <f>Unstructured!X87</f>
        <v>24161.898675771045</v>
      </c>
      <c r="Y68" s="354">
        <f>Unstructured!Y87</f>
        <v>24641.175361276375</v>
      </c>
      <c r="Z68" s="354">
        <f>Unstructured!Z87</f>
        <v>25129.958849892624</v>
      </c>
      <c r="AA68" s="354">
        <f>Unstructured!AA87</f>
        <v>25628.437712911327</v>
      </c>
      <c r="AB68" s="354">
        <f>Unstructured!AB87</f>
        <v>103645.09132496623</v>
      </c>
    </row>
    <row r="69" spans="1:28" ht="14" x14ac:dyDescent="0.2">
      <c r="A69" s="34"/>
      <c r="B69" s="348" t="s">
        <v>243</v>
      </c>
      <c r="C69" s="354">
        <f t="shared" ref="C69:V69" si="26">C68+C67</f>
        <v>-516721.91375344113</v>
      </c>
      <c r="D69" s="354">
        <f t="shared" si="26"/>
        <v>182578.90356932825</v>
      </c>
      <c r="E69" s="354">
        <f t="shared" si="26"/>
        <v>53190.673793403046</v>
      </c>
      <c r="F69" s="354">
        <f t="shared" si="26"/>
        <v>41927.599546413527</v>
      </c>
      <c r="G69" s="354">
        <f t="shared" si="26"/>
        <v>35368.495948443735</v>
      </c>
      <c r="H69" s="354">
        <f t="shared" si="26"/>
        <v>35860.837196295826</v>
      </c>
      <c r="I69" s="354">
        <f t="shared" si="26"/>
        <v>31081.552902510968</v>
      </c>
      <c r="J69" s="354">
        <f t="shared" si="26"/>
        <v>26312.234396279287</v>
      </c>
      <c r="K69" s="354">
        <f t="shared" si="26"/>
        <v>26834.476856101417</v>
      </c>
      <c r="L69" s="354">
        <f t="shared" si="26"/>
        <v>27367.084620836438</v>
      </c>
      <c r="M69" s="354">
        <f t="shared" si="26"/>
        <v>27910.263415639965</v>
      </c>
      <c r="N69" s="354">
        <f t="shared" si="26"/>
        <v>28464.223048749504</v>
      </c>
      <c r="O69" s="354">
        <f t="shared" si="26"/>
        <v>29029.17749252155</v>
      </c>
      <c r="P69" s="354">
        <f t="shared" si="26"/>
        <v>29605.344966077144</v>
      </c>
      <c r="Q69" s="354">
        <f t="shared" si="26"/>
        <v>30192.948019587486</v>
      </c>
      <c r="R69" s="354">
        <f t="shared" si="26"/>
        <v>30792.213620232546</v>
      </c>
      <c r="S69" s="354">
        <f t="shared" si="26"/>
        <v>31403.37323986553</v>
      </c>
      <c r="T69" s="354">
        <f t="shared" si="26"/>
        <v>32026.662944417345</v>
      </c>
      <c r="U69" s="354">
        <f t="shared" si="26"/>
        <v>32662.323485075314</v>
      </c>
      <c r="V69" s="354">
        <f t="shared" si="26"/>
        <v>33310.600391271611</v>
      </c>
      <c r="W69" s="354">
        <f t="shared" ref="W69:AB69" si="27">W68+W67</f>
        <v>33971.744065517167</v>
      </c>
      <c r="X69" s="354">
        <f t="shared" si="27"/>
        <v>34646.009880117745</v>
      </c>
      <c r="Y69" s="354">
        <f t="shared" si="27"/>
        <v>35333.658275809466</v>
      </c>
      <c r="Z69" s="354">
        <f t="shared" si="27"/>
        <v>36034.95486235206</v>
      </c>
      <c r="AA69" s="354">
        <f t="shared" si="27"/>
        <v>36750.170521118394</v>
      </c>
      <c r="AB69" s="354">
        <f t="shared" si="27"/>
        <v>114987.86857273641</v>
      </c>
    </row>
    <row r="70" spans="1:28" ht="14" x14ac:dyDescent="0.2">
      <c r="A70" s="34"/>
      <c r="B70" s="348" t="s">
        <v>244</v>
      </c>
      <c r="C70" s="354">
        <f>NPV(Customer_Discount_Rate,C68:AB68)</f>
        <v>-34041.230292456283</v>
      </c>
      <c r="D70" s="354"/>
      <c r="E70" s="354"/>
      <c r="F70" s="354"/>
      <c r="G70" s="354"/>
      <c r="H70" s="354"/>
      <c r="I70" s="354"/>
      <c r="J70" s="354"/>
      <c r="K70" s="354"/>
      <c r="L70" s="354"/>
      <c r="M70" s="354"/>
      <c r="N70" s="354"/>
      <c r="O70" s="354"/>
      <c r="P70" s="354"/>
      <c r="Q70" s="354"/>
      <c r="R70" s="354"/>
      <c r="S70" s="354"/>
      <c r="T70" s="354"/>
      <c r="U70" s="354"/>
      <c r="V70" s="354"/>
      <c r="W70" s="354"/>
      <c r="X70" s="354"/>
      <c r="Y70" s="354"/>
      <c r="Z70" s="354"/>
      <c r="AA70" s="354"/>
      <c r="AB70" s="354"/>
    </row>
    <row r="71" spans="1:28" ht="15" thickBot="1" x14ac:dyDescent="0.25">
      <c r="A71" s="34"/>
      <c r="B71" s="376" t="s">
        <v>114</v>
      </c>
      <c r="C71" s="377">
        <f>IRR(C69:AB69)</f>
        <v>7.8633056929559908E-2</v>
      </c>
      <c r="D71" s="378"/>
      <c r="E71" s="378"/>
      <c r="F71" s="378"/>
      <c r="G71" s="378"/>
      <c r="H71" s="378"/>
      <c r="I71" s="378"/>
      <c r="J71" s="378"/>
      <c r="K71" s="378"/>
      <c r="L71" s="378"/>
      <c r="M71" s="378"/>
      <c r="N71" s="378"/>
      <c r="O71" s="378"/>
      <c r="P71" s="378"/>
      <c r="Q71" s="378"/>
      <c r="R71" s="378"/>
      <c r="S71" s="378"/>
      <c r="T71" s="378"/>
      <c r="U71" s="378"/>
      <c r="V71" s="378"/>
      <c r="W71" s="378"/>
      <c r="X71" s="378"/>
      <c r="Y71" s="378"/>
      <c r="Z71" s="378"/>
      <c r="AA71" s="378"/>
      <c r="AB71" s="378"/>
    </row>
    <row r="72" spans="1:28" ht="14" x14ac:dyDescent="0.2">
      <c r="A72" s="34"/>
      <c r="B72" s="344"/>
      <c r="C72" s="374"/>
      <c r="D72" s="362"/>
      <c r="E72" s="362"/>
      <c r="F72" s="362"/>
      <c r="G72" s="362"/>
      <c r="H72" s="362"/>
      <c r="I72" s="362"/>
      <c r="J72" s="362"/>
      <c r="K72" s="362"/>
      <c r="L72" s="362"/>
      <c r="M72" s="362"/>
      <c r="N72" s="362"/>
      <c r="O72" s="362"/>
      <c r="P72" s="362"/>
      <c r="Q72" s="362"/>
      <c r="R72" s="362"/>
      <c r="S72" s="362"/>
      <c r="T72" s="362"/>
      <c r="U72" s="362"/>
      <c r="V72" s="362"/>
      <c r="W72" s="362"/>
      <c r="X72" s="362"/>
      <c r="Y72" s="362"/>
      <c r="Z72" s="362"/>
      <c r="AA72" s="362"/>
      <c r="AB72" s="362"/>
    </row>
    <row r="73" spans="1:28" ht="14" x14ac:dyDescent="0.2">
      <c r="A73" s="34"/>
      <c r="B73" s="344"/>
      <c r="C73" s="374"/>
      <c r="D73" s="362"/>
      <c r="E73" s="362"/>
      <c r="F73" s="362"/>
      <c r="G73" s="362"/>
      <c r="H73" s="362"/>
      <c r="I73" s="362"/>
      <c r="J73" s="362"/>
      <c r="K73" s="362"/>
      <c r="L73" s="362"/>
      <c r="M73" s="362"/>
      <c r="N73" s="362"/>
      <c r="O73" s="362"/>
      <c r="P73" s="362"/>
      <c r="Q73" s="362"/>
      <c r="R73" s="362"/>
      <c r="S73" s="362"/>
      <c r="T73" s="362"/>
      <c r="U73" s="362"/>
      <c r="V73" s="362"/>
      <c r="W73" s="362"/>
      <c r="X73" s="362"/>
      <c r="Y73" s="362"/>
      <c r="Z73" s="362"/>
      <c r="AA73" s="362"/>
      <c r="AB73" s="362"/>
    </row>
    <row r="74" spans="1:28" ht="15" thickBot="1" x14ac:dyDescent="0.25">
      <c r="A74" s="34"/>
      <c r="B74" s="379"/>
      <c r="C74" s="379"/>
      <c r="D74" s="379"/>
      <c r="E74" s="379"/>
      <c r="F74" s="379"/>
      <c r="G74" s="379"/>
      <c r="H74" s="379"/>
      <c r="I74" s="379"/>
      <c r="J74" s="379"/>
      <c r="K74" s="379"/>
      <c r="L74" s="379"/>
      <c r="M74" s="379"/>
      <c r="N74" s="379"/>
      <c r="O74" s="379"/>
      <c r="P74" s="379"/>
      <c r="Q74" s="379"/>
      <c r="R74" s="379"/>
      <c r="S74" s="379"/>
      <c r="T74" s="379"/>
      <c r="U74" s="379"/>
      <c r="V74" s="379"/>
      <c r="W74" s="379"/>
      <c r="X74" s="379"/>
      <c r="Y74" s="379"/>
      <c r="Z74" s="379"/>
      <c r="AA74" s="379"/>
      <c r="AB74" s="379"/>
    </row>
    <row r="75" spans="1:28" ht="15" thickTop="1" x14ac:dyDescent="0.2">
      <c r="A75" s="34"/>
      <c r="B75" s="343"/>
      <c r="C75" s="343"/>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row>
    <row r="76" spans="1:28" ht="19" x14ac:dyDescent="0.25">
      <c r="A76" s="34"/>
      <c r="B76" s="342" t="s">
        <v>363</v>
      </c>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343"/>
      <c r="AB76" s="343"/>
    </row>
    <row r="77" spans="1:28" ht="19" x14ac:dyDescent="0.25">
      <c r="A77" s="34"/>
      <c r="B77" s="342"/>
      <c r="C77" s="343"/>
      <c r="D77" s="343"/>
      <c r="E77" s="343"/>
      <c r="F77" s="343"/>
      <c r="G77" s="343"/>
      <c r="H77" s="343"/>
      <c r="I77" s="343"/>
      <c r="J77" s="343"/>
      <c r="K77" s="343"/>
      <c r="L77" s="343"/>
      <c r="M77" s="343"/>
      <c r="N77" s="343"/>
      <c r="O77" s="343"/>
      <c r="P77" s="343"/>
      <c r="Q77" s="343"/>
      <c r="R77" s="343"/>
      <c r="S77" s="343"/>
      <c r="T77" s="343"/>
      <c r="U77" s="343"/>
      <c r="V77" s="343"/>
      <c r="W77" s="343"/>
      <c r="X77" s="343"/>
      <c r="Y77" s="343"/>
      <c r="Z77" s="343"/>
      <c r="AA77" s="343"/>
      <c r="AB77" s="343"/>
    </row>
    <row r="78" spans="1:28" ht="16" x14ac:dyDescent="0.2">
      <c r="A78" s="34"/>
      <c r="B78" s="600" t="s">
        <v>266</v>
      </c>
      <c r="C78" s="600"/>
      <c r="D78" s="600">
        <v>1</v>
      </c>
      <c r="E78" s="343"/>
      <c r="F78" s="343"/>
      <c r="G78" s="343"/>
      <c r="H78" s="343"/>
      <c r="I78" s="343"/>
      <c r="J78" s="343"/>
      <c r="K78" s="343"/>
      <c r="L78" s="343"/>
      <c r="M78" s="343"/>
      <c r="N78" s="343"/>
      <c r="O78" s="343"/>
      <c r="P78" s="343"/>
      <c r="Q78" s="343"/>
      <c r="R78" s="343"/>
      <c r="S78" s="343"/>
      <c r="T78" s="343"/>
      <c r="U78" s="343"/>
      <c r="V78" s="343"/>
      <c r="W78" s="343"/>
      <c r="X78" s="343"/>
      <c r="Y78" s="343"/>
      <c r="Z78" s="343"/>
      <c r="AA78" s="343"/>
      <c r="AB78" s="343"/>
    </row>
    <row r="79" spans="1:28" ht="14" x14ac:dyDescent="0.2">
      <c r="B79" s="380" t="s">
        <v>286</v>
      </c>
      <c r="C79" s="381">
        <v>0</v>
      </c>
      <c r="D79" s="382">
        <v>1</v>
      </c>
      <c r="E79" s="382">
        <v>2</v>
      </c>
      <c r="F79" s="382">
        <v>3</v>
      </c>
      <c r="G79" s="382">
        <v>4</v>
      </c>
      <c r="H79" s="382">
        <v>5</v>
      </c>
      <c r="I79" s="382">
        <v>6</v>
      </c>
      <c r="J79" s="382">
        <v>7</v>
      </c>
      <c r="K79" s="382">
        <v>8</v>
      </c>
      <c r="L79" s="382">
        <v>9</v>
      </c>
      <c r="M79" s="382">
        <v>10</v>
      </c>
      <c r="N79" s="382">
        <v>11</v>
      </c>
      <c r="O79" s="382">
        <v>12</v>
      </c>
      <c r="P79" s="382">
        <v>13</v>
      </c>
      <c r="Q79" s="382">
        <v>14</v>
      </c>
      <c r="R79" s="382">
        <v>15</v>
      </c>
      <c r="S79" s="382">
        <v>16</v>
      </c>
      <c r="T79" s="382">
        <v>17</v>
      </c>
      <c r="U79" s="382">
        <v>18</v>
      </c>
      <c r="V79" s="382">
        <v>19</v>
      </c>
      <c r="W79" s="382">
        <v>20</v>
      </c>
      <c r="X79" s="382">
        <v>21</v>
      </c>
      <c r="Y79" s="382">
        <v>22</v>
      </c>
      <c r="Z79" s="382">
        <v>23</v>
      </c>
      <c r="AA79" s="382">
        <v>24</v>
      </c>
      <c r="AB79" s="382">
        <v>25</v>
      </c>
    </row>
    <row r="80" spans="1:28" ht="14" x14ac:dyDescent="0.2">
      <c r="B80" s="383" t="s">
        <v>298</v>
      </c>
      <c r="C80" s="384"/>
      <c r="D80" s="354">
        <f t="shared" ref="D80:V80" si="28">D27</f>
        <v>252.02710035484051</v>
      </c>
      <c r="E80" s="354">
        <f t="shared" si="28"/>
        <v>257.03613897439209</v>
      </c>
      <c r="F80" s="354">
        <f t="shared" si="28"/>
        <v>262.1447322365093</v>
      </c>
      <c r="G80" s="354">
        <f t="shared" si="28"/>
        <v>267.35485878971303</v>
      </c>
      <c r="H80" s="354">
        <f t="shared" si="28"/>
        <v>272.66853660815468</v>
      </c>
      <c r="I80" s="354">
        <f t="shared" si="28"/>
        <v>278.08782377323951</v>
      </c>
      <c r="J80" s="354">
        <f t="shared" si="28"/>
        <v>283.61481927073328</v>
      </c>
      <c r="K80" s="354">
        <f t="shared" si="28"/>
        <v>289.25166380373412</v>
      </c>
      <c r="L80" s="354">
        <f t="shared" si="28"/>
        <v>295.00054062184063</v>
      </c>
      <c r="M80" s="354">
        <f t="shared" si="28"/>
        <v>300.86367636669456</v>
      </c>
      <c r="N80" s="354">
        <f t="shared" si="28"/>
        <v>306.84334193448012</v>
      </c>
      <c r="O80" s="354">
        <f t="shared" si="28"/>
        <v>312.94185335543443</v>
      </c>
      <c r="P80" s="354">
        <f t="shared" si="28"/>
        <v>319.16157269087125</v>
      </c>
      <c r="Q80" s="354">
        <f t="shared" si="28"/>
        <v>325.50490894809627</v>
      </c>
      <c r="R80" s="354">
        <f t="shared" si="28"/>
        <v>331.97431901343953</v>
      </c>
      <c r="S80" s="354">
        <f t="shared" si="28"/>
        <v>338.57230860383424</v>
      </c>
      <c r="T80" s="354">
        <f t="shared" si="28"/>
        <v>345.30143323734228</v>
      </c>
      <c r="U80" s="354">
        <f t="shared" si="28"/>
        <v>352.16429922293173</v>
      </c>
      <c r="V80" s="354">
        <f t="shared" si="28"/>
        <v>359.16356466998695</v>
      </c>
      <c r="W80" s="354">
        <f t="shared" ref="W80:AB80" si="29">W27</f>
        <v>366.30194051780563</v>
      </c>
      <c r="X80" s="354">
        <f t="shared" si="29"/>
        <v>373.5821915855995</v>
      </c>
      <c r="Y80" s="354">
        <f t="shared" si="29"/>
        <v>381.00713764336979</v>
      </c>
      <c r="Z80" s="354">
        <f t="shared" si="29"/>
        <v>388.57965450402116</v>
      </c>
      <c r="AA80" s="354">
        <f t="shared" si="29"/>
        <v>396.30267513729632</v>
      </c>
      <c r="AB80" s="354">
        <f t="shared" si="29"/>
        <v>404.17919080564752</v>
      </c>
    </row>
    <row r="81" spans="1:28" ht="14" x14ac:dyDescent="0.2">
      <c r="B81" s="383" t="s">
        <v>450</v>
      </c>
      <c r="C81" s="384"/>
      <c r="D81" s="354">
        <f>D28</f>
        <v>3887.4071055445561</v>
      </c>
      <c r="E81" s="364"/>
      <c r="F81" s="364"/>
      <c r="G81" s="364"/>
      <c r="H81" s="364"/>
      <c r="I81" s="364"/>
      <c r="J81" s="364"/>
      <c r="K81" s="364"/>
      <c r="L81" s="364"/>
      <c r="M81" s="364"/>
      <c r="N81" s="364"/>
      <c r="O81" s="364"/>
      <c r="P81" s="364"/>
      <c r="Q81" s="364"/>
      <c r="R81" s="364"/>
      <c r="S81" s="364"/>
      <c r="T81" s="364"/>
      <c r="U81" s="364"/>
      <c r="V81" s="364"/>
      <c r="W81" s="364"/>
      <c r="X81" s="364"/>
      <c r="Y81" s="364"/>
      <c r="Z81" s="364"/>
      <c r="AA81" s="364"/>
      <c r="AB81" s="364"/>
    </row>
    <row r="82" spans="1:28" ht="14" x14ac:dyDescent="0.2">
      <c r="B82" s="385"/>
      <c r="C82" s="384"/>
      <c r="D82" s="364"/>
      <c r="E82" s="364"/>
      <c r="F82" s="364"/>
      <c r="G82" s="364"/>
      <c r="H82" s="364"/>
      <c r="I82" s="364"/>
      <c r="J82" s="364"/>
      <c r="K82" s="364"/>
      <c r="L82" s="364"/>
      <c r="M82" s="364"/>
      <c r="N82" s="364"/>
      <c r="O82" s="364"/>
      <c r="P82" s="364"/>
      <c r="Q82" s="364"/>
      <c r="R82" s="364"/>
      <c r="S82" s="364"/>
      <c r="T82" s="364"/>
      <c r="U82" s="364"/>
      <c r="V82" s="364"/>
      <c r="W82" s="364"/>
      <c r="X82" s="364"/>
      <c r="Y82" s="364"/>
      <c r="Z82" s="364"/>
      <c r="AA82" s="364"/>
      <c r="AB82" s="364"/>
    </row>
    <row r="83" spans="1:28" ht="14" x14ac:dyDescent="0.2">
      <c r="B83" s="601" t="s">
        <v>207</v>
      </c>
      <c r="C83" s="602"/>
      <c r="D83" s="354"/>
      <c r="E83" s="364"/>
      <c r="F83" s="364"/>
      <c r="G83" s="364"/>
      <c r="H83" s="364"/>
      <c r="I83" s="364"/>
      <c r="J83" s="364"/>
      <c r="K83" s="364"/>
      <c r="L83" s="364"/>
      <c r="M83" s="364"/>
      <c r="N83" s="364"/>
      <c r="O83" s="364"/>
      <c r="P83" s="364"/>
      <c r="Q83" s="364"/>
      <c r="R83" s="364"/>
      <c r="S83" s="364"/>
      <c r="T83" s="364"/>
      <c r="U83" s="364"/>
      <c r="V83" s="364"/>
      <c r="W83" s="364"/>
      <c r="X83" s="364"/>
      <c r="Y83" s="364"/>
      <c r="Z83" s="364"/>
      <c r="AA83" s="364"/>
      <c r="AB83" s="364"/>
    </row>
    <row r="84" spans="1:28" ht="14" x14ac:dyDescent="0.2">
      <c r="B84" s="386" t="s">
        <v>208</v>
      </c>
      <c r="C84" s="387">
        <f t="shared" ref="C84:C89" si="30">C56</f>
        <v>6.4230132116856881E-2</v>
      </c>
      <c r="D84" s="364"/>
      <c r="E84" s="364"/>
      <c r="F84" s="364"/>
      <c r="G84" s="364"/>
      <c r="H84" s="364"/>
      <c r="I84" s="364"/>
      <c r="J84" s="364"/>
      <c r="K84" s="364"/>
      <c r="L84" s="364"/>
      <c r="M84" s="364"/>
      <c r="N84" s="364"/>
      <c r="O84" s="364"/>
      <c r="P84" s="364"/>
      <c r="Q84" s="364"/>
      <c r="R84" s="364"/>
      <c r="S84" s="364"/>
      <c r="T84" s="364"/>
      <c r="U84" s="364"/>
      <c r="V84" s="364"/>
      <c r="W84" s="364"/>
      <c r="X84" s="364"/>
      <c r="Y84" s="364"/>
      <c r="Z84" s="364"/>
      <c r="AA84" s="364"/>
      <c r="AB84" s="364"/>
    </row>
    <row r="85" spans="1:28" ht="14" x14ac:dyDescent="0.2">
      <c r="B85" s="386" t="s">
        <v>209</v>
      </c>
      <c r="C85" s="387">
        <f t="shared" si="30"/>
        <v>5.9921503919419229E-2</v>
      </c>
      <c r="D85" s="364"/>
      <c r="E85" s="364"/>
      <c r="F85" s="364"/>
      <c r="G85" s="364"/>
      <c r="H85" s="364"/>
      <c r="I85" s="364"/>
      <c r="J85" s="364"/>
      <c r="K85" s="364"/>
      <c r="L85" s="364"/>
      <c r="M85" s="364"/>
      <c r="N85" s="364"/>
      <c r="O85" s="364"/>
      <c r="P85" s="364"/>
      <c r="Q85" s="364"/>
      <c r="R85" s="364"/>
      <c r="S85" s="364"/>
      <c r="T85" s="364"/>
      <c r="U85" s="364"/>
      <c r="V85" s="364"/>
      <c r="W85" s="364"/>
      <c r="X85" s="364"/>
      <c r="Y85" s="364"/>
      <c r="Z85" s="364"/>
      <c r="AA85" s="364"/>
      <c r="AB85" s="364"/>
    </row>
    <row r="86" spans="1:28" ht="14" x14ac:dyDescent="0.2">
      <c r="B86" s="386" t="s">
        <v>89</v>
      </c>
      <c r="C86" s="387">
        <f t="shared" si="30"/>
        <v>6.8998893254983359E-2</v>
      </c>
      <c r="D86" s="364"/>
      <c r="E86" s="364"/>
      <c r="F86" s="364"/>
      <c r="G86" s="364"/>
      <c r="H86" s="364"/>
      <c r="I86" s="364"/>
      <c r="J86" s="364"/>
      <c r="K86" s="364"/>
      <c r="L86" s="364"/>
      <c r="M86" s="364"/>
      <c r="N86" s="364"/>
      <c r="O86" s="364"/>
      <c r="P86" s="364"/>
      <c r="Q86" s="364"/>
      <c r="R86" s="364"/>
      <c r="S86" s="364"/>
      <c r="T86" s="364"/>
      <c r="U86" s="364"/>
      <c r="V86" s="364"/>
      <c r="W86" s="364"/>
      <c r="X86" s="364"/>
      <c r="Y86" s="364"/>
      <c r="Z86" s="364"/>
      <c r="AA86" s="364"/>
      <c r="AB86" s="364"/>
    </row>
    <row r="87" spans="1:28" ht="14" x14ac:dyDescent="0.2">
      <c r="B87" s="386" t="s">
        <v>90</v>
      </c>
      <c r="C87" s="387">
        <f t="shared" si="30"/>
        <v>8.3555060822166877E-2</v>
      </c>
      <c r="D87" s="364"/>
      <c r="E87" s="364"/>
      <c r="F87" s="364"/>
      <c r="G87" s="364"/>
      <c r="H87" s="364"/>
      <c r="I87" s="364"/>
      <c r="J87" s="364"/>
      <c r="K87" s="364"/>
      <c r="L87" s="364"/>
      <c r="M87" s="364"/>
      <c r="N87" s="364"/>
      <c r="O87" s="364"/>
      <c r="P87" s="364"/>
      <c r="Q87" s="364"/>
      <c r="R87" s="364"/>
      <c r="S87" s="364"/>
      <c r="T87" s="364"/>
      <c r="U87" s="364"/>
      <c r="V87" s="364"/>
      <c r="W87" s="364"/>
      <c r="X87" s="364"/>
      <c r="Y87" s="364"/>
      <c r="Z87" s="364"/>
      <c r="AA87" s="364"/>
      <c r="AB87" s="364"/>
    </row>
    <row r="88" spans="1:28" ht="14" x14ac:dyDescent="0.2">
      <c r="B88" s="386" t="s">
        <v>91</v>
      </c>
      <c r="C88" s="387">
        <f t="shared" si="30"/>
        <v>9.6670065956400764E-2</v>
      </c>
      <c r="D88" s="364"/>
      <c r="E88" s="364"/>
      <c r="F88" s="364"/>
      <c r="G88" s="364"/>
      <c r="H88" s="364"/>
      <c r="I88" s="364"/>
      <c r="J88" s="364"/>
      <c r="K88" s="364"/>
      <c r="L88" s="364"/>
      <c r="M88" s="364"/>
      <c r="N88" s="364"/>
      <c r="O88" s="364"/>
      <c r="P88" s="364"/>
      <c r="Q88" s="364"/>
      <c r="R88" s="364"/>
      <c r="S88" s="364"/>
      <c r="T88" s="364"/>
      <c r="U88" s="364"/>
      <c r="V88" s="364"/>
      <c r="W88" s="364"/>
      <c r="X88" s="364"/>
      <c r="Y88" s="364"/>
      <c r="Z88" s="364"/>
      <c r="AA88" s="364"/>
      <c r="AB88" s="364"/>
    </row>
    <row r="89" spans="1:28" ht="14" x14ac:dyDescent="0.2">
      <c r="B89" s="388" t="s">
        <v>449</v>
      </c>
      <c r="C89" s="389">
        <f t="shared" si="30"/>
        <v>0.11034078496741632</v>
      </c>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c r="AB89" s="364"/>
    </row>
    <row r="90" spans="1:28" ht="14" x14ac:dyDescent="0.2">
      <c r="B90" s="385"/>
      <c r="C90" s="384"/>
      <c r="D90" s="364"/>
      <c r="E90" s="364"/>
      <c r="F90" s="364"/>
      <c r="G90" s="364"/>
      <c r="H90" s="364"/>
      <c r="I90" s="364"/>
      <c r="J90" s="364"/>
      <c r="K90" s="364"/>
      <c r="L90" s="364"/>
      <c r="M90" s="364"/>
      <c r="N90" s="364"/>
      <c r="O90" s="364"/>
      <c r="P90" s="364"/>
      <c r="Q90" s="364"/>
      <c r="R90" s="364"/>
      <c r="S90" s="364"/>
      <c r="T90" s="364"/>
      <c r="U90" s="364"/>
      <c r="V90" s="364"/>
      <c r="W90" s="364"/>
      <c r="X90" s="364"/>
      <c r="Y90" s="364"/>
      <c r="Z90" s="364"/>
      <c r="AA90" s="364"/>
      <c r="AB90" s="364"/>
    </row>
    <row r="91" spans="1:28" ht="14" x14ac:dyDescent="0.2">
      <c r="B91" s="386" t="s">
        <v>139</v>
      </c>
      <c r="C91" s="384"/>
      <c r="D91" s="390">
        <f t="shared" ref="D91:V91" si="31">D22+D23</f>
        <v>7.3648296020305801E-2</v>
      </c>
      <c r="E91" s="390">
        <f t="shared" si="31"/>
        <v>7.5489503420813439E-2</v>
      </c>
      <c r="F91" s="390">
        <f t="shared" si="31"/>
        <v>7.7376741006333766E-2</v>
      </c>
      <c r="G91" s="390">
        <f t="shared" si="31"/>
        <v>7.9311159531492106E-2</v>
      </c>
      <c r="H91" s="390">
        <f t="shared" si="31"/>
        <v>8.1293938519779396E-2</v>
      </c>
      <c r="I91" s="390">
        <f t="shared" si="31"/>
        <v>8.3326286982773876E-2</v>
      </c>
      <c r="J91" s="390">
        <f t="shared" si="31"/>
        <v>8.5409444157343209E-2</v>
      </c>
      <c r="K91" s="390">
        <f t="shared" si="31"/>
        <v>8.7544680261276778E-2</v>
      </c>
      <c r="L91" s="390">
        <f t="shared" si="31"/>
        <v>8.9733297267808695E-2</v>
      </c>
      <c r="M91" s="390">
        <f t="shared" si="31"/>
        <v>9.1976629699503903E-2</v>
      </c>
      <c r="N91" s="390">
        <f t="shared" si="31"/>
        <v>9.4276045441991488E-2</v>
      </c>
      <c r="O91" s="390">
        <f t="shared" si="31"/>
        <v>9.6632946578041265E-2</v>
      </c>
      <c r="P91" s="390">
        <f t="shared" si="31"/>
        <v>9.9048770242492284E-2</v>
      </c>
      <c r="Q91" s="390">
        <f t="shared" si="31"/>
        <v>0.10152498949855458</v>
      </c>
      <c r="R91" s="390">
        <f t="shared" si="31"/>
        <v>0.10406311423601844</v>
      </c>
      <c r="S91" s="390">
        <f t="shared" si="31"/>
        <v>0.10666469209191889</v>
      </c>
      <c r="T91" s="390">
        <f t="shared" si="31"/>
        <v>0.10933130939421686</v>
      </c>
      <c r="U91" s="390">
        <f t="shared" si="31"/>
        <v>0.11206459212907227</v>
      </c>
      <c r="V91" s="390">
        <f t="shared" si="31"/>
        <v>0.11486620693229907</v>
      </c>
      <c r="W91" s="390">
        <f t="shared" ref="W91:AB91" si="32">W22+W23</f>
        <v>0.11773786210560654</v>
      </c>
      <c r="X91" s="390">
        <f t="shared" si="32"/>
        <v>0.12068130865824669</v>
      </c>
      <c r="Y91" s="390">
        <f t="shared" si="32"/>
        <v>0.12369834137470286</v>
      </c>
      <c r="Z91" s="390">
        <f t="shared" si="32"/>
        <v>0.12679079990907041</v>
      </c>
      <c r="AA91" s="390">
        <f t="shared" si="32"/>
        <v>0.12996056990679716</v>
      </c>
      <c r="AB91" s="390">
        <f t="shared" si="32"/>
        <v>0.13320958415446707</v>
      </c>
    </row>
    <row r="92" spans="1:28" ht="14" x14ac:dyDescent="0.2">
      <c r="B92" s="386" t="s">
        <v>115</v>
      </c>
      <c r="C92" s="384"/>
      <c r="D92" s="390">
        <f t="shared" ref="D92:V92" si="33">D24</f>
        <v>7.3031580167629145E-2</v>
      </c>
      <c r="E92" s="390">
        <f t="shared" si="33"/>
        <v>7.4857369671819871E-2</v>
      </c>
      <c r="F92" s="390">
        <f t="shared" si="33"/>
        <v>7.6728803913615362E-2</v>
      </c>
      <c r="G92" s="390">
        <f t="shared" si="33"/>
        <v>7.8647024011455735E-2</v>
      </c>
      <c r="H92" s="390">
        <f t="shared" si="33"/>
        <v>8.0613199611742126E-2</v>
      </c>
      <c r="I92" s="390">
        <f t="shared" si="33"/>
        <v>8.2628529602035677E-2</v>
      </c>
      <c r="J92" s="390">
        <f t="shared" si="33"/>
        <v>8.4694242842086556E-2</v>
      </c>
      <c r="K92" s="390">
        <f t="shared" si="33"/>
        <v>8.6811598913138707E-2</v>
      </c>
      <c r="L92" s="390">
        <f t="shared" si="33"/>
        <v>8.898188888596717E-2</v>
      </c>
      <c r="M92" s="390">
        <f t="shared" si="33"/>
        <v>9.1206436108116337E-2</v>
      </c>
      <c r="N92" s="390">
        <f t="shared" si="33"/>
        <v>9.3486597010819239E-2</v>
      </c>
      <c r="O92" s="390">
        <f t="shared" si="33"/>
        <v>9.5823761936089713E-2</v>
      </c>
      <c r="P92" s="390">
        <f t="shared" si="33"/>
        <v>9.8219355984491941E-2</v>
      </c>
      <c r="Q92" s="390">
        <f t="shared" si="33"/>
        <v>0.10067483988410424</v>
      </c>
      <c r="R92" s="390">
        <f t="shared" si="33"/>
        <v>0.10319171088120684</v>
      </c>
      <c r="S92" s="390">
        <f t="shared" si="33"/>
        <v>0.105771503653237</v>
      </c>
      <c r="T92" s="390">
        <f t="shared" si="33"/>
        <v>0.10841579124456791</v>
      </c>
      <c r="U92" s="390">
        <f t="shared" si="33"/>
        <v>0.1111261860256821</v>
      </c>
      <c r="V92" s="390">
        <f t="shared" si="33"/>
        <v>0.11390434067632414</v>
      </c>
      <c r="W92" s="390">
        <f t="shared" ref="W92:AB92" si="34">W24</f>
        <v>0.11675194919323223</v>
      </c>
      <c r="X92" s="390">
        <f t="shared" si="34"/>
        <v>0.11967074792306302</v>
      </c>
      <c r="Y92" s="390">
        <f t="shared" si="34"/>
        <v>0.12266251662113958</v>
      </c>
      <c r="Z92" s="390">
        <f t="shared" si="34"/>
        <v>0.12572907953666806</v>
      </c>
      <c r="AA92" s="390">
        <f t="shared" si="34"/>
        <v>0.12887230652508475</v>
      </c>
      <c r="AB92" s="390">
        <f t="shared" si="34"/>
        <v>0.13209411418821185</v>
      </c>
    </row>
    <row r="93" spans="1:28" ht="14" x14ac:dyDescent="0.2">
      <c r="B93" s="385"/>
      <c r="C93" s="384"/>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c r="AB93" s="364"/>
    </row>
    <row r="94" spans="1:28" ht="14" x14ac:dyDescent="0.2">
      <c r="B94" s="386" t="s">
        <v>120</v>
      </c>
      <c r="C94" s="384"/>
      <c r="D94" s="391">
        <f t="shared" ref="D94:V94" si="35">D19</f>
        <v>4341619.9345465563</v>
      </c>
      <c r="E94" s="391">
        <f t="shared" si="35"/>
        <v>4343663.2345465561</v>
      </c>
      <c r="F94" s="391">
        <f t="shared" si="35"/>
        <v>4345696.3180465559</v>
      </c>
      <c r="G94" s="391">
        <f t="shared" si="35"/>
        <v>4347719.2361290557</v>
      </c>
      <c r="H94" s="391">
        <f t="shared" si="35"/>
        <v>4349732.0396211436</v>
      </c>
      <c r="I94" s="391">
        <f t="shared" si="35"/>
        <v>4351734.7790957708</v>
      </c>
      <c r="J94" s="391">
        <f t="shared" si="35"/>
        <v>4353727.5048730243</v>
      </c>
      <c r="K94" s="391">
        <f t="shared" si="35"/>
        <v>4355710.2670213925</v>
      </c>
      <c r="L94" s="391">
        <f t="shared" si="35"/>
        <v>4357683.1153590176</v>
      </c>
      <c r="M94" s="391">
        <f t="shared" si="35"/>
        <v>4359646.0994549552</v>
      </c>
      <c r="N94" s="391">
        <f t="shared" si="35"/>
        <v>4361599.2686304133</v>
      </c>
      <c r="O94" s="391">
        <f t="shared" si="35"/>
        <v>4363542.6719599944</v>
      </c>
      <c r="P94" s="391">
        <f t="shared" si="35"/>
        <v>4365476.3582729269</v>
      </c>
      <c r="Q94" s="391">
        <f t="shared" si="35"/>
        <v>4367400.3761542952</v>
      </c>
      <c r="R94" s="391">
        <f t="shared" si="35"/>
        <v>4369314.7739462564</v>
      </c>
      <c r="S94" s="391">
        <f t="shared" si="35"/>
        <v>4371219.5997492578</v>
      </c>
      <c r="T94" s="391">
        <f t="shared" si="35"/>
        <v>4373114.9014232447</v>
      </c>
      <c r="U94" s="391">
        <f t="shared" si="35"/>
        <v>4375000.7265888611</v>
      </c>
      <c r="V94" s="391">
        <f t="shared" si="35"/>
        <v>4376877.1226286497</v>
      </c>
      <c r="W94" s="391">
        <f t="shared" ref="W94:AB94" si="36">W19</f>
        <v>4378744.1366882389</v>
      </c>
      <c r="X94" s="391">
        <f t="shared" si="36"/>
        <v>4380601.8156775311</v>
      </c>
      <c r="Y94" s="391">
        <f t="shared" si="36"/>
        <v>4382450.2062718756</v>
      </c>
      <c r="Z94" s="391">
        <f t="shared" si="36"/>
        <v>4384289.3549132496</v>
      </c>
      <c r="AA94" s="391">
        <f t="shared" si="36"/>
        <v>4386119.3078114158</v>
      </c>
      <c r="AB94" s="391">
        <f t="shared" si="36"/>
        <v>4387940.1109450916</v>
      </c>
    </row>
    <row r="95" spans="1:28" ht="14" x14ac:dyDescent="0.2">
      <c r="A95" t="s">
        <v>246</v>
      </c>
      <c r="B95" s="388" t="s">
        <v>121</v>
      </c>
      <c r="C95" s="392"/>
      <c r="D95" s="393">
        <f t="shared" ref="D95:V95" si="37">D21</f>
        <v>408659.99999999942</v>
      </c>
      <c r="E95" s="393">
        <f t="shared" si="37"/>
        <v>406616.69999999943</v>
      </c>
      <c r="F95" s="393">
        <f t="shared" si="37"/>
        <v>404583.61649999942</v>
      </c>
      <c r="G95" s="393">
        <f t="shared" si="37"/>
        <v>402560.69841749943</v>
      </c>
      <c r="H95" s="393">
        <f t="shared" si="37"/>
        <v>400547.89492541191</v>
      </c>
      <c r="I95" s="393">
        <f t="shared" si="37"/>
        <v>398545.15545078483</v>
      </c>
      <c r="J95" s="393">
        <f t="shared" si="37"/>
        <v>396552.42967353092</v>
      </c>
      <c r="K95" s="393">
        <f t="shared" si="37"/>
        <v>394569.66752516327</v>
      </c>
      <c r="L95" s="393">
        <f t="shared" si="37"/>
        <v>392596.81918753748</v>
      </c>
      <c r="M95" s="393">
        <f t="shared" si="37"/>
        <v>390633.83509159979</v>
      </c>
      <c r="N95" s="393">
        <f t="shared" si="37"/>
        <v>388680.66591614176</v>
      </c>
      <c r="O95" s="393">
        <f t="shared" si="37"/>
        <v>386737.26258656103</v>
      </c>
      <c r="P95" s="393">
        <f t="shared" si="37"/>
        <v>384803.57627362822</v>
      </c>
      <c r="Q95" s="393">
        <f t="shared" si="37"/>
        <v>382879.55839226005</v>
      </c>
      <c r="R95" s="393">
        <f t="shared" si="37"/>
        <v>380965.16060029872</v>
      </c>
      <c r="S95" s="393">
        <f t="shared" si="37"/>
        <v>379060.33479729726</v>
      </c>
      <c r="T95" s="393">
        <f t="shared" si="37"/>
        <v>377165.03312331077</v>
      </c>
      <c r="U95" s="393">
        <f t="shared" si="37"/>
        <v>375279.20795769419</v>
      </c>
      <c r="V95" s="393">
        <f t="shared" si="37"/>
        <v>373402.8119179057</v>
      </c>
      <c r="W95" s="393">
        <f t="shared" ref="W95:AB95" si="38">W21</f>
        <v>371535.79785831616</v>
      </c>
      <c r="X95" s="393">
        <f t="shared" si="38"/>
        <v>369678.11886902456</v>
      </c>
      <c r="Y95" s="393">
        <f t="shared" si="38"/>
        <v>367829.72827467945</v>
      </c>
      <c r="Z95" s="393">
        <f t="shared" si="38"/>
        <v>365990.57963330607</v>
      </c>
      <c r="AA95" s="393">
        <f t="shared" si="38"/>
        <v>364160.62673513952</v>
      </c>
      <c r="AB95" s="393">
        <f t="shared" si="38"/>
        <v>362339.82360146381</v>
      </c>
    </row>
    <row r="96" spans="1:28" ht="14" x14ac:dyDescent="0.2">
      <c r="B96" s="343"/>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343"/>
      <c r="AB96" s="343"/>
    </row>
    <row r="97" spans="2:28" ht="14" x14ac:dyDescent="0.2">
      <c r="B97" s="343"/>
      <c r="C97" s="343"/>
      <c r="D97" s="343"/>
      <c r="E97" s="343"/>
      <c r="F97" s="343"/>
      <c r="G97" s="343"/>
      <c r="H97" s="343"/>
      <c r="I97" s="343"/>
      <c r="J97" s="343"/>
      <c r="K97" s="343"/>
      <c r="L97" s="343"/>
      <c r="M97" s="343"/>
      <c r="N97" s="343"/>
      <c r="O97" s="343"/>
      <c r="P97" s="343"/>
      <c r="Q97" s="343"/>
      <c r="R97" s="343"/>
      <c r="S97" s="343"/>
      <c r="T97" s="343"/>
      <c r="U97" s="343"/>
      <c r="V97" s="343"/>
      <c r="W97" s="343"/>
      <c r="X97" s="343"/>
      <c r="Y97" s="343"/>
      <c r="Z97" s="343"/>
      <c r="AA97" s="343"/>
      <c r="AB97" s="343"/>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BA274541-7EF9-414E-810D-AD455F5B8E18}"/>
</file>

<file path=customXml/itemProps2.xml><?xml version="1.0" encoding="utf-8"?>
<ds:datastoreItem xmlns:ds="http://schemas.openxmlformats.org/officeDocument/2006/customXml" ds:itemID="{3E8B21DA-D1E7-44CB-851E-AB6251111A25}"/>
</file>

<file path=customXml/itemProps3.xml><?xml version="1.0" encoding="utf-8"?>
<ds:datastoreItem xmlns:ds="http://schemas.openxmlformats.org/officeDocument/2006/customXml" ds:itemID="{432FFD2C-78BD-4986-BDAD-922D4B417645}"/>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2023-04-20T03:28:02Z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