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worksheets/sheet3.xml" ContentType="application/vnd.openxmlformats-officedocument.spreadsheetml.worksheet+xml"/>
  <Override PartName="/xl/drawings/drawing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worksheets/sheet2.xml" ContentType="application/vnd.openxmlformats-officedocument.spreadsheetml.worksheet+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persons/person.xml" ContentType="application/vnd.ms-excel.person+xml"/>
  <Override PartName="/xl/threadedComments/threadedComment4.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threadedComments/threadedComment1.xml" ContentType="application/vnd.ms-excel.threadedcomments+xml"/>
  <Override PartName="/xl/comments1.xml" ContentType="application/vnd.openxmlformats-officedocument.spreadsheetml.comments+xml"/>
  <Override PartName="/xl/comments2.xml" ContentType="application/vnd.openxmlformats-officedocument.spreadsheetml.comment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ate1904="1" codeName="ThisWorkbook" autoCompressPictures="0"/>
  <mc:AlternateContent xmlns:mc="http://schemas.openxmlformats.org/markup-compatibility/2006">
    <mc:Choice Requires="x15">
      <x15ac:absPath xmlns:x15ac="http://schemas.microsoft.com/office/spreadsheetml/2010/11/ac" url="/Users/agustinagonzalez/Desktop/FINAL_NCSU_NEU_Financial 2nd Deliverable PPA/"/>
    </mc:Choice>
  </mc:AlternateContent>
  <xr:revisionPtr revIDLastSave="0" documentId="13_ncr:1_{912ABDC6-2963-964D-963D-8765CFAD3E25}" xr6:coauthVersionLast="47" xr6:coauthVersionMax="47" xr10:uidLastSave="{00000000-0000-0000-0000-000000000000}"/>
  <bookViews>
    <workbookView xWindow="3400" yWindow="760" windowWidth="24060" windowHeight="17380" tabRatio="500" activeTab="1" xr2:uid="{00000000-000D-0000-FFFF-FFFF00000000}"/>
  </bookViews>
  <sheets>
    <sheet name="Overview" sheetId="6" r:id="rId1"/>
    <sheet name="Dashboard" sheetId="1" r:id="rId2"/>
    <sheet name="Unstructured" sheetId="4" r:id="rId3"/>
    <sheet name="Partnership Flip" sheetId="16" r:id="rId4"/>
    <sheet name="Customer Analysis" sheetId="15" r:id="rId5"/>
  </sheets>
  <definedNames>
    <definedName name="Additional_ITC_Basis_Reducer_Fine_Tuning">Dashboard!$H$48</definedName>
    <definedName name="Aggregate_Construction_Cost">Dashboard!$E$32</definedName>
    <definedName name="Aggregate_Project_Cost">Dashboard!$E$39</definedName>
    <definedName name="Cash_Equity_Investment_Share">Dashboard!$H$63</definedName>
    <definedName name="Cash_Equity_Post_Flip_Share">Dashboard!$H$61</definedName>
    <definedName name="Cash_Equity_Pre_Flip_Share">Dashboard!$H$59</definedName>
    <definedName name="Cash_on_Cash_Return_Premium">Dashboard!$H$66</definedName>
    <definedName name="Construction_Loan_Amount">Dashboard!$H$19</definedName>
    <definedName name="Construction_Loan_Fee">Dashboard!$H$21</definedName>
    <definedName name="Construction_Loan_Rate">Dashboard!$H$20</definedName>
    <definedName name="Construction_Loan_Term">Dashboard!$H$18</definedName>
    <definedName name="Construction_Loan?">Dashboard!$H$17</definedName>
    <definedName name="Customer_Dem_Charge_Percent">Dashboard!$E$43</definedName>
    <definedName name="Customer_Discount_Rate">Dashboard!$E$46</definedName>
    <definedName name="Customer_Monthly_kWh_Usage">Dashboard!$E$45</definedName>
    <definedName name="Customer_Utility_Charge_Escalator">Dashboard!$E$44</definedName>
    <definedName name="Customer_Utility_Charge_kWh">Dashboard!$E$42</definedName>
    <definedName name="Depreciation_Basis">Dashboard!$E$51</definedName>
    <definedName name="Depreciation_Bonus_Rate">Dashboard!$H$37</definedName>
    <definedName name="Depreciation_Methodology?">Dashboard!$H$36</definedName>
    <definedName name="Depreciation_Table">Dashboard!$B$54:$E$59</definedName>
    <definedName name="Equity_Investment">Dashboard!$H$24</definedName>
    <definedName name="Fed._ITC_Eligible_Property_Value">Dashboard!$H$49</definedName>
    <definedName name="Federal_ITC_Cash_Sale_OnOff">Dashboard!$H$40</definedName>
    <definedName name="Federal_ITC_Dollar_Value">Dashboard!$H$50</definedName>
    <definedName name="Federal_ITC_Rate">Dashboard!$H$41</definedName>
    <definedName name="Insurance_Cost_Escalator">Dashboard!$K$44</definedName>
    <definedName name="Insurance_Cost_per_Watt_DC">Dashboard!$K$43</definedName>
    <definedName name="Interconnection_Costs">Dashboard!$E$34</definedName>
    <definedName name="Investor_Discount_Rate">Dashboard!$H$25</definedName>
    <definedName name="Investor_Target_Flip_IRR">Dashboard!$H$65</definedName>
    <definedName name="ITC_Cash_Sale_Discount_to_Purchase_Price">Dashboard!$H$42</definedName>
    <definedName name="ITC_Cash_Sale_First_Year_Payment">Dashboard!$H$44</definedName>
    <definedName name="ITC_Cash_Sale_Number_of_Annual_Payments">Dashboard!$H$43</definedName>
    <definedName name="ITC_Eligible_Property_Value">Dashboard!$H$49</definedName>
    <definedName name="Manual_Entry_Estimated_P50_Production">Dashboard!$E$25</definedName>
    <definedName name="Mgt._Fee__Share__of_Remaining_Cash_Flow">Dashboard!$H$67</definedName>
    <definedName name="OandM_Cost_Escalator">Dashboard!$K$42</definedName>
    <definedName name="OandM_Cost_per_W_DC">Dashboard!$K$41</definedName>
    <definedName name="Other_Closing_Costs_Fees">Dashboard!$E$38</definedName>
    <definedName name="Owner_is_Taxpayer_Non_Taxpayer?">Dashboard!$H$34</definedName>
    <definedName name="P50_Production_1st_Yr">Dashboard!$E$28</definedName>
    <definedName name="P95_Production_1st_Yr">Dashboard!$E$29</definedName>
    <definedName name="Panel_Degradation_Rate">Dashboard!$E$26</definedName>
    <definedName name="PPA_Price_Annual_Escalator">Dashboard!$K$18</definedName>
    <definedName name="PPA_Price_kWh">Dashboard!$K$17</definedName>
    <definedName name="Production_Delta_P95_P50">Dashboard!$E$27</definedName>
    <definedName name="Project_Debt?">Dashboard!$H$27</definedName>
    <definedName name="Project_Loan_Amount">Dashboard!$H$30</definedName>
    <definedName name="Project_Loan_Coverage_Ratio">Dashboard!$H$31</definedName>
    <definedName name="Project_Loan_Debt_Equity_Ratio">Dashboard!$H$32</definedName>
    <definedName name="Project_Loan_Rate">Dashboard!$H$29</definedName>
    <definedName name="Project_Loan_Term?">Dashboard!$H$28</definedName>
    <definedName name="Project_Net_Investment">Dashboard!$H$24</definedName>
    <definedName name="Project_Sale_Price">Dashboard!$H$23</definedName>
    <definedName name="Property_Equip_Base_Value">Dashboard!$K$30</definedName>
    <definedName name="Property_Equip_Book_Adj_Rate">Dashboard!$K$31</definedName>
    <definedName name="Property_Equip_Tax_Rate">Dashboard!$K$29</definedName>
    <definedName name="Property_Site_Base_Value">Dashboard!$K$27</definedName>
    <definedName name="Property_Site_Tax_Rate">Dashboard!$K$26</definedName>
    <definedName name="Property_Site_Value_Adj_Rate">Dashboard!$K$28</definedName>
    <definedName name="PTC_Annual_Inflator_Rate_Percent">Dashboard!$H$47</definedName>
    <definedName name="PTC_Starting_Rate_Dollars_per_MWh">Dashboard!$H$46</definedName>
    <definedName name="PTC_Term_in_Years">Dashboard!$H$45</definedName>
    <definedName name="Roof_Upgrade_Cost">Dashboard!$E$33</definedName>
    <definedName name="Site_Lease_Fixed_Cost">Dashboard!$K$38</definedName>
    <definedName name="Site_Lease_Fixed_Escalator">Dashboard!$K$39</definedName>
    <definedName name="Site_Lease_Fixed_or_PercentofRev">Dashboard!$K$35</definedName>
    <definedName name="Site_Lease_Includes_Taxes">Dashboard!$K$36</definedName>
    <definedName name="Site_Lease_Percent_of_Revenue">Dashboard!$K$37</definedName>
    <definedName name="Site_Purchase_or_Lease?">Dashboard!$K$33</definedName>
    <definedName name="Site_Purchase_Price">Dashboard!$E$36</definedName>
    <definedName name="Size_of_System_in_W_DC">Dashboard!$D$23</definedName>
    <definedName name="Solar_Production_Source">Dashboard!$E$29</definedName>
    <definedName name="SREC_Increase_Decrease">Dashboard!$K$23</definedName>
    <definedName name="SREC_Price">Dashboard!$K$21</definedName>
    <definedName name="SREC_Size_kWh_per_SREC">Dashboard!$K$22</definedName>
    <definedName name="SREC_Term_Yrs">Dashboard!$K$24</definedName>
    <definedName name="SRECs_Applicable?">Dashboard!$K$20</definedName>
    <definedName name="State_Income_Tax_Rate">Dashboard!$H$52</definedName>
    <definedName name="State_ITC_On_Off?">Dashboard!$H$53</definedName>
    <definedName name="State_Sales_Tax">Dashboard!$H$56</definedName>
    <definedName name="State_Tax_Credit_Basis">Dashboard!$H$55</definedName>
    <definedName name="State_Tax_Credit_Rate">Dashboard!$H$54</definedName>
    <definedName name="Target_Flip_IRR">Dashboard!$H$65</definedName>
    <definedName name="Tax_Credit_Selector_ITC_or_PTC">Dashboard!$H$39</definedName>
    <definedName name="Tax_Efficient_Status?">Dashboard!$H$35</definedName>
    <definedName name="Tax_Equity_Investment_Share">Dashboard!$H$62</definedName>
    <definedName name="Tax_Equity_Post_Flip_Share">Dashboard!$H$60</definedName>
    <definedName name="Tax_Equity_Pre_Flip_Share">Dashboard!$H$58</definedName>
    <definedName name="Taxpayer_Marginal_Rate">Dashboard!$H$38</definedName>
    <definedName name="Terminal_Value_Estimate_Percent">Dashboard!$E$47</definedName>
    <definedName name="Termination_Value_OnOff">Dashboard!$D$74</definedName>
    <definedName name="Termination_Value_Percentage">Dashboard!$E$74</definedName>
    <definedName name="Termination_Value_Table_End_of_Term">Dashboard!$C$72:$E$73</definedName>
    <definedName name="Time_Based_Flip_Target_Year">Dashboard!$H$64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61" i="1" l="1"/>
  <c r="H59" i="1"/>
  <c r="D21" i="1" l="1"/>
  <c r="D18" i="1" s="1"/>
  <c r="H65" i="1" l="1"/>
  <c r="H63" i="1"/>
  <c r="K43" i="1" l="1"/>
  <c r="K41" i="1"/>
  <c r="E23" i="1" l="1"/>
  <c r="C94" i="1" l="1"/>
  <c r="C95" i="1"/>
  <c r="C89" i="1"/>
  <c r="C91" i="1" l="1"/>
  <c r="C90" i="1"/>
  <c r="C82" i="1"/>
  <c r="C81" i="1"/>
  <c r="E77" i="4" l="1"/>
  <c r="F77" i="4"/>
  <c r="G77" i="4"/>
  <c r="H77" i="4"/>
  <c r="I77" i="4"/>
  <c r="J77" i="4"/>
  <c r="K77" i="4"/>
  <c r="L77" i="4"/>
  <c r="M77" i="4"/>
  <c r="N77" i="4"/>
  <c r="O77" i="4"/>
  <c r="P77" i="4"/>
  <c r="Q77" i="4"/>
  <c r="R77" i="4"/>
  <c r="S77" i="4"/>
  <c r="T77" i="4"/>
  <c r="U77" i="4"/>
  <c r="V77" i="4"/>
  <c r="W77" i="4"/>
  <c r="X77" i="4"/>
  <c r="Y77" i="4"/>
  <c r="Z77" i="4"/>
  <c r="AA77" i="4"/>
  <c r="AB77" i="4"/>
  <c r="D77" i="4"/>
  <c r="D22" i="4"/>
  <c r="K33" i="15"/>
  <c r="W33" i="15"/>
  <c r="X33" i="15"/>
  <c r="Y33" i="15"/>
  <c r="Z33" i="15"/>
  <c r="AA33" i="15"/>
  <c r="AB33" i="15"/>
  <c r="C65" i="16"/>
  <c r="I37" i="16"/>
  <c r="J37" i="16"/>
  <c r="K37" i="16"/>
  <c r="L37" i="16"/>
  <c r="M37" i="16"/>
  <c r="N37" i="16"/>
  <c r="O37" i="16"/>
  <c r="P37" i="16"/>
  <c r="Q37" i="16"/>
  <c r="R37" i="16"/>
  <c r="S37" i="16"/>
  <c r="T37" i="16"/>
  <c r="U37" i="16"/>
  <c r="V37" i="16"/>
  <c r="W37" i="16"/>
  <c r="X37" i="16"/>
  <c r="Y37" i="16"/>
  <c r="Z37" i="16"/>
  <c r="AA37" i="16"/>
  <c r="AB37" i="16"/>
  <c r="I40" i="16"/>
  <c r="J40" i="16"/>
  <c r="K40" i="16"/>
  <c r="L40" i="16"/>
  <c r="M40" i="16"/>
  <c r="N40" i="16"/>
  <c r="O40" i="16"/>
  <c r="P40" i="16"/>
  <c r="Q40" i="16"/>
  <c r="R40" i="16"/>
  <c r="S40" i="16"/>
  <c r="T40" i="16"/>
  <c r="U40" i="16"/>
  <c r="V40" i="16"/>
  <c r="W40" i="16"/>
  <c r="X40" i="16"/>
  <c r="Y40" i="16"/>
  <c r="Z40" i="16"/>
  <c r="AA40" i="16"/>
  <c r="AB40" i="16"/>
  <c r="E35" i="1" l="1"/>
  <c r="C85" i="1" s="1"/>
  <c r="E34" i="1"/>
  <c r="C87" i="1" s="1"/>
  <c r="E20" i="1"/>
  <c r="H41" i="1"/>
  <c r="C96" i="1" s="1"/>
  <c r="C84" i="1" l="1"/>
  <c r="N33" i="15"/>
  <c r="U33" i="15" l="1"/>
  <c r="L33" i="15"/>
  <c r="M33" i="15"/>
  <c r="T33" i="15"/>
  <c r="S33" i="15"/>
  <c r="O33" i="15"/>
  <c r="Q33" i="15"/>
  <c r="J33" i="15"/>
  <c r="P33" i="15"/>
  <c r="V33" i="15"/>
  <c r="R33" i="15"/>
  <c r="H14" i="16" l="1"/>
  <c r="D67" i="4" l="1"/>
  <c r="E67" i="4" s="1"/>
  <c r="F67" i="4" l="1"/>
  <c r="G67" i="4" s="1"/>
  <c r="H67" i="4" s="1"/>
  <c r="I67" i="4" s="1"/>
  <c r="J67" i="4" s="1"/>
  <c r="K67" i="4" s="1"/>
  <c r="L67" i="4" s="1"/>
  <c r="M67" i="4" s="1"/>
  <c r="N67" i="4" s="1"/>
  <c r="O67" i="4" s="1"/>
  <c r="P67" i="4" s="1"/>
  <c r="Q67" i="4" s="1"/>
  <c r="R67" i="4" s="1"/>
  <c r="S67" i="4" s="1"/>
  <c r="T67" i="4" s="1"/>
  <c r="U67" i="4" s="1"/>
  <c r="V67" i="4" s="1"/>
  <c r="W67" i="4" s="1"/>
  <c r="X67" i="4" s="1"/>
  <c r="Y67" i="4" s="1"/>
  <c r="Z67" i="4" s="1"/>
  <c r="AA67" i="4" s="1"/>
  <c r="AB67" i="4" s="1"/>
  <c r="K27" i="1"/>
  <c r="D35" i="4" l="1"/>
  <c r="E35" i="4" s="1"/>
  <c r="F35" i="4" s="1"/>
  <c r="G35" i="4" s="1"/>
  <c r="H35" i="4" s="1"/>
  <c r="I35" i="4" s="1"/>
  <c r="J35" i="4" s="1"/>
  <c r="K35" i="4" s="1"/>
  <c r="L35" i="4" s="1"/>
  <c r="M35" i="4" s="1"/>
  <c r="N35" i="4" s="1"/>
  <c r="O35" i="4" s="1"/>
  <c r="P35" i="4" s="1"/>
  <c r="Q35" i="4" s="1"/>
  <c r="R35" i="4" s="1"/>
  <c r="S35" i="4" s="1"/>
  <c r="T35" i="4" s="1"/>
  <c r="U35" i="4" s="1"/>
  <c r="V35" i="4" s="1"/>
  <c r="W35" i="4" s="1"/>
  <c r="E36" i="1"/>
  <c r="X35" i="4" l="1"/>
  <c r="Y35" i="4" l="1"/>
  <c r="R46" i="1"/>
  <c r="Z35" i="4" l="1"/>
  <c r="AA35" i="4" l="1"/>
  <c r="AB35" i="4" l="1"/>
  <c r="D146" i="4" l="1"/>
  <c r="E37" i="1" l="1"/>
  <c r="E24" i="1"/>
  <c r="D145" i="4" l="1"/>
  <c r="E19" i="1"/>
  <c r="E18" i="1"/>
  <c r="E33" i="1" l="1"/>
  <c r="E28" i="1"/>
  <c r="D22" i="15"/>
  <c r="D19" i="4"/>
  <c r="E19" i="4" s="1"/>
  <c r="F19" i="4" s="1"/>
  <c r="G19" i="4" s="1"/>
  <c r="H19" i="4" s="1"/>
  <c r="I19" i="4" s="1"/>
  <c r="J19" i="4" s="1"/>
  <c r="K19" i="4" s="1"/>
  <c r="L19" i="4" s="1"/>
  <c r="M19" i="4" s="1"/>
  <c r="N19" i="4" s="1"/>
  <c r="O19" i="4" s="1"/>
  <c r="P19" i="4" s="1"/>
  <c r="Q19" i="4" s="1"/>
  <c r="R19" i="4" s="1"/>
  <c r="S19" i="4" s="1"/>
  <c r="T19" i="4" s="1"/>
  <c r="U19" i="4" s="1"/>
  <c r="V19" i="4" s="1"/>
  <c r="W19" i="4" s="1"/>
  <c r="D18" i="15"/>
  <c r="E18" i="15" s="1"/>
  <c r="F18" i="15" s="1"/>
  <c r="D17" i="4"/>
  <c r="K30" i="1"/>
  <c r="D33" i="4"/>
  <c r="D34" i="4"/>
  <c r="D37" i="4"/>
  <c r="D122" i="4"/>
  <c r="D115" i="4"/>
  <c r="E32" i="1"/>
  <c r="P65" i="1"/>
  <c r="E21" i="1"/>
  <c r="AA55" i="1"/>
  <c r="AA56" i="1" s="1"/>
  <c r="AA52" i="1"/>
  <c r="AA51" i="1"/>
  <c r="D22" i="1"/>
  <c r="D23" i="15" l="1"/>
  <c r="D91" i="15" s="1"/>
  <c r="D144" i="4"/>
  <c r="C88" i="1"/>
  <c r="P34" i="1"/>
  <c r="C86" i="1"/>
  <c r="D21" i="4"/>
  <c r="E21" i="4" s="1"/>
  <c r="C83" i="1"/>
  <c r="D20" i="4"/>
  <c r="X19" i="4"/>
  <c r="W24" i="15"/>
  <c r="W92" i="15" s="1"/>
  <c r="P35" i="1"/>
  <c r="P56" i="1"/>
  <c r="P64" i="1"/>
  <c r="E17" i="4"/>
  <c r="E34" i="4"/>
  <c r="P18" i="1"/>
  <c r="D36" i="4"/>
  <c r="D38" i="4" s="1"/>
  <c r="E36" i="4"/>
  <c r="E29" i="1"/>
  <c r="P36" i="1"/>
  <c r="E22" i="15"/>
  <c r="F22" i="15" s="1"/>
  <c r="F23" i="15" s="1"/>
  <c r="F91" i="15" s="1"/>
  <c r="P63" i="1"/>
  <c r="E22" i="1"/>
  <c r="G18" i="15"/>
  <c r="D24" i="15"/>
  <c r="Y51" i="1" l="1"/>
  <c r="D21" i="15"/>
  <c r="D26" i="15" s="1"/>
  <c r="D26" i="4"/>
  <c r="D23" i="4"/>
  <c r="D27" i="4" s="1"/>
  <c r="E20" i="4"/>
  <c r="E22" i="4"/>
  <c r="E33" i="4"/>
  <c r="E37" i="4"/>
  <c r="Y19" i="4"/>
  <c r="X24" i="15"/>
  <c r="X92" i="15" s="1"/>
  <c r="E26" i="4"/>
  <c r="E23" i="4"/>
  <c r="F21" i="4"/>
  <c r="F17" i="4"/>
  <c r="F33" i="4"/>
  <c r="E23" i="15"/>
  <c r="E91" i="15" s="1"/>
  <c r="G22" i="15"/>
  <c r="G23" i="15" s="1"/>
  <c r="G91" i="15" s="1"/>
  <c r="H18" i="15"/>
  <c r="E24" i="15"/>
  <c r="E92" i="15" s="1"/>
  <c r="D92" i="15"/>
  <c r="Y52" i="1"/>
  <c r="E21" i="15"/>
  <c r="Y56" i="1" l="1"/>
  <c r="D19" i="15"/>
  <c r="D94" i="15" s="1"/>
  <c r="D25" i="15"/>
  <c r="D66" i="15" s="1"/>
  <c r="D67" i="15" s="1"/>
  <c r="D95" i="15"/>
  <c r="F37" i="4"/>
  <c r="F34" i="4"/>
  <c r="D28" i="4"/>
  <c r="D29" i="4" s="1"/>
  <c r="D30" i="4" s="1"/>
  <c r="D40" i="4" s="1"/>
  <c r="D167" i="4" s="1"/>
  <c r="D172" i="4" s="1"/>
  <c r="E38" i="4"/>
  <c r="E27" i="4"/>
  <c r="E28" i="4" s="1"/>
  <c r="F20" i="4"/>
  <c r="F22" i="4"/>
  <c r="F23" i="4"/>
  <c r="G17" i="4"/>
  <c r="Z19" i="4"/>
  <c r="Y24" i="15"/>
  <c r="Y92" i="15" s="1"/>
  <c r="G21" i="4"/>
  <c r="G23" i="4" s="1"/>
  <c r="F26" i="4"/>
  <c r="F36" i="4"/>
  <c r="G37" i="4"/>
  <c r="H17" i="4"/>
  <c r="G33" i="4"/>
  <c r="H22" i="15"/>
  <c r="I22" i="15" s="1"/>
  <c r="F21" i="15"/>
  <c r="F24" i="15"/>
  <c r="F92" i="15" s="1"/>
  <c r="E95" i="15"/>
  <c r="E26" i="15"/>
  <c r="E51" i="15" s="1"/>
  <c r="E25" i="15"/>
  <c r="E19" i="15"/>
  <c r="E94" i="15" s="1"/>
  <c r="I18" i="15"/>
  <c r="Y55" i="1" l="1"/>
  <c r="D27" i="15"/>
  <c r="D80" i="15" s="1"/>
  <c r="F38" i="4"/>
  <c r="D103" i="4"/>
  <c r="G36" i="4"/>
  <c r="G34" i="4"/>
  <c r="G22" i="4"/>
  <c r="H22" i="4" s="1"/>
  <c r="F27" i="4"/>
  <c r="F28" i="4" s="1"/>
  <c r="F29" i="4" s="1"/>
  <c r="F30" i="4" s="1"/>
  <c r="G20" i="4"/>
  <c r="H20" i="4" s="1"/>
  <c r="AA19" i="4"/>
  <c r="Z24" i="15"/>
  <c r="H21" i="4"/>
  <c r="H23" i="4" s="1"/>
  <c r="G26" i="4"/>
  <c r="H33" i="4"/>
  <c r="H37" i="4"/>
  <c r="H36" i="4"/>
  <c r="H34" i="4"/>
  <c r="I17" i="4"/>
  <c r="H23" i="15"/>
  <c r="H91" i="15" s="1"/>
  <c r="J18" i="15"/>
  <c r="I23" i="15"/>
  <c r="I91" i="15" s="1"/>
  <c r="J22" i="15"/>
  <c r="F25" i="15"/>
  <c r="F95" i="15"/>
  <c r="F26" i="15"/>
  <c r="F19" i="15"/>
  <c r="F94" i="15" s="1"/>
  <c r="E29" i="4"/>
  <c r="E30" i="4" s="1"/>
  <c r="E40" i="4" s="1"/>
  <c r="E167" i="4" s="1"/>
  <c r="E27" i="15"/>
  <c r="E80" i="15" s="1"/>
  <c r="E66" i="15"/>
  <c r="E67" i="15" s="1"/>
  <c r="G24" i="15"/>
  <c r="G92" i="15" s="1"/>
  <c r="G21" i="15"/>
  <c r="G38" i="4" l="1"/>
  <c r="F40" i="4"/>
  <c r="F167" i="4" s="1"/>
  <c r="G27" i="4"/>
  <c r="G28" i="4" s="1"/>
  <c r="G29" i="4" s="1"/>
  <c r="G30" i="4" s="1"/>
  <c r="I20" i="4"/>
  <c r="I22" i="4"/>
  <c r="AB19" i="4"/>
  <c r="AB24" i="15" s="1"/>
  <c r="AB92" i="15" s="1"/>
  <c r="AA24" i="15"/>
  <c r="AA92" i="15" s="1"/>
  <c r="Z92" i="15"/>
  <c r="F51" i="15"/>
  <c r="E172" i="4"/>
  <c r="E115" i="4"/>
  <c r="E51" i="4"/>
  <c r="I21" i="4"/>
  <c r="I23" i="4" s="1"/>
  <c r="H26" i="4"/>
  <c r="H38" i="4"/>
  <c r="I34" i="4"/>
  <c r="I37" i="4"/>
  <c r="I36" i="4"/>
  <c r="J17" i="4"/>
  <c r="I33" i="4"/>
  <c r="E58" i="4"/>
  <c r="H24" i="15"/>
  <c r="H92" i="15" s="1"/>
  <c r="F27" i="15"/>
  <c r="F80" i="15" s="1"/>
  <c r="F66" i="15"/>
  <c r="F67" i="15" s="1"/>
  <c r="G26" i="15"/>
  <c r="G25" i="15"/>
  <c r="G95" i="15"/>
  <c r="G19" i="15"/>
  <c r="G94" i="15" s="1"/>
  <c r="K18" i="15"/>
  <c r="F103" i="4"/>
  <c r="H21" i="15"/>
  <c r="H27" i="4"/>
  <c r="E103" i="4"/>
  <c r="J23" i="15"/>
  <c r="J91" i="15" s="1"/>
  <c r="K22" i="15"/>
  <c r="G40" i="4" l="1"/>
  <c r="G167" i="4" s="1"/>
  <c r="F172" i="4"/>
  <c r="J20" i="4"/>
  <c r="J121" i="4"/>
  <c r="J166" i="4" s="1"/>
  <c r="J114" i="4"/>
  <c r="J22" i="4"/>
  <c r="E52" i="4"/>
  <c r="F51" i="4" s="1"/>
  <c r="J21" i="4"/>
  <c r="J23" i="4" s="1"/>
  <c r="I26" i="4"/>
  <c r="G51" i="15"/>
  <c r="J33" i="4"/>
  <c r="J34" i="4"/>
  <c r="J37" i="4"/>
  <c r="K17" i="4"/>
  <c r="J36" i="4"/>
  <c r="I38" i="4"/>
  <c r="G103" i="4"/>
  <c r="I21" i="15"/>
  <c r="I27" i="4"/>
  <c r="L18" i="15"/>
  <c r="H95" i="15"/>
  <c r="H26" i="15"/>
  <c r="H25" i="15"/>
  <c r="H19" i="15"/>
  <c r="H94" i="15" s="1"/>
  <c r="G66" i="15"/>
  <c r="G67" i="15" s="1"/>
  <c r="G27" i="15"/>
  <c r="I24" i="15"/>
  <c r="I92" i="15" s="1"/>
  <c r="K23" i="15"/>
  <c r="K91" i="15" s="1"/>
  <c r="L22" i="15"/>
  <c r="H28" i="4"/>
  <c r="G172" i="4" l="1"/>
  <c r="K20" i="4"/>
  <c r="K114" i="4"/>
  <c r="K121" i="4"/>
  <c r="K166" i="4" s="1"/>
  <c r="K22" i="4"/>
  <c r="H51" i="15"/>
  <c r="J171" i="4"/>
  <c r="E122" i="4"/>
  <c r="K21" i="4"/>
  <c r="J26" i="4"/>
  <c r="K34" i="4"/>
  <c r="K36" i="4"/>
  <c r="K33" i="4"/>
  <c r="L17" i="4"/>
  <c r="K37" i="4"/>
  <c r="J38" i="4"/>
  <c r="F115" i="4"/>
  <c r="M18" i="15"/>
  <c r="I28" i="4"/>
  <c r="H29" i="4"/>
  <c r="H30" i="4" s="1"/>
  <c r="H40" i="4" s="1"/>
  <c r="H167" i="4" s="1"/>
  <c r="G80" i="15"/>
  <c r="J21" i="15"/>
  <c r="J27" i="4"/>
  <c r="L23" i="15"/>
  <c r="L91" i="15" s="1"/>
  <c r="M22" i="15"/>
  <c r="J24" i="15"/>
  <c r="J92" i="15" s="1"/>
  <c r="H66" i="15"/>
  <c r="H67" i="15" s="1"/>
  <c r="H27" i="15"/>
  <c r="I26" i="15"/>
  <c r="I25" i="15"/>
  <c r="I95" i="15"/>
  <c r="I19" i="15"/>
  <c r="I94" i="15" s="1"/>
  <c r="L20" i="4" l="1"/>
  <c r="L114" i="4"/>
  <c r="L121" i="4"/>
  <c r="L166" i="4" s="1"/>
  <c r="L22" i="4"/>
  <c r="K23" i="4"/>
  <c r="K27" i="4" s="1"/>
  <c r="H172" i="4"/>
  <c r="K171" i="4"/>
  <c r="F52" i="4"/>
  <c r="G51" i="4" s="1"/>
  <c r="H80" i="15"/>
  <c r="L21" i="4"/>
  <c r="L23" i="4" s="1"/>
  <c r="K26" i="4"/>
  <c r="I51" i="15"/>
  <c r="L36" i="4"/>
  <c r="M17" i="4"/>
  <c r="L37" i="4"/>
  <c r="L33" i="4"/>
  <c r="L34" i="4"/>
  <c r="K38" i="4"/>
  <c r="H103" i="4"/>
  <c r="M23" i="15"/>
  <c r="M91" i="15" s="1"/>
  <c r="N22" i="15"/>
  <c r="J25" i="15"/>
  <c r="J95" i="15"/>
  <c r="J26" i="15"/>
  <c r="J19" i="15"/>
  <c r="J94" i="15" s="1"/>
  <c r="K24" i="15"/>
  <c r="K92" i="15" s="1"/>
  <c r="K21" i="15"/>
  <c r="I29" i="4"/>
  <c r="I30" i="4" s="1"/>
  <c r="I40" i="4" s="1"/>
  <c r="I167" i="4" s="1"/>
  <c r="I27" i="15"/>
  <c r="I80" i="15" s="1"/>
  <c r="I66" i="15"/>
  <c r="I67" i="15" s="1"/>
  <c r="J28" i="4"/>
  <c r="N18" i="15"/>
  <c r="M20" i="4" l="1"/>
  <c r="M114" i="4"/>
  <c r="M121" i="4"/>
  <c r="M166" i="4" s="1"/>
  <c r="M22" i="4"/>
  <c r="I172" i="4"/>
  <c r="L171" i="4"/>
  <c r="F122" i="4"/>
  <c r="M21" i="4"/>
  <c r="M23" i="4" s="1"/>
  <c r="L26" i="4"/>
  <c r="J51" i="15"/>
  <c r="L38" i="4"/>
  <c r="M36" i="4"/>
  <c r="M33" i="4"/>
  <c r="M37" i="4"/>
  <c r="N17" i="4"/>
  <c r="M34" i="4"/>
  <c r="G115" i="4"/>
  <c r="I103" i="4"/>
  <c r="K28" i="4"/>
  <c r="O18" i="15"/>
  <c r="L21" i="15"/>
  <c r="L27" i="4"/>
  <c r="J27" i="15"/>
  <c r="J66" i="15"/>
  <c r="J67" i="15" s="1"/>
  <c r="O22" i="15"/>
  <c r="N23" i="15"/>
  <c r="N91" i="15" s="1"/>
  <c r="J29" i="4"/>
  <c r="J30" i="4" s="1"/>
  <c r="J40" i="4" s="1"/>
  <c r="J167" i="4" s="1"/>
  <c r="J173" i="4" s="1"/>
  <c r="K26" i="15"/>
  <c r="K51" i="15" s="1"/>
  <c r="K95" i="15"/>
  <c r="K25" i="15"/>
  <c r="K19" i="15"/>
  <c r="K94" i="15" s="1"/>
  <c r="L24" i="15"/>
  <c r="L92" i="15" s="1"/>
  <c r="N121" i="4" l="1"/>
  <c r="N114" i="4"/>
  <c r="N20" i="4"/>
  <c r="N22" i="4"/>
  <c r="J168" i="4"/>
  <c r="J172" i="4"/>
  <c r="G122" i="4"/>
  <c r="M171" i="4"/>
  <c r="E59" i="4"/>
  <c r="F58" i="4" s="1"/>
  <c r="N21" i="4"/>
  <c r="M26" i="4"/>
  <c r="N23" i="4"/>
  <c r="N33" i="4"/>
  <c r="N36" i="4"/>
  <c r="N37" i="4"/>
  <c r="N34" i="4"/>
  <c r="O17" i="4"/>
  <c r="M38" i="4"/>
  <c r="J103" i="4"/>
  <c r="L26" i="15"/>
  <c r="L51" i="15" s="1"/>
  <c r="L95" i="15"/>
  <c r="L25" i="15"/>
  <c r="L19" i="15"/>
  <c r="L94" i="15" s="1"/>
  <c r="P18" i="15"/>
  <c r="M24" i="15"/>
  <c r="M92" i="15" s="1"/>
  <c r="L28" i="4"/>
  <c r="K29" i="4"/>
  <c r="K30" i="4" s="1"/>
  <c r="K40" i="4" s="1"/>
  <c r="K167" i="4" s="1"/>
  <c r="K173" i="4" s="1"/>
  <c r="K66" i="15"/>
  <c r="K67" i="15" s="1"/>
  <c r="K27" i="15"/>
  <c r="K80" i="15" s="1"/>
  <c r="O23" i="15"/>
  <c r="O91" i="15" s="1"/>
  <c r="P22" i="15"/>
  <c r="J80" i="15"/>
  <c r="M21" i="15"/>
  <c r="M27" i="4"/>
  <c r="O114" i="4" l="1"/>
  <c r="O121" i="4"/>
  <c r="O20" i="4"/>
  <c r="O22" i="4"/>
  <c r="K168" i="4"/>
  <c r="K172" i="4"/>
  <c r="G52" i="4"/>
  <c r="H51" i="4" s="1"/>
  <c r="O21" i="4"/>
  <c r="N26" i="4"/>
  <c r="N27" i="4"/>
  <c r="O23" i="4"/>
  <c r="O33" i="4"/>
  <c r="O37" i="4"/>
  <c r="O36" i="4"/>
  <c r="O34" i="4"/>
  <c r="P17" i="4"/>
  <c r="N38" i="4"/>
  <c r="P23" i="15"/>
  <c r="P91" i="15" s="1"/>
  <c r="Q22" i="15"/>
  <c r="K103" i="4"/>
  <c r="N24" i="15"/>
  <c r="N92" i="15" s="1"/>
  <c r="L66" i="15"/>
  <c r="L67" i="15" s="1"/>
  <c r="L27" i="15"/>
  <c r="L80" i="15" s="1"/>
  <c r="M95" i="15"/>
  <c r="M25" i="15"/>
  <c r="M26" i="15"/>
  <c r="M51" i="15" s="1"/>
  <c r="M19" i="15"/>
  <c r="M94" i="15" s="1"/>
  <c r="M28" i="4"/>
  <c r="N21" i="15"/>
  <c r="L29" i="4"/>
  <c r="L30" i="4" s="1"/>
  <c r="L40" i="4" s="1"/>
  <c r="L167" i="4" s="1"/>
  <c r="L173" i="4" s="1"/>
  <c r="Q18" i="15"/>
  <c r="P114" i="4" l="1"/>
  <c r="P121" i="4"/>
  <c r="F59" i="4"/>
  <c r="G58" i="4" s="1"/>
  <c r="P20" i="4"/>
  <c r="P22" i="4"/>
  <c r="L168" i="4"/>
  <c r="L172" i="4"/>
  <c r="N28" i="4"/>
  <c r="N29" i="4" s="1"/>
  <c r="N30" i="4" s="1"/>
  <c r="N40" i="4" s="1"/>
  <c r="P21" i="4"/>
  <c r="O26" i="4"/>
  <c r="O27" i="4"/>
  <c r="P23" i="4"/>
  <c r="P37" i="4"/>
  <c r="Q17" i="4"/>
  <c r="P34" i="4"/>
  <c r="P33" i="4"/>
  <c r="P36" i="4"/>
  <c r="O38" i="4"/>
  <c r="G59" i="4"/>
  <c r="H58" i="4" s="1"/>
  <c r="H115" i="4"/>
  <c r="M27" i="15"/>
  <c r="M80" i="15" s="1"/>
  <c r="M66" i="15"/>
  <c r="M67" i="15" s="1"/>
  <c r="O24" i="15"/>
  <c r="O92" i="15" s="1"/>
  <c r="R22" i="15"/>
  <c r="Q23" i="15"/>
  <c r="Q91" i="15" s="1"/>
  <c r="O21" i="15"/>
  <c r="R18" i="15"/>
  <c r="M29" i="4"/>
  <c r="M30" i="4" s="1"/>
  <c r="M40" i="4" s="1"/>
  <c r="M167" i="4" s="1"/>
  <c r="M173" i="4" s="1"/>
  <c r="L103" i="4"/>
  <c r="N25" i="15"/>
  <c r="N95" i="15"/>
  <c r="N26" i="15"/>
  <c r="N51" i="15" s="1"/>
  <c r="N19" i="15"/>
  <c r="N94" i="15" s="1"/>
  <c r="Q114" i="4" l="1"/>
  <c r="Q121" i="4"/>
  <c r="P27" i="4"/>
  <c r="H122" i="4"/>
  <c r="Q20" i="4"/>
  <c r="Q22" i="4"/>
  <c r="M168" i="4"/>
  <c r="M172" i="4"/>
  <c r="O28" i="4"/>
  <c r="O29" i="4" s="1"/>
  <c r="O30" i="4" s="1"/>
  <c r="O40" i="4" s="1"/>
  <c r="Q21" i="4"/>
  <c r="P26" i="4"/>
  <c r="Q23" i="4"/>
  <c r="P38" i="4"/>
  <c r="Q37" i="4"/>
  <c r="R17" i="4"/>
  <c r="Q33" i="4"/>
  <c r="Q34" i="4"/>
  <c r="Q36" i="4"/>
  <c r="N103" i="4"/>
  <c r="O26" i="15"/>
  <c r="O51" i="15" s="1"/>
  <c r="O25" i="15"/>
  <c r="O95" i="15"/>
  <c r="O19" i="15"/>
  <c r="O94" i="15" s="1"/>
  <c r="M103" i="4"/>
  <c r="N27" i="15"/>
  <c r="N80" i="15" s="1"/>
  <c r="N66" i="15"/>
  <c r="N67" i="15" s="1"/>
  <c r="S18" i="15"/>
  <c r="P24" i="15"/>
  <c r="P92" i="15" s="1"/>
  <c r="P21" i="15"/>
  <c r="S22" i="15"/>
  <c r="R23" i="15"/>
  <c r="R91" i="15" s="1"/>
  <c r="P28" i="4" l="1"/>
  <c r="P29" i="4" s="1"/>
  <c r="P30" i="4" s="1"/>
  <c r="P40" i="4" s="1"/>
  <c r="R121" i="4"/>
  <c r="R114" i="4"/>
  <c r="Q27" i="4"/>
  <c r="R20" i="4"/>
  <c r="R22" i="4"/>
  <c r="H52" i="4"/>
  <c r="I51" i="4" s="1"/>
  <c r="R21" i="4"/>
  <c r="Q26" i="4"/>
  <c r="R23" i="4"/>
  <c r="S17" i="4"/>
  <c r="R36" i="4"/>
  <c r="R34" i="4"/>
  <c r="R33" i="4"/>
  <c r="R37" i="4"/>
  <c r="Q38" i="4"/>
  <c r="O103" i="4"/>
  <c r="S23" i="15"/>
  <c r="S91" i="15" s="1"/>
  <c r="T22" i="15"/>
  <c r="O27" i="15"/>
  <c r="O80" i="15" s="1"/>
  <c r="O66" i="15"/>
  <c r="O67" i="15" s="1"/>
  <c r="Q21" i="15"/>
  <c r="T18" i="15"/>
  <c r="P25" i="15"/>
  <c r="P95" i="15"/>
  <c r="P26" i="15"/>
  <c r="P51" i="15" s="1"/>
  <c r="P19" i="15"/>
  <c r="P94" i="15" s="1"/>
  <c r="Q24" i="15"/>
  <c r="Q92" i="15" s="1"/>
  <c r="R27" i="4" l="1"/>
  <c r="S114" i="4"/>
  <c r="S121" i="4"/>
  <c r="Q28" i="4"/>
  <c r="Q29" i="4" s="1"/>
  <c r="Q30" i="4" s="1"/>
  <c r="Q40" i="4" s="1"/>
  <c r="S20" i="4"/>
  <c r="S22" i="4"/>
  <c r="S21" i="4"/>
  <c r="R26" i="4"/>
  <c r="S23" i="4"/>
  <c r="R38" i="4"/>
  <c r="S34" i="4"/>
  <c r="S33" i="4"/>
  <c r="S37" i="4"/>
  <c r="S36" i="4"/>
  <c r="T17" i="4"/>
  <c r="I122" i="4"/>
  <c r="I115" i="4"/>
  <c r="Q25" i="15"/>
  <c r="Q95" i="15"/>
  <c r="Q26" i="15"/>
  <c r="Q51" i="15" s="1"/>
  <c r="Q19" i="15"/>
  <c r="Q94" i="15" s="1"/>
  <c r="P103" i="4"/>
  <c r="R24" i="15"/>
  <c r="R92" i="15" s="1"/>
  <c r="P66" i="15"/>
  <c r="P67" i="15" s="1"/>
  <c r="P27" i="15"/>
  <c r="P80" i="15" s="1"/>
  <c r="U18" i="15"/>
  <c r="R21" i="15"/>
  <c r="U22" i="15"/>
  <c r="T23" i="15"/>
  <c r="T91" i="15" s="1"/>
  <c r="R28" i="4" l="1"/>
  <c r="R29" i="4" s="1"/>
  <c r="R30" i="4" s="1"/>
  <c r="R40" i="4" s="1"/>
  <c r="T114" i="4"/>
  <c r="T121" i="4"/>
  <c r="T20" i="4"/>
  <c r="T22" i="4"/>
  <c r="T21" i="4"/>
  <c r="S26" i="4"/>
  <c r="S27" i="4"/>
  <c r="T23" i="4"/>
  <c r="S38" i="4"/>
  <c r="T37" i="4"/>
  <c r="T36" i="4"/>
  <c r="U17" i="4"/>
  <c r="T33" i="4"/>
  <c r="T34" i="4"/>
  <c r="H59" i="4"/>
  <c r="I58" i="4" s="1"/>
  <c r="Q103" i="4"/>
  <c r="V22" i="15"/>
  <c r="W22" i="15" s="1"/>
  <c r="U23" i="15"/>
  <c r="U91" i="15" s="1"/>
  <c r="S21" i="15"/>
  <c r="S24" i="15"/>
  <c r="S92" i="15" s="1"/>
  <c r="R25" i="15"/>
  <c r="R95" i="15"/>
  <c r="R26" i="15"/>
  <c r="R51" i="15" s="1"/>
  <c r="R19" i="15"/>
  <c r="R94" i="15" s="1"/>
  <c r="V18" i="15"/>
  <c r="W18" i="15" s="1"/>
  <c r="Q66" i="15"/>
  <c r="Q67" i="15" s="1"/>
  <c r="Q27" i="15"/>
  <c r="Q80" i="15" s="1"/>
  <c r="S28" i="4" l="1"/>
  <c r="S29" i="4" s="1"/>
  <c r="S30" i="4" s="1"/>
  <c r="S40" i="4" s="1"/>
  <c r="U114" i="4"/>
  <c r="U121" i="4"/>
  <c r="U20" i="4"/>
  <c r="U22" i="4"/>
  <c r="X18" i="15"/>
  <c r="W23" i="15"/>
  <c r="W91" i="15" s="1"/>
  <c r="X22" i="15"/>
  <c r="I52" i="4"/>
  <c r="J51" i="4" s="1"/>
  <c r="U21" i="4"/>
  <c r="T26" i="4"/>
  <c r="T27" i="4"/>
  <c r="U23" i="4"/>
  <c r="U33" i="4"/>
  <c r="U34" i="4"/>
  <c r="U37" i="4"/>
  <c r="V17" i="4"/>
  <c r="U36" i="4"/>
  <c r="T38" i="4"/>
  <c r="R27" i="15"/>
  <c r="R80" i="15" s="1"/>
  <c r="R66" i="15"/>
  <c r="R67" i="15" s="1"/>
  <c r="T24" i="15"/>
  <c r="T92" i="15" s="1"/>
  <c r="R103" i="4"/>
  <c r="S26" i="15"/>
  <c r="S51" i="15" s="1"/>
  <c r="S95" i="15"/>
  <c r="S25" i="15"/>
  <c r="S19" i="15"/>
  <c r="S94" i="15" s="1"/>
  <c r="V23" i="15"/>
  <c r="V91" i="15" s="1"/>
  <c r="T21" i="15"/>
  <c r="V22" i="4" l="1"/>
  <c r="V121" i="4"/>
  <c r="V114" i="4"/>
  <c r="U27" i="4"/>
  <c r="V20" i="4"/>
  <c r="W17" i="4"/>
  <c r="X23" i="15"/>
  <c r="X91" i="15" s="1"/>
  <c r="Y22" i="15"/>
  <c r="Y18" i="15"/>
  <c r="T28" i="4"/>
  <c r="T29" i="4" s="1"/>
  <c r="T30" i="4" s="1"/>
  <c r="T40" i="4" s="1"/>
  <c r="V21" i="4"/>
  <c r="W21" i="4" s="1"/>
  <c r="W21" i="15" s="1"/>
  <c r="U26" i="4"/>
  <c r="V23" i="4"/>
  <c r="V33" i="4"/>
  <c r="V34" i="4"/>
  <c r="V36" i="4"/>
  <c r="V37" i="4"/>
  <c r="U38" i="4"/>
  <c r="J122" i="4"/>
  <c r="J46" i="4" s="1"/>
  <c r="J22" i="16" s="1"/>
  <c r="J115" i="4"/>
  <c r="J45" i="4" s="1"/>
  <c r="S103" i="4"/>
  <c r="U24" i="15"/>
  <c r="U92" i="15" s="1"/>
  <c r="T25" i="15"/>
  <c r="T26" i="15"/>
  <c r="T51" i="15" s="1"/>
  <c r="T95" i="15"/>
  <c r="T19" i="15"/>
  <c r="T94" i="15" s="1"/>
  <c r="U21" i="15"/>
  <c r="S27" i="15"/>
  <c r="S80" i="15" s="1"/>
  <c r="S66" i="15"/>
  <c r="S67" i="15" s="1"/>
  <c r="U28" i="4" l="1"/>
  <c r="U29" i="4" s="1"/>
  <c r="U30" i="4" s="1"/>
  <c r="U40" i="4" s="1"/>
  <c r="W22" i="4"/>
  <c r="W114" i="4"/>
  <c r="W121" i="4"/>
  <c r="W20" i="4"/>
  <c r="W23" i="4"/>
  <c r="W33" i="4"/>
  <c r="W34" i="4"/>
  <c r="D149" i="4" s="1"/>
  <c r="P17" i="1" s="1"/>
  <c r="P19" i="1" s="1"/>
  <c r="X17" i="4"/>
  <c r="W37" i="4"/>
  <c r="W36" i="4"/>
  <c r="W95" i="15"/>
  <c r="W26" i="15"/>
  <c r="W19" i="15"/>
  <c r="W94" i="15" s="1"/>
  <c r="W25" i="15"/>
  <c r="Z18" i="15"/>
  <c r="Y23" i="15"/>
  <c r="Y91" i="15" s="1"/>
  <c r="Z22" i="15"/>
  <c r="W26" i="4"/>
  <c r="X21" i="4"/>
  <c r="X21" i="15" s="1"/>
  <c r="I59" i="4"/>
  <c r="J58" i="4" s="1"/>
  <c r="V26" i="4"/>
  <c r="V27" i="4"/>
  <c r="V38" i="4"/>
  <c r="T103" i="4"/>
  <c r="V21" i="15"/>
  <c r="U26" i="15"/>
  <c r="U51" i="15" s="1"/>
  <c r="U95" i="15"/>
  <c r="U25" i="15"/>
  <c r="U19" i="15"/>
  <c r="U94" i="15" s="1"/>
  <c r="T66" i="15"/>
  <c r="T67" i="15" s="1"/>
  <c r="T27" i="15"/>
  <c r="T80" i="15" s="1"/>
  <c r="Z51" i="1"/>
  <c r="V24" i="15"/>
  <c r="V92" i="15" s="1"/>
  <c r="X22" i="4" l="1"/>
  <c r="X114" i="4"/>
  <c r="X121" i="4"/>
  <c r="X98" i="4"/>
  <c r="W27" i="4"/>
  <c r="W28" i="4" s="1"/>
  <c r="W29" i="4" s="1"/>
  <c r="W30" i="4" s="1"/>
  <c r="X20" i="4"/>
  <c r="X23" i="4"/>
  <c r="X33" i="4"/>
  <c r="X34" i="4"/>
  <c r="Y17" i="4"/>
  <c r="X37" i="4"/>
  <c r="X36" i="4"/>
  <c r="W38" i="4"/>
  <c r="X26" i="15"/>
  <c r="X95" i="15"/>
  <c r="X25" i="15"/>
  <c r="X19" i="15"/>
  <c r="X94" i="15" s="1"/>
  <c r="W27" i="15"/>
  <c r="W80" i="15" s="1"/>
  <c r="W66" i="15"/>
  <c r="W67" i="15" s="1"/>
  <c r="AA22" i="15"/>
  <c r="Z23" i="15"/>
  <c r="Z91" i="15" s="1"/>
  <c r="AA18" i="15"/>
  <c r="Y21" i="4"/>
  <c r="Y21" i="15" s="1"/>
  <c r="X26" i="4"/>
  <c r="V28" i="4"/>
  <c r="V29" i="4" s="1"/>
  <c r="V30" i="4" s="1"/>
  <c r="V40" i="4" s="1"/>
  <c r="J52" i="4"/>
  <c r="K51" i="4" s="1"/>
  <c r="U103" i="4"/>
  <c r="Z52" i="1"/>
  <c r="U27" i="15"/>
  <c r="U80" i="15" s="1"/>
  <c r="U66" i="15"/>
  <c r="U67" i="15" s="1"/>
  <c r="V25" i="15"/>
  <c r="V95" i="15"/>
  <c r="V26" i="15"/>
  <c r="V19" i="15"/>
  <c r="V94" i="15" s="1"/>
  <c r="Y22" i="4" l="1"/>
  <c r="Y114" i="4"/>
  <c r="Y121" i="4"/>
  <c r="Y98" i="4"/>
  <c r="W40" i="4"/>
  <c r="W103" i="4"/>
  <c r="X27" i="4"/>
  <c r="X28" i="4" s="1"/>
  <c r="X29" i="4" s="1"/>
  <c r="X30" i="4" s="1"/>
  <c r="X27" i="15"/>
  <c r="X80" i="15" s="1"/>
  <c r="X66" i="15"/>
  <c r="X67" i="15" s="1"/>
  <c r="X38" i="4"/>
  <c r="Y37" i="4"/>
  <c r="Y20" i="4"/>
  <c r="Y23" i="4"/>
  <c r="Y33" i="4"/>
  <c r="Y34" i="4"/>
  <c r="Z17" i="4"/>
  <c r="Y36" i="4"/>
  <c r="Y26" i="15"/>
  <c r="Y95" i="15"/>
  <c r="Y19" i="15"/>
  <c r="Y94" i="15" s="1"/>
  <c r="Y25" i="15"/>
  <c r="V51" i="15"/>
  <c r="W51" i="15"/>
  <c r="X51" i="15"/>
  <c r="AB18" i="15"/>
  <c r="AB22" i="15"/>
  <c r="AA23" i="15"/>
  <c r="AA91" i="15" s="1"/>
  <c r="Z21" i="4"/>
  <c r="Z21" i="15" s="1"/>
  <c r="Y26" i="4"/>
  <c r="J59" i="4"/>
  <c r="K58" i="4" s="1"/>
  <c r="K115" i="4"/>
  <c r="K45" i="4" s="1"/>
  <c r="V103" i="4"/>
  <c r="V27" i="15"/>
  <c r="V80" i="15" s="1"/>
  <c r="V66" i="15"/>
  <c r="V67" i="15" s="1"/>
  <c r="Z56" i="1"/>
  <c r="Z22" i="4" l="1"/>
  <c r="Z121" i="4"/>
  <c r="Z114" i="4"/>
  <c r="Z98" i="4"/>
  <c r="X40" i="4"/>
  <c r="X103" i="4"/>
  <c r="X104" i="4" s="1"/>
  <c r="Y66" i="15"/>
  <c r="Y67" i="15" s="1"/>
  <c r="Y27" i="15"/>
  <c r="Y80" i="15" s="1"/>
  <c r="Y38" i="4"/>
  <c r="Y51" i="15"/>
  <c r="Y27" i="4"/>
  <c r="Y28" i="4" s="1"/>
  <c r="Z95" i="15"/>
  <c r="Z26" i="15"/>
  <c r="Z51" i="15" s="1"/>
  <c r="Z19" i="15"/>
  <c r="Z94" i="15" s="1"/>
  <c r="Z25" i="15"/>
  <c r="Z66" i="15" s="1"/>
  <c r="Z67" i="15" s="1"/>
  <c r="AA17" i="4"/>
  <c r="Z37" i="4"/>
  <c r="Z20" i="4"/>
  <c r="Z23" i="4"/>
  <c r="Z33" i="4"/>
  <c r="Z34" i="4"/>
  <c r="Z36" i="4"/>
  <c r="AB23" i="15"/>
  <c r="AB91" i="15" s="1"/>
  <c r="Z26" i="4"/>
  <c r="AA21" i="4"/>
  <c r="AA21" i="15" s="1"/>
  <c r="Z55" i="1"/>
  <c r="AA22" i="4" l="1"/>
  <c r="AA114" i="4"/>
  <c r="AA121" i="4"/>
  <c r="AA98" i="4"/>
  <c r="K122" i="4"/>
  <c r="K46" i="4" s="1"/>
  <c r="K22" i="16" s="1"/>
  <c r="Y29" i="4"/>
  <c r="Y30" i="4" s="1"/>
  <c r="Z27" i="4"/>
  <c r="Z28" i="4" s="1"/>
  <c r="Z29" i="4" s="1"/>
  <c r="Z30" i="4" s="1"/>
  <c r="Z27" i="15"/>
  <c r="Z80" i="15" s="1"/>
  <c r="Z38" i="4"/>
  <c r="AA20" i="4"/>
  <c r="AB17" i="4"/>
  <c r="AA23" i="4"/>
  <c r="AA34" i="4"/>
  <c r="AA33" i="4"/>
  <c r="AA37" i="4"/>
  <c r="AA36" i="4"/>
  <c r="AA95" i="15"/>
  <c r="AA26" i="15"/>
  <c r="AA51" i="15" s="1"/>
  <c r="AA19" i="15"/>
  <c r="AA94" i="15" s="1"/>
  <c r="AA25" i="15"/>
  <c r="AA26" i="4"/>
  <c r="AB21" i="4"/>
  <c r="K52" i="4"/>
  <c r="L51" i="4" s="1"/>
  <c r="AB22" i="4" l="1"/>
  <c r="AB114" i="4"/>
  <c r="AB121" i="4"/>
  <c r="AB98" i="4"/>
  <c r="AA27" i="15"/>
  <c r="AA80" i="15" s="1"/>
  <c r="Z40" i="4"/>
  <c r="Z103" i="4"/>
  <c r="Z104" i="4" s="1"/>
  <c r="Y40" i="4"/>
  <c r="Y103" i="4"/>
  <c r="Y104" i="4" s="1"/>
  <c r="AA66" i="15"/>
  <c r="AA67" i="15" s="1"/>
  <c r="AA27" i="4"/>
  <c r="AA28" i="4" s="1"/>
  <c r="AA29" i="4" s="1"/>
  <c r="AA30" i="4" s="1"/>
  <c r="AB26" i="4"/>
  <c r="AB21" i="15"/>
  <c r="AB37" i="4"/>
  <c r="AB20" i="4"/>
  <c r="AB33" i="4"/>
  <c r="AB23" i="4"/>
  <c r="AB34" i="4"/>
  <c r="AB36" i="4"/>
  <c r="AA38" i="4"/>
  <c r="K59" i="4"/>
  <c r="L58" i="4" s="1"/>
  <c r="L115" i="4"/>
  <c r="L45" i="4" s="1"/>
  <c r="AA103" i="4" l="1"/>
  <c r="AA104" i="4" s="1"/>
  <c r="AA40" i="4"/>
  <c r="AB95" i="15"/>
  <c r="AB26" i="15"/>
  <c r="AB19" i="15"/>
  <c r="AB94" i="15" s="1"/>
  <c r="D43" i="15"/>
  <c r="D38" i="15"/>
  <c r="AB25" i="15"/>
  <c r="AB38" i="4"/>
  <c r="V52" i="15" s="1"/>
  <c r="AB27" i="4"/>
  <c r="AB28" i="4" s="1"/>
  <c r="L122" i="4" l="1"/>
  <c r="L46" i="4" s="1"/>
  <c r="L22" i="16" s="1"/>
  <c r="AB29" i="4"/>
  <c r="AB30" i="4" s="1"/>
  <c r="AA52" i="15"/>
  <c r="AB52" i="15"/>
  <c r="C52" i="15"/>
  <c r="D52" i="15"/>
  <c r="D53" i="15" s="1"/>
  <c r="E52" i="15"/>
  <c r="E53" i="15" s="1"/>
  <c r="G52" i="15"/>
  <c r="G53" i="15" s="1"/>
  <c r="F52" i="15"/>
  <c r="F53" i="15" s="1"/>
  <c r="H52" i="15"/>
  <c r="H53" i="15" s="1"/>
  <c r="J52" i="15"/>
  <c r="I52" i="15"/>
  <c r="I53" i="15" s="1"/>
  <c r="K52" i="15"/>
  <c r="L52" i="15"/>
  <c r="M52" i="15"/>
  <c r="O52" i="15"/>
  <c r="N52" i="15"/>
  <c r="Q52" i="15"/>
  <c r="P52" i="15"/>
  <c r="S52" i="15"/>
  <c r="R52" i="15"/>
  <c r="T52" i="15"/>
  <c r="Y52" i="15"/>
  <c r="Z52" i="15"/>
  <c r="AB27" i="15"/>
  <c r="D39" i="15"/>
  <c r="D40" i="15" s="1"/>
  <c r="AB66" i="15"/>
  <c r="AB67" i="15" s="1"/>
  <c r="AB51" i="15"/>
  <c r="D44" i="15"/>
  <c r="D45" i="15" s="1"/>
  <c r="U52" i="15"/>
  <c r="X52" i="15"/>
  <c r="W52" i="15"/>
  <c r="L52" i="4"/>
  <c r="M51" i="4" s="1"/>
  <c r="AB40" i="4" l="1"/>
  <c r="AB103" i="4"/>
  <c r="AB104" i="4" s="1"/>
  <c r="AB80" i="15"/>
  <c r="D28" i="15"/>
  <c r="M115" i="4"/>
  <c r="M45" i="4" s="1"/>
  <c r="D81" i="15" l="1"/>
  <c r="L59" i="4"/>
  <c r="M58" i="4" s="1"/>
  <c r="M122" i="4"/>
  <c r="M46" i="4" s="1"/>
  <c r="M22" i="16" s="1"/>
  <c r="M52" i="4" l="1"/>
  <c r="N51" i="4" s="1"/>
  <c r="N122" i="4" l="1"/>
  <c r="N46" i="4" s="1"/>
  <c r="N22" i="16" s="1"/>
  <c r="N115" i="4"/>
  <c r="N45" i="4" s="1"/>
  <c r="M59" i="4" l="1"/>
  <c r="N58" i="4" s="1"/>
  <c r="N52" i="4" l="1"/>
  <c r="O51" i="4" s="1"/>
  <c r="O122" i="4" l="1"/>
  <c r="O46" i="4" s="1"/>
  <c r="O22" i="16" s="1"/>
  <c r="O115" i="4"/>
  <c r="O45" i="4" s="1"/>
  <c r="N59" i="4" l="1"/>
  <c r="O58" i="4" s="1"/>
  <c r="O52" i="4" l="1"/>
  <c r="P51" i="4" s="1"/>
  <c r="O59" i="4" l="1"/>
  <c r="P58" i="4" s="1"/>
  <c r="P115" i="4"/>
  <c r="P45" i="4" s="1"/>
  <c r="P122" i="4" l="1"/>
  <c r="P46" i="4" s="1"/>
  <c r="P22" i="16" s="1"/>
  <c r="P52" i="4" l="1"/>
  <c r="Q51" i="4" s="1"/>
  <c r="Q122" i="4" l="1"/>
  <c r="Q46" i="4" s="1"/>
  <c r="Q22" i="16" s="1"/>
  <c r="Q115" i="4"/>
  <c r="Q45" i="4" s="1"/>
  <c r="P59" i="4" l="1"/>
  <c r="Q58" i="4" s="1"/>
  <c r="Q52" i="4" l="1"/>
  <c r="R51" i="4" s="1"/>
  <c r="R122" i="4" l="1"/>
  <c r="R46" i="4" s="1"/>
  <c r="R22" i="16" s="1"/>
  <c r="R115" i="4"/>
  <c r="R45" i="4" s="1"/>
  <c r="Q59" i="4" l="1"/>
  <c r="R58" i="4" s="1"/>
  <c r="R52" i="4" l="1"/>
  <c r="S51" i="4" s="1"/>
  <c r="R59" i="4" l="1"/>
  <c r="S58" i="4" s="1"/>
  <c r="S115" i="4"/>
  <c r="S45" i="4" s="1"/>
  <c r="S122" i="4" l="1"/>
  <c r="S46" i="4" s="1"/>
  <c r="S22" i="16" s="1"/>
  <c r="S52" i="4" l="1"/>
  <c r="T51" i="4" s="1"/>
  <c r="T122" i="4" l="1"/>
  <c r="T46" i="4" s="1"/>
  <c r="T22" i="16" s="1"/>
  <c r="T115" i="4"/>
  <c r="T45" i="4" s="1"/>
  <c r="S59" i="4" l="1"/>
  <c r="T58" i="4" s="1"/>
  <c r="T52" i="4" l="1"/>
  <c r="U51" i="4" s="1"/>
  <c r="U122" i="4" l="1"/>
  <c r="U46" i="4" s="1"/>
  <c r="U22" i="16" s="1"/>
  <c r="U115" i="4"/>
  <c r="U45" i="4" s="1"/>
  <c r="T59" i="4" l="1"/>
  <c r="U58" i="4" s="1"/>
  <c r="U52" i="4" l="1"/>
  <c r="V51" i="4" s="1"/>
  <c r="V122" i="4" l="1"/>
  <c r="V46" i="4" s="1"/>
  <c r="V22" i="16" s="1"/>
  <c r="V115" i="4"/>
  <c r="V45" i="4" s="1"/>
  <c r="U59" i="4" l="1"/>
  <c r="V58" i="4" s="1"/>
  <c r="V52" i="4" l="1"/>
  <c r="W51" i="4" s="1"/>
  <c r="W115" i="4" l="1"/>
  <c r="W122" i="4"/>
  <c r="W46" i="4" s="1"/>
  <c r="W22" i="16" s="1"/>
  <c r="W45" i="4"/>
  <c r="X115" i="4" l="1"/>
  <c r="W52" i="4"/>
  <c r="X51" i="4" s="1"/>
  <c r="X45" i="4"/>
  <c r="V59" i="4"/>
  <c r="W58" i="4" s="1"/>
  <c r="W59" i="4" s="1"/>
  <c r="X58" i="4" s="1"/>
  <c r="Y115" i="4" l="1"/>
  <c r="Y45" i="4"/>
  <c r="X122" i="4"/>
  <c r="X46" i="4" s="1"/>
  <c r="X52" i="4" l="1"/>
  <c r="Y51" i="4" s="1"/>
  <c r="X22" i="16"/>
  <c r="Y122" i="4" l="1"/>
  <c r="Y46" i="4" s="1"/>
  <c r="Y22" i="16" s="1"/>
  <c r="X59" i="4"/>
  <c r="Y58" i="4" s="1"/>
  <c r="Y52" i="4" l="1"/>
  <c r="Z51" i="4" s="1"/>
  <c r="Z115" i="4" l="1"/>
  <c r="Z45" i="4" s="1"/>
  <c r="Y59" i="4"/>
  <c r="Z58" i="4" s="1"/>
  <c r="Z122" i="4" l="1"/>
  <c r="Z46" i="4" s="1"/>
  <c r="Z22" i="16" s="1"/>
  <c r="Z52" i="4" l="1"/>
  <c r="AA51" i="4" s="1"/>
  <c r="AA115" i="4" l="1"/>
  <c r="AA45" i="4" s="1"/>
  <c r="Z59" i="4"/>
  <c r="AA58" i="4" s="1"/>
  <c r="AA122" i="4"/>
  <c r="AA46" i="4" s="1"/>
  <c r="AA22" i="16" s="1"/>
  <c r="AA52" i="4" l="1"/>
  <c r="AB51" i="4" s="1"/>
  <c r="AA59" i="4" l="1"/>
  <c r="AB58" i="4" s="1"/>
  <c r="AB122" i="4"/>
  <c r="AB46" i="4" s="1"/>
  <c r="AB22" i="16" s="1"/>
  <c r="AB115" i="4"/>
  <c r="AB45" i="4" s="1"/>
  <c r="AB52" i="4" l="1"/>
  <c r="AB59" i="4" l="1"/>
  <c r="P55" i="1" l="1"/>
  <c r="P37" i="1" l="1"/>
  <c r="P66" i="1"/>
  <c r="E39" i="1"/>
  <c r="C92" i="1" l="1"/>
  <c r="E98" i="4"/>
  <c r="E104" i="4" s="1"/>
  <c r="D98" i="4"/>
  <c r="D134" i="4"/>
  <c r="C101" i="4"/>
  <c r="D99" i="4" s="1"/>
  <c r="F98" i="4"/>
  <c r="H98" i="4"/>
  <c r="G98" i="4"/>
  <c r="I98" i="4"/>
  <c r="J98" i="4"/>
  <c r="K98" i="4"/>
  <c r="L98" i="4"/>
  <c r="M98" i="4"/>
  <c r="N98" i="4"/>
  <c r="O98" i="4"/>
  <c r="P98" i="4"/>
  <c r="Q98" i="4"/>
  <c r="R98" i="4"/>
  <c r="S98" i="4"/>
  <c r="T98" i="4"/>
  <c r="U98" i="4"/>
  <c r="V98" i="4"/>
  <c r="W98" i="4"/>
  <c r="H23" i="1"/>
  <c r="E73" i="1"/>
  <c r="D73" i="1"/>
  <c r="C73" i="1"/>
  <c r="P104" i="4" l="1"/>
  <c r="O104" i="4"/>
  <c r="H104" i="4"/>
  <c r="V104" i="4"/>
  <c r="N104" i="4"/>
  <c r="F104" i="4"/>
  <c r="U104" i="4"/>
  <c r="T104" i="4"/>
  <c r="L104" i="4"/>
  <c r="G104" i="4"/>
  <c r="M104" i="4"/>
  <c r="K104" i="4"/>
  <c r="R104" i="4"/>
  <c r="J104" i="4"/>
  <c r="D100" i="4"/>
  <c r="D104" i="4"/>
  <c r="D105" i="4" s="1"/>
  <c r="W104" i="4"/>
  <c r="D42" i="4"/>
  <c r="D113" i="4" s="1"/>
  <c r="D160" i="4"/>
  <c r="S104" i="4"/>
  <c r="Q104" i="4"/>
  <c r="I104" i="4"/>
  <c r="C69" i="16"/>
  <c r="E51" i="1"/>
  <c r="P38" i="1"/>
  <c r="P39" i="1" s="1"/>
  <c r="Y60" i="1"/>
  <c r="Z65" i="1" s="1"/>
  <c r="H24" i="1"/>
  <c r="P67" i="1"/>
  <c r="P68" i="1" s="1"/>
  <c r="C56" i="16"/>
  <c r="P22" i="1"/>
  <c r="C97" i="1"/>
  <c r="H49" i="1"/>
  <c r="H50" i="1" s="1"/>
  <c r="D101" i="4" l="1"/>
  <c r="D75" i="4"/>
  <c r="D161" i="4"/>
  <c r="E105" i="4"/>
  <c r="F105" i="4" s="1"/>
  <c r="D76" i="4"/>
  <c r="E76" i="4" s="1"/>
  <c r="F76" i="4" s="1"/>
  <c r="G76" i="4" s="1"/>
  <c r="D58" i="4"/>
  <c r="E54" i="1"/>
  <c r="D56" i="1"/>
  <c r="F121" i="4" s="1"/>
  <c r="D55" i="1"/>
  <c r="E121" i="4" s="1"/>
  <c r="D58" i="1"/>
  <c r="H121" i="4" s="1"/>
  <c r="D57" i="1"/>
  <c r="G121" i="4" s="1"/>
  <c r="E59" i="1"/>
  <c r="I114" i="4" s="1"/>
  <c r="E55" i="1"/>
  <c r="E114" i="4" s="1"/>
  <c r="E57" i="1"/>
  <c r="G114" i="4" s="1"/>
  <c r="D59" i="1"/>
  <c r="I121" i="4" s="1"/>
  <c r="E56" i="1"/>
  <c r="F114" i="4" s="1"/>
  <c r="E58" i="1"/>
  <c r="H114" i="4" s="1"/>
  <c r="D54" i="1"/>
  <c r="H55" i="1"/>
  <c r="D51" i="4" s="1"/>
  <c r="C93" i="16"/>
  <c r="C71" i="16"/>
  <c r="O50" i="1"/>
  <c r="C87" i="4"/>
  <c r="H32" i="1"/>
  <c r="P23" i="1" s="1"/>
  <c r="P24" i="1" s="1"/>
  <c r="G37" i="16"/>
  <c r="E37" i="16"/>
  <c r="D133" i="4"/>
  <c r="F37" i="16"/>
  <c r="C80" i="4"/>
  <c r="D37" i="16"/>
  <c r="H37" i="16"/>
  <c r="P50" i="1"/>
  <c r="C58" i="16"/>
  <c r="C92" i="16"/>
  <c r="G105" i="4" l="1"/>
  <c r="H105" i="4" s="1"/>
  <c r="I105" i="4" s="1"/>
  <c r="J105" i="4" s="1"/>
  <c r="K105" i="4" s="1"/>
  <c r="L105" i="4" s="1"/>
  <c r="M105" i="4" s="1"/>
  <c r="N105" i="4" s="1"/>
  <c r="O105" i="4" s="1"/>
  <c r="P105" i="4" s="1"/>
  <c r="Q105" i="4" s="1"/>
  <c r="R105" i="4" s="1"/>
  <c r="S105" i="4" s="1"/>
  <c r="T105" i="4" s="1"/>
  <c r="U105" i="4" s="1"/>
  <c r="V105" i="4" s="1"/>
  <c r="W105" i="4" s="1"/>
  <c r="X105" i="4" s="1"/>
  <c r="Y105" i="4" s="1"/>
  <c r="Z105" i="4" s="1"/>
  <c r="AA105" i="4" s="1"/>
  <c r="AB105" i="4" s="1"/>
  <c r="E99" i="4"/>
  <c r="H76" i="4"/>
  <c r="I76" i="4" s="1"/>
  <c r="J76" i="4" s="1"/>
  <c r="D121" i="4"/>
  <c r="D60" i="1"/>
  <c r="H166" i="4"/>
  <c r="H46" i="4"/>
  <c r="C97" i="16"/>
  <c r="C60" i="16"/>
  <c r="I45" i="4"/>
  <c r="C73" i="16"/>
  <c r="C89" i="16" s="1"/>
  <c r="C98" i="16"/>
  <c r="H45" i="4"/>
  <c r="E166" i="4"/>
  <c r="E46" i="4"/>
  <c r="E45" i="4"/>
  <c r="C88" i="4"/>
  <c r="C68" i="15"/>
  <c r="F45" i="4"/>
  <c r="F166" i="4"/>
  <c r="F46" i="4"/>
  <c r="C81" i="4"/>
  <c r="C49" i="15"/>
  <c r="C53" i="15" s="1"/>
  <c r="C56" i="15" s="1"/>
  <c r="C24" i="16"/>
  <c r="G45" i="4"/>
  <c r="G166" i="4"/>
  <c r="G46" i="4"/>
  <c r="G22" i="16" s="1"/>
  <c r="I166" i="4"/>
  <c r="I46" i="4"/>
  <c r="E60" i="1"/>
  <c r="D114" i="4"/>
  <c r="E100" i="4" l="1"/>
  <c r="E160" i="4"/>
  <c r="E42" i="4"/>
  <c r="E113" i="4" s="1"/>
  <c r="C105" i="4"/>
  <c r="P32" i="1" s="1"/>
  <c r="K76" i="4"/>
  <c r="C69" i="15"/>
  <c r="E171" i="4"/>
  <c r="E173" i="4"/>
  <c r="E168" i="4"/>
  <c r="C84" i="15"/>
  <c r="Y62" i="1"/>
  <c r="G171" i="4"/>
  <c r="G173" i="4"/>
  <c r="G168" i="4"/>
  <c r="C88" i="16"/>
  <c r="D46" i="4"/>
  <c r="D22" i="16" s="1"/>
  <c r="D166" i="4"/>
  <c r="I22" i="16"/>
  <c r="F22" i="16"/>
  <c r="H22" i="16"/>
  <c r="D45" i="4"/>
  <c r="D49" i="4" s="1"/>
  <c r="D50" i="4" s="1"/>
  <c r="D117" i="4"/>
  <c r="D72" i="4" s="1"/>
  <c r="D116" i="4"/>
  <c r="I171" i="4"/>
  <c r="I173" i="4"/>
  <c r="I168" i="4"/>
  <c r="F171" i="4"/>
  <c r="F168" i="4"/>
  <c r="F173" i="4"/>
  <c r="H171" i="4"/>
  <c r="H173" i="4"/>
  <c r="H168" i="4"/>
  <c r="E22" i="16"/>
  <c r="E49" i="4" l="1"/>
  <c r="E50" i="4" s="1"/>
  <c r="E53" i="4" s="1"/>
  <c r="E120" i="4" s="1"/>
  <c r="E123" i="4" s="1"/>
  <c r="E75" i="4"/>
  <c r="E161" i="4"/>
  <c r="E101" i="4"/>
  <c r="E116" i="4"/>
  <c r="E117" i="4"/>
  <c r="E72" i="4" s="1"/>
  <c r="L76" i="4"/>
  <c r="D171" i="4"/>
  <c r="D168" i="4"/>
  <c r="D173" i="4"/>
  <c r="D174" i="4" s="1"/>
  <c r="E174" i="4" s="1"/>
  <c r="F174" i="4" s="1"/>
  <c r="G174" i="4" s="1"/>
  <c r="H174" i="4" s="1"/>
  <c r="I174" i="4" s="1"/>
  <c r="J174" i="4" s="1"/>
  <c r="K174" i="4" s="1"/>
  <c r="L174" i="4" s="1"/>
  <c r="M174" i="4" s="1"/>
  <c r="D155" i="4"/>
  <c r="D28" i="16"/>
  <c r="D52" i="4"/>
  <c r="D71" i="4" s="1"/>
  <c r="D27" i="16" s="1"/>
  <c r="D53" i="4"/>
  <c r="E56" i="4" l="1"/>
  <c r="E57" i="4" s="1"/>
  <c r="E60" i="4" s="1"/>
  <c r="E62" i="4" s="1"/>
  <c r="E21" i="16" s="1"/>
  <c r="E24" i="16" s="1"/>
  <c r="E36" i="16" s="1"/>
  <c r="E38" i="16" s="1"/>
  <c r="E40" i="16" s="1"/>
  <c r="E41" i="16" s="1"/>
  <c r="E43" i="16" s="1"/>
  <c r="E124" i="4"/>
  <c r="E70" i="4" s="1"/>
  <c r="E29" i="16" s="1"/>
  <c r="E155" i="4"/>
  <c r="E28" i="16"/>
  <c r="F99" i="4"/>
  <c r="M76" i="4"/>
  <c r="N76" i="4" s="1"/>
  <c r="D56" i="4"/>
  <c r="D57" i="4" s="1"/>
  <c r="D120" i="4"/>
  <c r="E31" i="16" l="1"/>
  <c r="E57" i="16" s="1"/>
  <c r="E70" i="16" s="1"/>
  <c r="E80" i="4"/>
  <c r="E152" i="4" s="1"/>
  <c r="E159" i="4" s="1"/>
  <c r="E73" i="4"/>
  <c r="E87" i="4" s="1"/>
  <c r="E68" i="15" s="1"/>
  <c r="E69" i="15" s="1"/>
  <c r="E154" i="4"/>
  <c r="E84" i="4"/>
  <c r="F160" i="4"/>
  <c r="F42" i="4"/>
  <c r="F100" i="4"/>
  <c r="E44" i="16"/>
  <c r="E48" i="16" s="1"/>
  <c r="O76" i="4"/>
  <c r="D123" i="4"/>
  <c r="D124" i="4"/>
  <c r="D70" i="4" s="1"/>
  <c r="D59" i="4"/>
  <c r="D69" i="4" s="1"/>
  <c r="D60" i="4"/>
  <c r="D62" i="4" s="1"/>
  <c r="F75" i="4" l="1"/>
  <c r="F161" i="4"/>
  <c r="F101" i="4"/>
  <c r="F113" i="4"/>
  <c r="F49" i="4"/>
  <c r="F50" i="4" s="1"/>
  <c r="F53" i="4" s="1"/>
  <c r="F120" i="4" s="1"/>
  <c r="E45" i="16"/>
  <c r="E49" i="16" s="1"/>
  <c r="E69" i="16" s="1"/>
  <c r="E71" i="16" s="1"/>
  <c r="E98" i="16" s="1"/>
  <c r="D80" i="4"/>
  <c r="D21" i="16"/>
  <c r="D24" i="16" s="1"/>
  <c r="D36" i="16" s="1"/>
  <c r="D38" i="16" s="1"/>
  <c r="P76" i="4"/>
  <c r="E56" i="16"/>
  <c r="E58" i="16" s="1"/>
  <c r="E97" i="16" s="1"/>
  <c r="D30" i="16"/>
  <c r="D153" i="4"/>
  <c r="E138" i="4" s="1"/>
  <c r="D73" i="4"/>
  <c r="D87" i="4" s="1"/>
  <c r="D154" i="4"/>
  <c r="D29" i="16"/>
  <c r="F56" i="4" l="1"/>
  <c r="F57" i="4" s="1"/>
  <c r="F60" i="4" s="1"/>
  <c r="F62" i="4" s="1"/>
  <c r="F123" i="4"/>
  <c r="F124" i="4"/>
  <c r="F70" i="4" s="1"/>
  <c r="F116" i="4"/>
  <c r="F117" i="4"/>
  <c r="F72" i="4" s="1"/>
  <c r="G99" i="4"/>
  <c r="D31" i="16"/>
  <c r="D57" i="16" s="1"/>
  <c r="D70" i="16" s="1"/>
  <c r="E50" i="16"/>
  <c r="D68" i="15"/>
  <c r="D88" i="4"/>
  <c r="E88" i="4" s="1"/>
  <c r="Q76" i="4"/>
  <c r="D40" i="16"/>
  <c r="D41" i="16" s="1"/>
  <c r="D43" i="16" s="1"/>
  <c r="D152" i="4"/>
  <c r="D84" i="4"/>
  <c r="D81" i="4"/>
  <c r="E81" i="4" s="1"/>
  <c r="F154" i="4" l="1"/>
  <c r="F73" i="4"/>
  <c r="F87" i="4" s="1"/>
  <c r="F68" i="15" s="1"/>
  <c r="F69" i="15" s="1"/>
  <c r="F29" i="16"/>
  <c r="G42" i="4"/>
  <c r="G160" i="4"/>
  <c r="G100" i="4"/>
  <c r="F155" i="4"/>
  <c r="F28" i="16"/>
  <c r="F21" i="16"/>
  <c r="F24" i="16" s="1"/>
  <c r="F36" i="16" s="1"/>
  <c r="F38" i="16" s="1"/>
  <c r="F40" i="16" s="1"/>
  <c r="F41" i="16" s="1"/>
  <c r="F43" i="16" s="1"/>
  <c r="F80" i="4"/>
  <c r="F81" i="4" s="1"/>
  <c r="D44" i="16"/>
  <c r="D48" i="16" s="1"/>
  <c r="R76" i="4"/>
  <c r="D159" i="4"/>
  <c r="D69" i="15"/>
  <c r="F31" i="16" l="1"/>
  <c r="F57" i="16" s="1"/>
  <c r="F70" i="16" s="1"/>
  <c r="G113" i="4"/>
  <c r="G49" i="4"/>
  <c r="G50" i="4" s="1"/>
  <c r="G53" i="4" s="1"/>
  <c r="G120" i="4" s="1"/>
  <c r="F44" i="16"/>
  <c r="F48" i="16" s="1"/>
  <c r="G75" i="4"/>
  <c r="G161" i="4"/>
  <c r="G101" i="4"/>
  <c r="F84" i="4"/>
  <c r="F152" i="4"/>
  <c r="F159" i="4" s="1"/>
  <c r="F88" i="4"/>
  <c r="D45" i="16"/>
  <c r="D49" i="16" s="1"/>
  <c r="D69" i="16" s="1"/>
  <c r="D71" i="16" s="1"/>
  <c r="S76" i="4"/>
  <c r="D56" i="16"/>
  <c r="G56" i="4" l="1"/>
  <c r="G57" i="4" s="1"/>
  <c r="G60" i="4" s="1"/>
  <c r="G62" i="4" s="1"/>
  <c r="G21" i="16" s="1"/>
  <c r="G24" i="16" s="1"/>
  <c r="G36" i="16" s="1"/>
  <c r="G38" i="16" s="1"/>
  <c r="G40" i="16" s="1"/>
  <c r="G41" i="16" s="1"/>
  <c r="G43" i="16" s="1"/>
  <c r="F45" i="16"/>
  <c r="F49" i="16" s="1"/>
  <c r="F69" i="16" s="1"/>
  <c r="F71" i="16" s="1"/>
  <c r="F98" i="16" s="1"/>
  <c r="H99" i="4"/>
  <c r="F56" i="16"/>
  <c r="F58" i="16" s="1"/>
  <c r="F97" i="16" s="1"/>
  <c r="G124" i="4"/>
  <c r="G70" i="4" s="1"/>
  <c r="G123" i="4"/>
  <c r="G116" i="4"/>
  <c r="G117" i="4"/>
  <c r="G72" i="4" s="1"/>
  <c r="D50" i="16"/>
  <c r="D58" i="16"/>
  <c r="D73" i="16"/>
  <c r="D98" i="16"/>
  <c r="D72" i="16"/>
  <c r="E72" i="16"/>
  <c r="F72" i="16"/>
  <c r="T76" i="4"/>
  <c r="F50" i="16" l="1"/>
  <c r="G80" i="4"/>
  <c r="G155" i="4"/>
  <c r="G28" i="16"/>
  <c r="G152" i="4"/>
  <c r="G159" i="4" s="1"/>
  <c r="G84" i="4"/>
  <c r="G81" i="4"/>
  <c r="H42" i="4"/>
  <c r="H160" i="4"/>
  <c r="H100" i="4"/>
  <c r="G73" i="4"/>
  <c r="G87" i="4" s="1"/>
  <c r="G154" i="4"/>
  <c r="G29" i="16"/>
  <c r="G44" i="16"/>
  <c r="G48" i="16" s="1"/>
  <c r="D89" i="16"/>
  <c r="E73" i="16"/>
  <c r="D97" i="16"/>
  <c r="E59" i="16"/>
  <c r="F59" i="16"/>
  <c r="D59" i="16"/>
  <c r="D60" i="16"/>
  <c r="U76" i="4"/>
  <c r="G31" i="16" l="1"/>
  <c r="G57" i="16" s="1"/>
  <c r="G70" i="16" s="1"/>
  <c r="G45" i="16"/>
  <c r="G49" i="16" s="1"/>
  <c r="G69" i="16" s="1"/>
  <c r="H75" i="4"/>
  <c r="H161" i="4"/>
  <c r="H101" i="4"/>
  <c r="G56" i="16"/>
  <c r="G58" i="16" s="1"/>
  <c r="H113" i="4"/>
  <c r="H49" i="4"/>
  <c r="H50" i="4" s="1"/>
  <c r="H53" i="4" s="1"/>
  <c r="H120" i="4" s="1"/>
  <c r="G68" i="15"/>
  <c r="G69" i="15" s="1"/>
  <c r="G88" i="4"/>
  <c r="E89" i="16"/>
  <c r="F73" i="16"/>
  <c r="V76" i="4"/>
  <c r="D88" i="16"/>
  <c r="E60" i="16"/>
  <c r="G71" i="16" l="1"/>
  <c r="G98" i="16" s="1"/>
  <c r="G72" i="16"/>
  <c r="G50" i="16"/>
  <c r="G97" i="16"/>
  <c r="G59" i="16"/>
  <c r="H56" i="4"/>
  <c r="H57" i="4" s="1"/>
  <c r="H60" i="4" s="1"/>
  <c r="H62" i="4" s="1"/>
  <c r="I99" i="4"/>
  <c r="H117" i="4"/>
  <c r="H72" i="4" s="1"/>
  <c r="H116" i="4"/>
  <c r="H124" i="4"/>
  <c r="H70" i="4" s="1"/>
  <c r="H123" i="4"/>
  <c r="E88" i="16"/>
  <c r="F60" i="16"/>
  <c r="W76" i="4"/>
  <c r="F89" i="16"/>
  <c r="G73" i="16"/>
  <c r="H73" i="4" l="1"/>
  <c r="H154" i="4"/>
  <c r="H29" i="16"/>
  <c r="H80" i="4"/>
  <c r="H21" i="16"/>
  <c r="H24" i="16" s="1"/>
  <c r="H36" i="16" s="1"/>
  <c r="H38" i="16" s="1"/>
  <c r="H40" i="16" s="1"/>
  <c r="H41" i="16" s="1"/>
  <c r="H43" i="16" s="1"/>
  <c r="H87" i="4"/>
  <c r="I42" i="4"/>
  <c r="I160" i="4"/>
  <c r="I100" i="4"/>
  <c r="H155" i="4"/>
  <c r="H28" i="16"/>
  <c r="F88" i="16"/>
  <c r="G60" i="16"/>
  <c r="G89" i="16"/>
  <c r="X76" i="4"/>
  <c r="I113" i="4" l="1"/>
  <c r="I49" i="4"/>
  <c r="I50" i="4" s="1"/>
  <c r="I53" i="4" s="1"/>
  <c r="I120" i="4" s="1"/>
  <c r="H68" i="15"/>
  <c r="H69" i="15" s="1"/>
  <c r="H88" i="4"/>
  <c r="H44" i="16"/>
  <c r="H48" i="16" s="1"/>
  <c r="H84" i="4"/>
  <c r="H152" i="4"/>
  <c r="H159" i="4" s="1"/>
  <c r="H81" i="4"/>
  <c r="H31" i="16"/>
  <c r="H57" i="16" s="1"/>
  <c r="H70" i="16" s="1"/>
  <c r="I75" i="4"/>
  <c r="I161" i="4"/>
  <c r="I101" i="4"/>
  <c r="Y76" i="4"/>
  <c r="G88" i="16"/>
  <c r="H56" i="16" l="1"/>
  <c r="H58" i="16" s="1"/>
  <c r="I124" i="4"/>
  <c r="I70" i="4" s="1"/>
  <c r="I123" i="4"/>
  <c r="H45" i="16"/>
  <c r="H49" i="16" s="1"/>
  <c r="H69" i="16" s="1"/>
  <c r="H71" i="16" s="1"/>
  <c r="J99" i="4"/>
  <c r="I56" i="4"/>
  <c r="I57" i="4" s="1"/>
  <c r="I60" i="4" s="1"/>
  <c r="I62" i="4" s="1"/>
  <c r="I117" i="4"/>
  <c r="I72" i="4" s="1"/>
  <c r="I116" i="4"/>
  <c r="Z76" i="4"/>
  <c r="I154" i="4" l="1"/>
  <c r="I29" i="16"/>
  <c r="I73" i="4"/>
  <c r="I87" i="4" s="1"/>
  <c r="J42" i="4"/>
  <c r="J160" i="4"/>
  <c r="J100" i="4"/>
  <c r="I28" i="16"/>
  <c r="I155" i="4"/>
  <c r="H98" i="16"/>
  <c r="H72" i="16"/>
  <c r="H73" i="16"/>
  <c r="I80" i="4"/>
  <c r="I21" i="16"/>
  <c r="I24" i="16" s="1"/>
  <c r="I36" i="16" s="1"/>
  <c r="I38" i="16" s="1"/>
  <c r="I41" i="16" s="1"/>
  <c r="I43" i="16" s="1"/>
  <c r="H97" i="16"/>
  <c r="H59" i="16"/>
  <c r="H60" i="16"/>
  <c r="H50" i="16"/>
  <c r="AA76" i="4"/>
  <c r="I152" i="4" l="1"/>
  <c r="I159" i="4" s="1"/>
  <c r="I84" i="4"/>
  <c r="I81" i="4"/>
  <c r="H89" i="16"/>
  <c r="I44" i="16"/>
  <c r="I48" i="16" s="1"/>
  <c r="H88" i="16"/>
  <c r="J75" i="4"/>
  <c r="J161" i="4"/>
  <c r="J101" i="4"/>
  <c r="I31" i="16"/>
  <c r="I57" i="16" s="1"/>
  <c r="I70" i="16" s="1"/>
  <c r="J113" i="4"/>
  <c r="J49" i="4"/>
  <c r="J50" i="4" s="1"/>
  <c r="J53" i="4" s="1"/>
  <c r="J56" i="4" s="1"/>
  <c r="J57" i="4" s="1"/>
  <c r="J60" i="4" s="1"/>
  <c r="J62" i="4" s="1"/>
  <c r="I68" i="15"/>
  <c r="I69" i="15" s="1"/>
  <c r="I88" i="4"/>
  <c r="AB76" i="4"/>
  <c r="I56" i="16" l="1"/>
  <c r="I58" i="16" s="1"/>
  <c r="J21" i="16"/>
  <c r="J24" i="16" s="1"/>
  <c r="J36" i="16" s="1"/>
  <c r="J38" i="16" s="1"/>
  <c r="J41" i="16" s="1"/>
  <c r="J43" i="16" s="1"/>
  <c r="J80" i="4"/>
  <c r="K99" i="4"/>
  <c r="J120" i="4"/>
  <c r="I45" i="16"/>
  <c r="I49" i="16" s="1"/>
  <c r="I69" i="16" s="1"/>
  <c r="I71" i="16" s="1"/>
  <c r="J117" i="4"/>
  <c r="J72" i="4" s="1"/>
  <c r="J116" i="4"/>
  <c r="K160" i="4" l="1"/>
  <c r="K42" i="4"/>
  <c r="K100" i="4"/>
  <c r="J84" i="4"/>
  <c r="J152" i="4"/>
  <c r="J159" i="4" s="1"/>
  <c r="J155" i="4"/>
  <c r="J28" i="16"/>
  <c r="J44" i="16"/>
  <c r="J48" i="16" s="1"/>
  <c r="I98" i="16"/>
  <c r="I72" i="16"/>
  <c r="I73" i="16"/>
  <c r="J81" i="4"/>
  <c r="J123" i="4"/>
  <c r="J124" i="4"/>
  <c r="J70" i="4" s="1"/>
  <c r="I50" i="16"/>
  <c r="I97" i="16"/>
  <c r="I59" i="16"/>
  <c r="C66" i="16" s="1"/>
  <c r="I60" i="16"/>
  <c r="I88" i="16" l="1"/>
  <c r="K75" i="4"/>
  <c r="K161" i="4"/>
  <c r="K101" i="4"/>
  <c r="K49" i="4"/>
  <c r="K50" i="4" s="1"/>
  <c r="K53" i="4" s="1"/>
  <c r="K56" i="4" s="1"/>
  <c r="K57" i="4" s="1"/>
  <c r="K60" i="4" s="1"/>
  <c r="K62" i="4" s="1"/>
  <c r="K113" i="4"/>
  <c r="J56" i="16"/>
  <c r="I89" i="16"/>
  <c r="J29" i="16"/>
  <c r="J31" i="16" s="1"/>
  <c r="J73" i="4"/>
  <c r="J87" i="4" s="1"/>
  <c r="J154" i="4"/>
  <c r="J45" i="16"/>
  <c r="J49" i="16" s="1"/>
  <c r="J69" i="16" s="1"/>
  <c r="J50" i="16" l="1"/>
  <c r="K21" i="16"/>
  <c r="K24" i="16" s="1"/>
  <c r="K36" i="16" s="1"/>
  <c r="K38" i="16" s="1"/>
  <c r="K41" i="16" s="1"/>
  <c r="K43" i="16" s="1"/>
  <c r="K80" i="4"/>
  <c r="L99" i="4"/>
  <c r="J68" i="15"/>
  <c r="J88" i="4"/>
  <c r="K116" i="4"/>
  <c r="K117" i="4"/>
  <c r="K72" i="4" s="1"/>
  <c r="K120" i="4"/>
  <c r="J57" i="16"/>
  <c r="J58" i="16" s="1"/>
  <c r="J97" i="16" l="1"/>
  <c r="J59" i="16"/>
  <c r="J60" i="16"/>
  <c r="K123" i="4"/>
  <c r="K124" i="4"/>
  <c r="K70" i="4" s="1"/>
  <c r="K155" i="4"/>
  <c r="K28" i="16"/>
  <c r="J69" i="15"/>
  <c r="L42" i="4"/>
  <c r="L160" i="4"/>
  <c r="L100" i="4"/>
  <c r="K152" i="4"/>
  <c r="K84" i="4"/>
  <c r="K81" i="4"/>
  <c r="J70" i="16"/>
  <c r="J71" i="16" s="1"/>
  <c r="K44" i="16"/>
  <c r="K48" i="16" s="1"/>
  <c r="K45" i="16" l="1"/>
  <c r="K49" i="16" s="1"/>
  <c r="K69" i="16" s="1"/>
  <c r="K154" i="4"/>
  <c r="K73" i="4"/>
  <c r="K87" i="4" s="1"/>
  <c r="K29" i="16"/>
  <c r="K31" i="16" s="1"/>
  <c r="K159" i="4"/>
  <c r="K56" i="16"/>
  <c r="L113" i="4"/>
  <c r="L49" i="4"/>
  <c r="L50" i="4" s="1"/>
  <c r="L53" i="4" s="1"/>
  <c r="L56" i="4" s="1"/>
  <c r="J88" i="16"/>
  <c r="L75" i="4"/>
  <c r="L161" i="4"/>
  <c r="L101" i="4"/>
  <c r="J98" i="16"/>
  <c r="J72" i="16"/>
  <c r="J73" i="16"/>
  <c r="K50" i="16" l="1"/>
  <c r="L120" i="4"/>
  <c r="K68" i="15"/>
  <c r="K88" i="4"/>
  <c r="J89" i="16"/>
  <c r="L124" i="4"/>
  <c r="L70" i="4" s="1"/>
  <c r="L123" i="4"/>
  <c r="L57" i="4"/>
  <c r="L60" i="4" s="1"/>
  <c r="L62" i="4" s="1"/>
  <c r="M99" i="4"/>
  <c r="K57" i="16"/>
  <c r="K58" i="16" s="1"/>
  <c r="L117" i="4"/>
  <c r="L72" i="4" s="1"/>
  <c r="L116" i="4"/>
  <c r="K70" i="16" l="1"/>
  <c r="K71" i="16" s="1"/>
  <c r="K73" i="16" s="1"/>
  <c r="L21" i="16"/>
  <c r="L24" i="16" s="1"/>
  <c r="L36" i="16" s="1"/>
  <c r="L38" i="16" s="1"/>
  <c r="L41" i="16" s="1"/>
  <c r="L43" i="16" s="1"/>
  <c r="L80" i="4"/>
  <c r="K97" i="16"/>
  <c r="K59" i="16"/>
  <c r="K60" i="16"/>
  <c r="M160" i="4"/>
  <c r="M42" i="4"/>
  <c r="M100" i="4"/>
  <c r="L155" i="4"/>
  <c r="L28" i="16"/>
  <c r="L73" i="4"/>
  <c r="L87" i="4" s="1"/>
  <c r="L29" i="16"/>
  <c r="L154" i="4"/>
  <c r="K89" i="16"/>
  <c r="K98" i="16"/>
  <c r="K72" i="16"/>
  <c r="K69" i="15"/>
  <c r="L68" i="15" l="1"/>
  <c r="L88" i="4"/>
  <c r="K88" i="16"/>
  <c r="M75" i="4"/>
  <c r="M161" i="4"/>
  <c r="M101" i="4"/>
  <c r="M49" i="4"/>
  <c r="M50" i="4" s="1"/>
  <c r="M53" i="4" s="1"/>
  <c r="M120" i="4" s="1"/>
  <c r="M113" i="4"/>
  <c r="L152" i="4"/>
  <c r="L84" i="4"/>
  <c r="L81" i="4"/>
  <c r="L31" i="16"/>
  <c r="L44" i="16"/>
  <c r="L48" i="16" s="1"/>
  <c r="M56" i="4" l="1"/>
  <c r="L56" i="16"/>
  <c r="M124" i="4"/>
  <c r="M70" i="4" s="1"/>
  <c r="M123" i="4"/>
  <c r="L159" i="4"/>
  <c r="L45" i="16"/>
  <c r="L49" i="16" s="1"/>
  <c r="L69" i="16" s="1"/>
  <c r="M57" i="4"/>
  <c r="M60" i="4" s="1"/>
  <c r="M62" i="4" s="1"/>
  <c r="M116" i="4"/>
  <c r="M117" i="4"/>
  <c r="M72" i="4" s="1"/>
  <c r="L57" i="16"/>
  <c r="L70" i="16" s="1"/>
  <c r="N99" i="4"/>
  <c r="L69" i="15"/>
  <c r="L71" i="16" l="1"/>
  <c r="M155" i="4"/>
  <c r="M28" i="16"/>
  <c r="N42" i="4"/>
  <c r="N160" i="4"/>
  <c r="N100" i="4"/>
  <c r="M21" i="16"/>
  <c r="M24" i="16" s="1"/>
  <c r="M36" i="16" s="1"/>
  <c r="M38" i="16" s="1"/>
  <c r="M41" i="16" s="1"/>
  <c r="M43" i="16" s="1"/>
  <c r="M80" i="4"/>
  <c r="L50" i="16"/>
  <c r="M154" i="4"/>
  <c r="M29" i="16"/>
  <c r="M73" i="4"/>
  <c r="M87" i="4" s="1"/>
  <c r="L58" i="16"/>
  <c r="M68" i="15" l="1"/>
  <c r="M88" i="4"/>
  <c r="L97" i="16"/>
  <c r="L59" i="16"/>
  <c r="L60" i="16"/>
  <c r="M152" i="4"/>
  <c r="M84" i="4"/>
  <c r="M81" i="4"/>
  <c r="N113" i="4"/>
  <c r="N49" i="4"/>
  <c r="N50" i="4" s="1"/>
  <c r="N53" i="4" s="1"/>
  <c r="N120" i="4" s="1"/>
  <c r="N75" i="4"/>
  <c r="N161" i="4"/>
  <c r="N101" i="4"/>
  <c r="M31" i="16"/>
  <c r="M44" i="16"/>
  <c r="M48" i="16" s="1"/>
  <c r="L98" i="16"/>
  <c r="L73" i="16"/>
  <c r="L72" i="16"/>
  <c r="M45" i="16" l="1"/>
  <c r="M49" i="16" s="1"/>
  <c r="M69" i="16" s="1"/>
  <c r="L89" i="16"/>
  <c r="O99" i="4"/>
  <c r="N124" i="4"/>
  <c r="N70" i="4" s="1"/>
  <c r="N123" i="4"/>
  <c r="M159" i="4"/>
  <c r="N56" i="4"/>
  <c r="N57" i="4" s="1"/>
  <c r="N60" i="4" s="1"/>
  <c r="N62" i="4" s="1"/>
  <c r="L88" i="16"/>
  <c r="N117" i="4"/>
  <c r="N72" i="4" s="1"/>
  <c r="N116" i="4"/>
  <c r="M56" i="16"/>
  <c r="M57" i="16"/>
  <c r="M70" i="16" s="1"/>
  <c r="M69" i="15"/>
  <c r="M71" i="16" l="1"/>
  <c r="M98" i="16" s="1"/>
  <c r="M50" i="16"/>
  <c r="M72" i="16"/>
  <c r="M73" i="16"/>
  <c r="N21" i="16"/>
  <c r="N24" i="16" s="1"/>
  <c r="N36" i="16" s="1"/>
  <c r="N38" i="16" s="1"/>
  <c r="N41" i="16" s="1"/>
  <c r="N43" i="16" s="1"/>
  <c r="N80" i="4"/>
  <c r="O42" i="4"/>
  <c r="O160" i="4"/>
  <c r="O100" i="4"/>
  <c r="N29" i="16"/>
  <c r="N73" i="4"/>
  <c r="N87" i="4" s="1"/>
  <c r="N154" i="4"/>
  <c r="M58" i="16"/>
  <c r="N155" i="4"/>
  <c r="N28" i="16"/>
  <c r="N68" i="15" l="1"/>
  <c r="N88" i="4"/>
  <c r="N44" i="16"/>
  <c r="N48" i="16" s="1"/>
  <c r="M89" i="16"/>
  <c r="M97" i="16"/>
  <c r="M59" i="16"/>
  <c r="M60" i="16"/>
  <c r="N84" i="4"/>
  <c r="N152" i="4"/>
  <c r="N81" i="4"/>
  <c r="O75" i="4"/>
  <c r="O161" i="4"/>
  <c r="O101" i="4"/>
  <c r="N31" i="16"/>
  <c r="O49" i="4"/>
  <c r="O50" i="4" s="1"/>
  <c r="O53" i="4" s="1"/>
  <c r="O56" i="4" s="1"/>
  <c r="O57" i="4" s="1"/>
  <c r="O60" i="4" s="1"/>
  <c r="O62" i="4" s="1"/>
  <c r="O113" i="4"/>
  <c r="N45" i="16" l="1"/>
  <c r="N49" i="16" s="1"/>
  <c r="N69" i="16" s="1"/>
  <c r="O120" i="4"/>
  <c r="O124" i="4" s="1"/>
  <c r="O70" i="4" s="1"/>
  <c r="O117" i="4"/>
  <c r="O72" i="4" s="1"/>
  <c r="O116" i="4"/>
  <c r="N159" i="4"/>
  <c r="N57" i="16"/>
  <c r="N70" i="16" s="1"/>
  <c r="N71" i="16" s="1"/>
  <c r="O21" i="16"/>
  <c r="O24" i="16" s="1"/>
  <c r="O36" i="16" s="1"/>
  <c r="O38" i="16" s="1"/>
  <c r="O41" i="16" s="1"/>
  <c r="O43" i="16" s="1"/>
  <c r="O80" i="4"/>
  <c r="P99" i="4"/>
  <c r="M88" i="16"/>
  <c r="N56" i="16"/>
  <c r="N69" i="15"/>
  <c r="N50" i="16" l="1"/>
  <c r="O123" i="4"/>
  <c r="N98" i="16"/>
  <c r="N72" i="16"/>
  <c r="N73" i="16"/>
  <c r="P160" i="4"/>
  <c r="P42" i="4"/>
  <c r="P100" i="4"/>
  <c r="O84" i="4"/>
  <c r="O152" i="4"/>
  <c r="O44" i="16"/>
  <c r="O48" i="16" s="1"/>
  <c r="O155" i="4"/>
  <c r="O28" i="16"/>
  <c r="O81" i="4"/>
  <c r="N58" i="16"/>
  <c r="O73" i="4"/>
  <c r="O87" i="4" s="1"/>
  <c r="O154" i="4"/>
  <c r="O29" i="16"/>
  <c r="O31" i="16" l="1"/>
  <c r="O45" i="16"/>
  <c r="O49" i="16" s="1"/>
  <c r="O69" i="16" s="1"/>
  <c r="P75" i="4"/>
  <c r="P161" i="4"/>
  <c r="P101" i="4"/>
  <c r="O68" i="15"/>
  <c r="O69" i="15" s="1"/>
  <c r="O88" i="4"/>
  <c r="N89" i="16"/>
  <c r="O56" i="16"/>
  <c r="P113" i="4"/>
  <c r="P49" i="4"/>
  <c r="P50" i="4" s="1"/>
  <c r="P53" i="4" s="1"/>
  <c r="P120" i="4" s="1"/>
  <c r="N97" i="16"/>
  <c r="N59" i="16"/>
  <c r="N60" i="16"/>
  <c r="O159" i="4"/>
  <c r="O50" i="16" l="1"/>
  <c r="P56" i="4"/>
  <c r="P57" i="4" s="1"/>
  <c r="P60" i="4" s="1"/>
  <c r="P62" i="4" s="1"/>
  <c r="P21" i="16" s="1"/>
  <c r="P24" i="16" s="1"/>
  <c r="P36" i="16" s="1"/>
  <c r="P38" i="16" s="1"/>
  <c r="P41" i="16" s="1"/>
  <c r="P43" i="16" s="1"/>
  <c r="Q99" i="4"/>
  <c r="P124" i="4"/>
  <c r="P70" i="4" s="1"/>
  <c r="P123" i="4"/>
  <c r="N88" i="16"/>
  <c r="P117" i="4"/>
  <c r="P72" i="4" s="1"/>
  <c r="P116" i="4"/>
  <c r="O57" i="16"/>
  <c r="O70" i="16" s="1"/>
  <c r="O71" i="16" s="1"/>
  <c r="P80" i="4" l="1"/>
  <c r="P152" i="4" s="1"/>
  <c r="P159" i="4" s="1"/>
  <c r="O58" i="16"/>
  <c r="O60" i="16" s="1"/>
  <c r="O88" i="16" s="1"/>
  <c r="O98" i="16"/>
  <c r="O72" i="16"/>
  <c r="O73" i="16"/>
  <c r="Q42" i="4"/>
  <c r="Q160" i="4"/>
  <c r="Q100" i="4"/>
  <c r="P84" i="4"/>
  <c r="P155" i="4"/>
  <c r="P28" i="16"/>
  <c r="P154" i="4"/>
  <c r="P29" i="16"/>
  <c r="P73" i="4"/>
  <c r="P87" i="4" s="1"/>
  <c r="P44" i="16"/>
  <c r="P48" i="16" s="1"/>
  <c r="P81" i="4" l="1"/>
  <c r="P31" i="16"/>
  <c r="O59" i="16"/>
  <c r="O97" i="16"/>
  <c r="Q113" i="4"/>
  <c r="Q49" i="4"/>
  <c r="Q50" i="4" s="1"/>
  <c r="Q53" i="4" s="1"/>
  <c r="Q120" i="4" s="1"/>
  <c r="P45" i="16"/>
  <c r="P49" i="16" s="1"/>
  <c r="P69" i="16" s="1"/>
  <c r="P68" i="15"/>
  <c r="P69" i="15" s="1"/>
  <c r="P88" i="4"/>
  <c r="O89" i="16"/>
  <c r="P56" i="16"/>
  <c r="Q75" i="4"/>
  <c r="Q161" i="4"/>
  <c r="Q101" i="4"/>
  <c r="P57" i="16"/>
  <c r="P70" i="16" s="1"/>
  <c r="P58" i="16" l="1"/>
  <c r="P97" i="16" s="1"/>
  <c r="Q56" i="4"/>
  <c r="Q57" i="4" s="1"/>
  <c r="Q60" i="4" s="1"/>
  <c r="Q62" i="4" s="1"/>
  <c r="P50" i="16"/>
  <c r="P59" i="16"/>
  <c r="P60" i="16"/>
  <c r="P71" i="16"/>
  <c r="R99" i="4"/>
  <c r="Q123" i="4"/>
  <c r="Q124" i="4"/>
  <c r="Q70" i="4" s="1"/>
  <c r="Q117" i="4"/>
  <c r="Q72" i="4" s="1"/>
  <c r="Q116" i="4"/>
  <c r="Q21" i="16" l="1"/>
  <c r="Q24" i="16" s="1"/>
  <c r="Q36" i="16" s="1"/>
  <c r="Q38" i="16" s="1"/>
  <c r="Q41" i="16" s="1"/>
  <c r="Q43" i="16" s="1"/>
  <c r="Q80" i="4"/>
  <c r="R42" i="4"/>
  <c r="R160" i="4"/>
  <c r="R100" i="4"/>
  <c r="P98" i="16"/>
  <c r="P72" i="16"/>
  <c r="P73" i="16"/>
  <c r="Q155" i="4"/>
  <c r="Q28" i="16"/>
  <c r="Q154" i="4"/>
  <c r="Q29" i="16"/>
  <c r="Q73" i="4"/>
  <c r="Q87" i="4" s="1"/>
  <c r="P88" i="16"/>
  <c r="Q68" i="15" l="1"/>
  <c r="Q69" i="15" s="1"/>
  <c r="Q88" i="4"/>
  <c r="R113" i="4"/>
  <c r="R49" i="4"/>
  <c r="R50" i="4" s="1"/>
  <c r="R53" i="4" s="1"/>
  <c r="R56" i="4" s="1"/>
  <c r="R57" i="4" s="1"/>
  <c r="R60" i="4" s="1"/>
  <c r="R62" i="4" s="1"/>
  <c r="R75" i="4"/>
  <c r="R161" i="4"/>
  <c r="R101" i="4"/>
  <c r="Q31" i="16"/>
  <c r="Q84" i="4"/>
  <c r="Q152" i="4"/>
  <c r="Q159" i="4" s="1"/>
  <c r="Q81" i="4"/>
  <c r="P89" i="16"/>
  <c r="Q44" i="16"/>
  <c r="Q48" i="16" s="1"/>
  <c r="Q45" i="16" l="1"/>
  <c r="Q49" i="16" s="1"/>
  <c r="Q69" i="16" s="1"/>
  <c r="R120" i="4"/>
  <c r="R117" i="4"/>
  <c r="R72" i="4" s="1"/>
  <c r="R116" i="4"/>
  <c r="S99" i="4"/>
  <c r="R124" i="4"/>
  <c r="R70" i="4" s="1"/>
  <c r="R123" i="4"/>
  <c r="Q57" i="16"/>
  <c r="Q70" i="16" s="1"/>
  <c r="Q56" i="16"/>
  <c r="R21" i="16"/>
  <c r="R24" i="16" s="1"/>
  <c r="R36" i="16" s="1"/>
  <c r="R38" i="16" s="1"/>
  <c r="R41" i="16" s="1"/>
  <c r="R43" i="16" s="1"/>
  <c r="R80" i="4"/>
  <c r="Q71" i="16" l="1"/>
  <c r="Q98" i="16" s="1"/>
  <c r="Q50" i="16"/>
  <c r="Q72" i="16"/>
  <c r="Q73" i="16"/>
  <c r="R84" i="4"/>
  <c r="R152" i="4"/>
  <c r="R159" i="4" s="1"/>
  <c r="R81" i="4"/>
  <c r="Q58" i="16"/>
  <c r="S42" i="4"/>
  <c r="S160" i="4"/>
  <c r="S100" i="4"/>
  <c r="R29" i="16"/>
  <c r="R73" i="4"/>
  <c r="R87" i="4" s="1"/>
  <c r="R154" i="4"/>
  <c r="R44" i="16"/>
  <c r="R48" i="16" s="1"/>
  <c r="R155" i="4"/>
  <c r="R28" i="16"/>
  <c r="R45" i="16" l="1"/>
  <c r="R49" i="16" s="1"/>
  <c r="R69" i="16" s="1"/>
  <c r="Q89" i="16"/>
  <c r="R56" i="16"/>
  <c r="R68" i="15"/>
  <c r="R69" i="15" s="1"/>
  <c r="R88" i="4"/>
  <c r="S75" i="4"/>
  <c r="S161" i="4"/>
  <c r="S101" i="4"/>
  <c r="S49" i="4"/>
  <c r="S50" i="4" s="1"/>
  <c r="S53" i="4" s="1"/>
  <c r="S120" i="4" s="1"/>
  <c r="S113" i="4"/>
  <c r="Q97" i="16"/>
  <c r="Q59" i="16"/>
  <c r="Q60" i="16"/>
  <c r="R31" i="16"/>
  <c r="R50" i="16" l="1"/>
  <c r="R57" i="16"/>
  <c r="R70" i="16" s="1"/>
  <c r="R71" i="16" s="1"/>
  <c r="S123" i="4"/>
  <c r="S124" i="4"/>
  <c r="S70" i="4" s="1"/>
  <c r="T99" i="4"/>
  <c r="Q88" i="16"/>
  <c r="S56" i="4"/>
  <c r="S57" i="4" s="1"/>
  <c r="S60" i="4" s="1"/>
  <c r="S62" i="4" s="1"/>
  <c r="S117" i="4"/>
  <c r="S72" i="4" s="1"/>
  <c r="S116" i="4"/>
  <c r="R58" i="16" l="1"/>
  <c r="R60" i="16" s="1"/>
  <c r="S155" i="4"/>
  <c r="S28" i="16"/>
  <c r="T42" i="4"/>
  <c r="T160" i="4"/>
  <c r="T100" i="4"/>
  <c r="R97" i="16"/>
  <c r="R59" i="16"/>
  <c r="R88" i="16"/>
  <c r="R98" i="16"/>
  <c r="R72" i="16"/>
  <c r="R73" i="16"/>
  <c r="S154" i="4"/>
  <c r="S29" i="16"/>
  <c r="S73" i="4"/>
  <c r="S87" i="4" s="1"/>
  <c r="S21" i="16"/>
  <c r="S24" i="16" s="1"/>
  <c r="S36" i="16" s="1"/>
  <c r="S38" i="16" s="1"/>
  <c r="S41" i="16" s="1"/>
  <c r="S43" i="16" s="1"/>
  <c r="S80" i="4"/>
  <c r="S68" i="15" l="1"/>
  <c r="S69" i="15" s="1"/>
  <c r="S88" i="4"/>
  <c r="S44" i="16"/>
  <c r="S48" i="16" s="1"/>
  <c r="T75" i="4"/>
  <c r="T161" i="4"/>
  <c r="T101" i="4"/>
  <c r="R89" i="16"/>
  <c r="T113" i="4"/>
  <c r="T49" i="4"/>
  <c r="T50" i="4" s="1"/>
  <c r="T53" i="4" s="1"/>
  <c r="T120" i="4" s="1"/>
  <c r="S31" i="16"/>
  <c r="S152" i="4"/>
  <c r="S159" i="4" s="1"/>
  <c r="S84" i="4"/>
  <c r="S81" i="4"/>
  <c r="T123" i="4" l="1"/>
  <c r="T124" i="4"/>
  <c r="T70" i="4" s="1"/>
  <c r="T117" i="4"/>
  <c r="T72" i="4" s="1"/>
  <c r="T116" i="4"/>
  <c r="U99" i="4"/>
  <c r="S56" i="16"/>
  <c r="S57" i="16"/>
  <c r="S70" i="16" s="1"/>
  <c r="T56" i="4"/>
  <c r="T57" i="4" s="1"/>
  <c r="T60" i="4" s="1"/>
  <c r="T62" i="4" s="1"/>
  <c r="S45" i="16"/>
  <c r="S49" i="16" s="1"/>
  <c r="S69" i="16" s="1"/>
  <c r="S58" i="16" l="1"/>
  <c r="S71" i="16"/>
  <c r="S50" i="16"/>
  <c r="S97" i="16"/>
  <c r="S59" i="16"/>
  <c r="S60" i="16"/>
  <c r="T21" i="16"/>
  <c r="T24" i="16" s="1"/>
  <c r="T36" i="16" s="1"/>
  <c r="T38" i="16" s="1"/>
  <c r="T41" i="16" s="1"/>
  <c r="T43" i="16" s="1"/>
  <c r="T80" i="4"/>
  <c r="U42" i="4"/>
  <c r="U160" i="4"/>
  <c r="U100" i="4"/>
  <c r="T155" i="4"/>
  <c r="T28" i="16"/>
  <c r="T154" i="4"/>
  <c r="T29" i="16"/>
  <c r="T73" i="4"/>
  <c r="T87" i="4" s="1"/>
  <c r="T68" i="15" l="1"/>
  <c r="T69" i="15" s="1"/>
  <c r="T88" i="4"/>
  <c r="T152" i="4"/>
  <c r="T159" i="4" s="1"/>
  <c r="T84" i="4"/>
  <c r="T81" i="4"/>
  <c r="T44" i="16"/>
  <c r="T48" i="16" s="1"/>
  <c r="T31" i="16"/>
  <c r="S88" i="16"/>
  <c r="U75" i="4"/>
  <c r="U161" i="4"/>
  <c r="U101" i="4"/>
  <c r="U49" i="4"/>
  <c r="U50" i="4" s="1"/>
  <c r="U53" i="4" s="1"/>
  <c r="U120" i="4" s="1"/>
  <c r="U113" i="4"/>
  <c r="S98" i="16"/>
  <c r="S72" i="16"/>
  <c r="S73" i="16"/>
  <c r="U56" i="4" l="1"/>
  <c r="U57" i="4" s="1"/>
  <c r="U60" i="4" s="1"/>
  <c r="U62" i="4" s="1"/>
  <c r="S89" i="16"/>
  <c r="T56" i="16"/>
  <c r="T57" i="16"/>
  <c r="T70" i="16" s="1"/>
  <c r="U123" i="4"/>
  <c r="U124" i="4"/>
  <c r="U70" i="4" s="1"/>
  <c r="V99" i="4"/>
  <c r="U117" i="4"/>
  <c r="U72" i="4" s="1"/>
  <c r="U116" i="4"/>
  <c r="T45" i="16"/>
  <c r="T49" i="16" s="1"/>
  <c r="T69" i="16" s="1"/>
  <c r="T71" i="16" l="1"/>
  <c r="T72" i="16" s="1"/>
  <c r="U154" i="4"/>
  <c r="U29" i="16"/>
  <c r="U73" i="4"/>
  <c r="U87" i="4" s="1"/>
  <c r="U155" i="4"/>
  <c r="U28" i="16"/>
  <c r="U31" i="16" s="1"/>
  <c r="U21" i="16"/>
  <c r="U24" i="16" s="1"/>
  <c r="U36" i="16" s="1"/>
  <c r="U38" i="16" s="1"/>
  <c r="U41" i="16" s="1"/>
  <c r="U43" i="16" s="1"/>
  <c r="U80" i="4"/>
  <c r="T98" i="16"/>
  <c r="T50" i="16"/>
  <c r="T58" i="16"/>
  <c r="V42" i="4"/>
  <c r="V160" i="4"/>
  <c r="V100" i="4"/>
  <c r="T73" i="16"/>
  <c r="U88" i="4" l="1"/>
  <c r="U68" i="15"/>
  <c r="U69" i="15" s="1"/>
  <c r="U44" i="16"/>
  <c r="U48" i="16" s="1"/>
  <c r="T89" i="16"/>
  <c r="U152" i="4"/>
  <c r="U159" i="4" s="1"/>
  <c r="U84" i="4"/>
  <c r="U81" i="4"/>
  <c r="V113" i="4"/>
  <c r="V49" i="4"/>
  <c r="V50" i="4" s="1"/>
  <c r="V53" i="4" s="1"/>
  <c r="V120" i="4" s="1"/>
  <c r="U57" i="16"/>
  <c r="U70" i="16" s="1"/>
  <c r="T97" i="16"/>
  <c r="T59" i="16"/>
  <c r="T60" i="16"/>
  <c r="V75" i="4"/>
  <c r="V161" i="4"/>
  <c r="V101" i="4"/>
  <c r="V124" i="4" l="1"/>
  <c r="V70" i="4" s="1"/>
  <c r="V123" i="4"/>
  <c r="U56" i="16"/>
  <c r="U58" i="16" s="1"/>
  <c r="V116" i="4"/>
  <c r="V117" i="4"/>
  <c r="V72" i="4" s="1"/>
  <c r="U60" i="16"/>
  <c r="T88" i="16"/>
  <c r="W99" i="4"/>
  <c r="V56" i="4"/>
  <c r="V57" i="4" s="1"/>
  <c r="V60" i="4" s="1"/>
  <c r="V62" i="4" s="1"/>
  <c r="U45" i="16"/>
  <c r="U49" i="16" s="1"/>
  <c r="U69" i="16" s="1"/>
  <c r="U71" i="16" s="1"/>
  <c r="V21" i="16" l="1"/>
  <c r="V24" i="16" s="1"/>
  <c r="V36" i="16" s="1"/>
  <c r="V38" i="16" s="1"/>
  <c r="V41" i="16" s="1"/>
  <c r="V43" i="16" s="1"/>
  <c r="V80" i="4"/>
  <c r="U97" i="16"/>
  <c r="U59" i="16"/>
  <c r="V155" i="4"/>
  <c r="V28" i="16"/>
  <c r="U50" i="16"/>
  <c r="W42" i="4"/>
  <c r="W160" i="4"/>
  <c r="W100" i="4"/>
  <c r="U88" i="16"/>
  <c r="U98" i="16"/>
  <c r="U72" i="16"/>
  <c r="U73" i="16"/>
  <c r="V29" i="16"/>
  <c r="V73" i="4"/>
  <c r="V87" i="4" s="1"/>
  <c r="V154" i="4"/>
  <c r="V31" i="16" l="1"/>
  <c r="U89" i="16"/>
  <c r="V57" i="16"/>
  <c r="V70" i="16" s="1"/>
  <c r="V84" i="4"/>
  <c r="V152" i="4"/>
  <c r="V159" i="4" s="1"/>
  <c r="V81" i="4"/>
  <c r="W75" i="4"/>
  <c r="W161" i="4"/>
  <c r="W101" i="4"/>
  <c r="V68" i="15"/>
  <c r="V69" i="15" s="1"/>
  <c r="V88" i="4"/>
  <c r="W113" i="4"/>
  <c r="W49" i="4"/>
  <c r="W50" i="4" s="1"/>
  <c r="W53" i="4" s="1"/>
  <c r="W120" i="4" s="1"/>
  <c r="V44" i="16"/>
  <c r="V48" i="16" s="1"/>
  <c r="W56" i="4" l="1"/>
  <c r="W57" i="4" s="1"/>
  <c r="W60" i="4" s="1"/>
  <c r="W62" i="4" s="1"/>
  <c r="W21" i="16" s="1"/>
  <c r="W24" i="16" s="1"/>
  <c r="W36" i="16" s="1"/>
  <c r="W38" i="16" s="1"/>
  <c r="W41" i="16" s="1"/>
  <c r="W43" i="16" s="1"/>
  <c r="V45" i="16"/>
  <c r="V49" i="16" s="1"/>
  <c r="V69" i="16" s="1"/>
  <c r="V71" i="16" s="1"/>
  <c r="V56" i="16"/>
  <c r="V58" i="16" s="1"/>
  <c r="W116" i="4"/>
  <c r="W117" i="4"/>
  <c r="W72" i="4" s="1"/>
  <c r="C106" i="4"/>
  <c r="P31" i="1" s="1"/>
  <c r="X99" i="4"/>
  <c r="W124" i="4"/>
  <c r="W70" i="4" s="1"/>
  <c r="W123" i="4"/>
  <c r="V50" i="16" l="1"/>
  <c r="V98" i="16"/>
  <c r="V73" i="16"/>
  <c r="W80" i="4"/>
  <c r="V72" i="16"/>
  <c r="X42" i="4"/>
  <c r="X160" i="4"/>
  <c r="X100" i="4"/>
  <c r="W29" i="16"/>
  <c r="W154" i="4"/>
  <c r="W73" i="4"/>
  <c r="W87" i="4" s="1"/>
  <c r="W28" i="16"/>
  <c r="W155" i="4"/>
  <c r="W152" i="4"/>
  <c r="W159" i="4" s="1"/>
  <c r="W84" i="4"/>
  <c r="W44" i="16"/>
  <c r="W48" i="16" s="1"/>
  <c r="V97" i="16"/>
  <c r="V59" i="16"/>
  <c r="V60" i="16"/>
  <c r="V89" i="16"/>
  <c r="W81" i="4"/>
  <c r="W45" i="16" l="1"/>
  <c r="W49" i="16" s="1"/>
  <c r="W69" i="16" s="1"/>
  <c r="V88" i="16"/>
  <c r="W31" i="16"/>
  <c r="W68" i="15"/>
  <c r="W69" i="15" s="1"/>
  <c r="W88" i="4"/>
  <c r="W56" i="16"/>
  <c r="X75" i="4"/>
  <c r="X161" i="4"/>
  <c r="X101" i="4"/>
  <c r="X113" i="4"/>
  <c r="X49" i="4"/>
  <c r="X50" i="4" s="1"/>
  <c r="X53" i="4" s="1"/>
  <c r="X120" i="4" s="1"/>
  <c r="W50" i="16" l="1"/>
  <c r="Y99" i="4"/>
  <c r="X56" i="4"/>
  <c r="X57" i="4" s="1"/>
  <c r="X60" i="4" s="1"/>
  <c r="X62" i="4" s="1"/>
  <c r="W57" i="16"/>
  <c r="W58" i="16" s="1"/>
  <c r="X124" i="4"/>
  <c r="X70" i="4" s="1"/>
  <c r="X123" i="4"/>
  <c r="X117" i="4"/>
  <c r="X72" i="4" s="1"/>
  <c r="X116" i="4"/>
  <c r="W97" i="16" l="1"/>
  <c r="W59" i="16"/>
  <c r="W60" i="16"/>
  <c r="X21" i="16"/>
  <c r="X24" i="16" s="1"/>
  <c r="X36" i="16" s="1"/>
  <c r="X38" i="16" s="1"/>
  <c r="X41" i="16" s="1"/>
  <c r="X43" i="16" s="1"/>
  <c r="X80" i="4"/>
  <c r="Y42" i="4"/>
  <c r="Y100" i="4"/>
  <c r="Y160" i="4"/>
  <c r="X29" i="16"/>
  <c r="X73" i="4"/>
  <c r="X87" i="4" s="1"/>
  <c r="X154" i="4"/>
  <c r="W70" i="16"/>
  <c r="W71" i="16" s="1"/>
  <c r="X155" i="4"/>
  <c r="X28" i="16"/>
  <c r="Y113" i="4" l="1"/>
  <c r="Y49" i="4"/>
  <c r="Y50" i="4" s="1"/>
  <c r="Y53" i="4" s="1"/>
  <c r="Y56" i="4" s="1"/>
  <c r="Y57" i="4" s="1"/>
  <c r="Y60" i="4" s="1"/>
  <c r="Y62" i="4" s="1"/>
  <c r="X152" i="4"/>
  <c r="X159" i="4" s="1"/>
  <c r="X84" i="4"/>
  <c r="X81" i="4"/>
  <c r="W88" i="16"/>
  <c r="Y75" i="4"/>
  <c r="Y161" i="4"/>
  <c r="Y101" i="4"/>
  <c r="W98" i="16"/>
  <c r="W72" i="16"/>
  <c r="W73" i="16"/>
  <c r="X68" i="15"/>
  <c r="X69" i="15" s="1"/>
  <c r="X88" i="4"/>
  <c r="X44" i="16"/>
  <c r="X48" i="16" s="1"/>
  <c r="X31" i="16"/>
  <c r="Z99" i="4" l="1"/>
  <c r="Y120" i="4"/>
  <c r="X56" i="16"/>
  <c r="Y21" i="16"/>
  <c r="Y24" i="16" s="1"/>
  <c r="Y36" i="16" s="1"/>
  <c r="Y38" i="16" s="1"/>
  <c r="Y41" i="16" s="1"/>
  <c r="Y43" i="16" s="1"/>
  <c r="Y80" i="4"/>
  <c r="X57" i="16"/>
  <c r="X70" i="16" s="1"/>
  <c r="X45" i="16"/>
  <c r="X49" i="16" s="1"/>
  <c r="X69" i="16" s="1"/>
  <c r="W89" i="16"/>
  <c r="Y116" i="4"/>
  <c r="Y117" i="4"/>
  <c r="Y72" i="4" s="1"/>
  <c r="X58" i="16" l="1"/>
  <c r="Y28" i="16"/>
  <c r="Y155" i="4"/>
  <c r="X71" i="16"/>
  <c r="Y124" i="4"/>
  <c r="Y70" i="4" s="1"/>
  <c r="Y123" i="4"/>
  <c r="Y44" i="16"/>
  <c r="Y48" i="16" s="1"/>
  <c r="X50" i="16"/>
  <c r="X97" i="16"/>
  <c r="X59" i="16"/>
  <c r="X60" i="16"/>
  <c r="Y81" i="4"/>
  <c r="Y84" i="4"/>
  <c r="Y152" i="4"/>
  <c r="Y159" i="4" s="1"/>
  <c r="Z42" i="4"/>
  <c r="Z160" i="4"/>
  <c r="Z100" i="4"/>
  <c r="Y45" i="16" l="1"/>
  <c r="Y49" i="16" s="1"/>
  <c r="Y69" i="16" s="1"/>
  <c r="Y56" i="16"/>
  <c r="X98" i="16"/>
  <c r="X72" i="16"/>
  <c r="X73" i="16"/>
  <c r="Y29" i="16"/>
  <c r="Y31" i="16" s="1"/>
  <c r="Y73" i="4"/>
  <c r="Y87" i="4" s="1"/>
  <c r="Y154" i="4"/>
  <c r="X88" i="16"/>
  <c r="Z113" i="4"/>
  <c r="Z49" i="4"/>
  <c r="Z50" i="4" s="1"/>
  <c r="Z53" i="4" s="1"/>
  <c r="Z120" i="4" s="1"/>
  <c r="Z75" i="4"/>
  <c r="Z161" i="4"/>
  <c r="Z101" i="4"/>
  <c r="Y50" i="16" l="1"/>
  <c r="Z56" i="4"/>
  <c r="Z57" i="4" s="1"/>
  <c r="Z60" i="4" s="1"/>
  <c r="Z62" i="4" s="1"/>
  <c r="Z21" i="16" s="1"/>
  <c r="Z24" i="16" s="1"/>
  <c r="Z36" i="16" s="1"/>
  <c r="Z38" i="16" s="1"/>
  <c r="Z41" i="16" s="1"/>
  <c r="Z43" i="16" s="1"/>
  <c r="Y57" i="16"/>
  <c r="Y70" i="16" s="1"/>
  <c r="Y71" i="16" s="1"/>
  <c r="Y73" i="16" s="1"/>
  <c r="Z124" i="4"/>
  <c r="Z70" i="4" s="1"/>
  <c r="Z123" i="4"/>
  <c r="X89" i="16"/>
  <c r="Z117" i="4"/>
  <c r="Z72" i="4" s="1"/>
  <c r="Z116" i="4"/>
  <c r="AA99" i="4"/>
  <c r="Y88" i="4"/>
  <c r="Y68" i="15"/>
  <c r="Y69" i="15" s="1"/>
  <c r="Y58" i="16" l="1"/>
  <c r="Y97" i="16" s="1"/>
  <c r="Z80" i="4"/>
  <c r="Z152" i="4" s="1"/>
  <c r="Z159" i="4" s="1"/>
  <c r="Z73" i="4"/>
  <c r="Z87" i="4" s="1"/>
  <c r="Z154" i="4"/>
  <c r="Z29" i="16"/>
  <c r="Z44" i="16"/>
  <c r="Z48" i="16" s="1"/>
  <c r="AA42" i="4"/>
  <c r="AA100" i="4"/>
  <c r="AA160" i="4"/>
  <c r="Y98" i="16"/>
  <c r="Y72" i="16"/>
  <c r="Y89" i="16"/>
  <c r="Z88" i="4"/>
  <c r="Y59" i="16"/>
  <c r="Y60" i="16"/>
  <c r="Z28" i="16"/>
  <c r="Z155" i="4"/>
  <c r="Z81" i="4" l="1"/>
  <c r="Z84" i="4"/>
  <c r="AA113" i="4"/>
  <c r="AA49" i="4"/>
  <c r="AA50" i="4" s="1"/>
  <c r="AA53" i="4" s="1"/>
  <c r="AA120" i="4" s="1"/>
  <c r="Z45" i="16"/>
  <c r="Z49" i="16" s="1"/>
  <c r="Z69" i="16" s="1"/>
  <c r="Y88" i="16"/>
  <c r="AA75" i="4"/>
  <c r="AA161" i="4"/>
  <c r="AA101" i="4"/>
  <c r="Z56" i="16"/>
  <c r="Z31" i="16"/>
  <c r="Z68" i="15"/>
  <c r="Z69" i="15" s="1"/>
  <c r="AA56" i="4" l="1"/>
  <c r="AA57" i="4" s="1"/>
  <c r="AA60" i="4" s="1"/>
  <c r="AA62" i="4" s="1"/>
  <c r="AA21" i="16" s="1"/>
  <c r="AA24" i="16" s="1"/>
  <c r="AA36" i="16" s="1"/>
  <c r="AA38" i="16" s="1"/>
  <c r="AA41" i="16" s="1"/>
  <c r="AA43" i="16" s="1"/>
  <c r="AB99" i="4"/>
  <c r="Z57" i="16"/>
  <c r="Z58" i="16" s="1"/>
  <c r="Z50" i="16"/>
  <c r="AA124" i="4"/>
  <c r="AA70" i="4" s="1"/>
  <c r="AA123" i="4"/>
  <c r="AA117" i="4"/>
  <c r="AA72" i="4" s="1"/>
  <c r="AA116" i="4"/>
  <c r="AA80" i="4" l="1"/>
  <c r="Z70" i="16"/>
  <c r="Z71" i="16" s="1"/>
  <c r="Z98" i="16" s="1"/>
  <c r="Z72" i="16"/>
  <c r="Z73" i="16"/>
  <c r="Z97" i="16"/>
  <c r="Z59" i="16"/>
  <c r="Z60" i="16"/>
  <c r="AA155" i="4"/>
  <c r="AA28" i="16"/>
  <c r="AB42" i="4"/>
  <c r="AB100" i="4"/>
  <c r="AB160" i="4"/>
  <c r="AA29" i="16"/>
  <c r="AA73" i="4"/>
  <c r="AA87" i="4" s="1"/>
  <c r="AA154" i="4"/>
  <c r="AA152" i="4"/>
  <c r="AA159" i="4" s="1"/>
  <c r="AA84" i="4"/>
  <c r="AA81" i="4"/>
  <c r="AA44" i="16"/>
  <c r="AA48" i="16" s="1"/>
  <c r="Z88" i="16" l="1"/>
  <c r="AA31" i="16"/>
  <c r="AA68" i="15"/>
  <c r="AA69" i="15" s="1"/>
  <c r="AA88" i="4"/>
  <c r="AA45" i="16"/>
  <c r="AA49" i="16" s="1"/>
  <c r="AA69" i="16" s="1"/>
  <c r="Z89" i="16"/>
  <c r="AA56" i="16"/>
  <c r="AB75" i="4"/>
  <c r="AB161" i="4"/>
  <c r="AB101" i="4"/>
  <c r="AB49" i="4"/>
  <c r="AB50" i="4" s="1"/>
  <c r="AB53" i="4" s="1"/>
  <c r="AB120" i="4" s="1"/>
  <c r="AB113" i="4"/>
  <c r="AB56" i="4" l="1"/>
  <c r="AB57" i="4" s="1"/>
  <c r="AB60" i="4" s="1"/>
  <c r="AB62" i="4" s="1"/>
  <c r="AB80" i="4" s="1"/>
  <c r="AA50" i="16"/>
  <c r="AB124" i="4"/>
  <c r="AB70" i="4" s="1"/>
  <c r="AB123" i="4"/>
  <c r="AA57" i="16"/>
  <c r="AA58" i="16" s="1"/>
  <c r="AB117" i="4"/>
  <c r="AB72" i="4" s="1"/>
  <c r="AB116" i="4"/>
  <c r="AB21" i="16" l="1"/>
  <c r="AA97" i="16"/>
  <c r="AA59" i="16"/>
  <c r="AA60" i="16"/>
  <c r="AB73" i="4"/>
  <c r="AB87" i="4" s="1"/>
  <c r="AB29" i="16"/>
  <c r="AB154" i="4"/>
  <c r="E139" i="4" s="1"/>
  <c r="AA70" i="16"/>
  <c r="AA71" i="16" s="1"/>
  <c r="AB28" i="16"/>
  <c r="AB155" i="4"/>
  <c r="E140" i="4" s="1"/>
  <c r="AB152" i="4"/>
  <c r="AB23" i="16"/>
  <c r="AB84" i="4"/>
  <c r="C84" i="4" s="1"/>
  <c r="C83" i="4"/>
  <c r="P27" i="1" s="1"/>
  <c r="C82" i="4"/>
  <c r="AB81" i="4"/>
  <c r="AB24" i="16" l="1"/>
  <c r="AB36" i="16" s="1"/>
  <c r="AB38" i="16" s="1"/>
  <c r="AB41" i="16" s="1"/>
  <c r="AB43" i="16" s="1"/>
  <c r="AB44" i="16" s="1"/>
  <c r="AB48" i="16" s="1"/>
  <c r="AB31" i="16"/>
  <c r="AB57" i="16" s="1"/>
  <c r="AB70" i="16" s="1"/>
  <c r="AA88" i="16"/>
  <c r="W31" i="15"/>
  <c r="AB31" i="15"/>
  <c r="AB68" i="15"/>
  <c r="AA31" i="15"/>
  <c r="C90" i="4"/>
  <c r="P26" i="1" s="1"/>
  <c r="C89" i="4"/>
  <c r="P25" i="1" s="1"/>
  <c r="J31" i="15"/>
  <c r="K31" i="15"/>
  <c r="L31" i="15"/>
  <c r="M31" i="15"/>
  <c r="N31" i="15"/>
  <c r="O31" i="15"/>
  <c r="P31" i="15"/>
  <c r="Q31" i="15"/>
  <c r="R31" i="15"/>
  <c r="S31" i="15"/>
  <c r="T31" i="15"/>
  <c r="U31" i="15"/>
  <c r="Y31" i="15"/>
  <c r="V31" i="15"/>
  <c r="Z31" i="15"/>
  <c r="X31" i="15"/>
  <c r="AB88" i="4"/>
  <c r="AB159" i="4"/>
  <c r="E137" i="4"/>
  <c r="AA98" i="16"/>
  <c r="AA72" i="16"/>
  <c r="AA73" i="16"/>
  <c r="P30" i="1"/>
  <c r="P59" i="1"/>
  <c r="C93" i="1" l="1"/>
  <c r="AB45" i="16"/>
  <c r="AB49" i="16" s="1"/>
  <c r="AB69" i="16" s="1"/>
  <c r="W34" i="15"/>
  <c r="W50" i="15"/>
  <c r="W53" i="15" s="1"/>
  <c r="C60" i="15" s="1"/>
  <c r="C88" i="15" s="1"/>
  <c r="K34" i="15"/>
  <c r="K50" i="15"/>
  <c r="K53" i="15" s="1"/>
  <c r="U50" i="15"/>
  <c r="U53" i="15" s="1"/>
  <c r="U34" i="15"/>
  <c r="M34" i="15"/>
  <c r="AA60" i="1" s="1"/>
  <c r="M50" i="15"/>
  <c r="M53" i="15" s="1"/>
  <c r="C58" i="15" s="1"/>
  <c r="AB50" i="15"/>
  <c r="AB53" i="15" s="1"/>
  <c r="C61" i="15" s="1"/>
  <c r="C89" i="15" s="1"/>
  <c r="AB34" i="15"/>
  <c r="T34" i="15"/>
  <c r="T50" i="15"/>
  <c r="T53" i="15" s="1"/>
  <c r="S50" i="15"/>
  <c r="S53" i="15" s="1"/>
  <c r="S34" i="15"/>
  <c r="R50" i="15"/>
  <c r="R53" i="15" s="1"/>
  <c r="C59" i="15" s="1"/>
  <c r="C87" i="15" s="1"/>
  <c r="R34" i="15"/>
  <c r="P41" i="1"/>
  <c r="AB56" i="16"/>
  <c r="AB50" i="16"/>
  <c r="X34" i="15"/>
  <c r="X50" i="15"/>
  <c r="X53" i="15" s="1"/>
  <c r="Q50" i="15"/>
  <c r="Q53" i="15" s="1"/>
  <c r="Q34" i="15"/>
  <c r="AB71" i="16"/>
  <c r="AB73" i="16" s="1"/>
  <c r="AB89" i="16" s="1"/>
  <c r="C77" i="16"/>
  <c r="O53" i="1" s="1"/>
  <c r="C76" i="16"/>
  <c r="Z34" i="15"/>
  <c r="Z50" i="15"/>
  <c r="Z53" i="15" s="1"/>
  <c r="AA89" i="16"/>
  <c r="V50" i="15"/>
  <c r="V53" i="15" s="1"/>
  <c r="V34" i="15"/>
  <c r="O34" i="15"/>
  <c r="O50" i="15"/>
  <c r="O53" i="15" s="1"/>
  <c r="AA50" i="15"/>
  <c r="AA53" i="15" s="1"/>
  <c r="AA34" i="15"/>
  <c r="E141" i="4"/>
  <c r="D137" i="4" s="1"/>
  <c r="L34" i="15"/>
  <c r="L50" i="15"/>
  <c r="L53" i="15" s="1"/>
  <c r="J34" i="15"/>
  <c r="Z60" i="1" s="1"/>
  <c r="J50" i="15"/>
  <c r="J53" i="15" s="1"/>
  <c r="C57" i="15" s="1"/>
  <c r="P34" i="15"/>
  <c r="P50" i="15"/>
  <c r="P53" i="15" s="1"/>
  <c r="Y50" i="15"/>
  <c r="Y53" i="15" s="1"/>
  <c r="Y34" i="15"/>
  <c r="N34" i="15"/>
  <c r="N50" i="15"/>
  <c r="N53" i="15" s="1"/>
  <c r="AB69" i="15"/>
  <c r="C71" i="15" s="1"/>
  <c r="Z67" i="1" s="1"/>
  <c r="C70" i="15"/>
  <c r="AA62" i="1" l="1"/>
  <c r="C86" i="15"/>
  <c r="C85" i="15"/>
  <c r="Z62" i="1"/>
  <c r="AB58" i="16"/>
  <c r="C64" i="16"/>
  <c r="P53" i="1" s="1"/>
  <c r="C63" i="16"/>
  <c r="D138" i="4"/>
  <c r="D139" i="4"/>
  <c r="D140" i="4"/>
  <c r="Z66" i="1"/>
  <c r="AB98" i="16"/>
  <c r="C75" i="16"/>
  <c r="O51" i="1" s="1"/>
  <c r="AB72" i="16"/>
  <c r="C74" i="16"/>
  <c r="O52" i="1" s="1"/>
  <c r="D141" i="4" l="1"/>
  <c r="AB97" i="16"/>
  <c r="C61" i="16"/>
  <c r="P52" i="1" s="1"/>
  <c r="C62" i="16"/>
  <c r="P51" i="1" s="1"/>
  <c r="P70" i="1" s="1"/>
  <c r="AB59" i="16"/>
  <c r="AB60" i="16"/>
  <c r="AB88"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tc={A92A1366-BDEA-2D4B-884F-16D6CF07D3F1}</author>
    <author>tc={BFDE949E-48CA-5A43-B8A7-09F1A752D19F}</author>
    <author>tc={BEC34F8C-F5CD-E343-8A69-19D80822D78C}</author>
    <author>tc={F6E13B5B-7C14-214F-AF7F-B72D51A0D2A7}</author>
    <author>tc={8F614B15-DEB1-1E4D-9279-EF735ACDF320}</author>
    <author>tc={A066F2E2-4E6E-7644-BC0B-7FDCA95C932D}</author>
    <author>tc={1D80BE7D-7140-1D47-8A0E-6EC140DE3BB8}</author>
    <author>tc={AC6D762D-B642-CB4E-ACF5-51683E814E2B}</author>
    <author>tc={7324684E-6B5B-0046-AF95-533F400A27CA}</author>
    <author>tc={73096742-37DA-3E44-A5E7-5082AA673479}</author>
    <author>tc={17C4E8CB-2E8A-0C4C-8CCE-DB1234AF02FB}</author>
  </authors>
  <commentList>
    <comment ref="G27" authorId="0" shapeId="0" xr:uid="{A92A1366-BDEA-2D4B-884F-16D6CF07D3F1}">
      <text>
        <t xml:space="preserve">[Threaded comment]
Your version of Excel allows you to read this threaded comment; however, any edits to it will get removed if the file is opened in a newer version of Excel. Learn more: https://go.microsoft.com/fwlink/?linkid=870924
Comment:
    Note: If the Dashboard cell H34 provides that Owner is a “Non-Taxpayer” then the model will assume the debt is a “tax-exempt” borrowing. That does not impact any of the calculations, except the ITC Dollar Value calculation in cell H50, which is reduced by the lesser of 15% or the proportion of the debt to total capital, in accordance with the Inflation Reduction Act. </t>
      </text>
    </comment>
    <comment ref="J27" authorId="1" shapeId="0" xr:uid="{BFDE949E-48CA-5A43-B8A7-09F1A752D19F}">
      <text>
        <t xml:space="preserve">[Threaded comment]
Your version of Excel allows you to read this threaded comment; however, any edits to it will get removed if the file is opened in a newer version of Excel. Learn more: https://go.microsoft.com/fwlink/?linkid=870924
Comment:
    Be sure to confirm value in cell K34 below.
</t>
      </text>
    </comment>
    <comment ref="B33" authorId="2" shapeId="0" xr:uid="{BEC34F8C-F5CD-E343-8A69-19D80822D78C}">
      <text>
        <t>[Threaded comment]
Your version of Excel allows you to read this threaded comment; however, any edits to it will get removed if the file is opened in a newer version of Excel. Learn more: https://go.microsoft.com/fwlink/?linkid=870924
Comment:
    Note that in this model, the Aggregate Roof Upgrade &amp; Warranty cost is deducted from the Basis for calculating  Depreciation and the ITC, as most roof improvements are not deemed integral to the production of solar energy.</t>
      </text>
    </comment>
    <comment ref="B36" authorId="3" shapeId="0" xr:uid="{F6E13B5B-7C14-214F-AF7F-B72D51A0D2A7}">
      <text>
        <t xml:space="preserve">[Threaded comment]
Your version of Excel allows you to read this threaded comment; however, any edits to it will get removed if the file is opened in a newer version of Excel. Learn more: https://go.microsoft.com/fwlink/?linkid=870924
Comment:
    Note that in this model, if Site Purchase or Lease” (cell J33) is “Yes” in K33, then Cell E34 will have the Site Purchase Price in it. Note that the purchase cost of land is not eligible for depreciation, and this amount is also not includable in Basis for calculating the ITC. </t>
      </text>
    </comment>
    <comment ref="G36" authorId="4" shapeId="0" xr:uid="{8F614B15-DEB1-1E4D-9279-EF735ACDF320}">
      <text>
        <t>[Threaded comment]
Your version of Excel allows you to read this threaded comment; however, any edits to it will get removed if the file is opened in a newer version of Excel. Learn more: https://go.microsoft.com/fwlink/?linkid=870924
Comment:
    If MACRS is selected, this model assumes MACRS is also available for State depreciation. 
If Bonus Depr. is seledted, this model assumes that it DOES NOTapply.</t>
      </text>
    </comment>
    <comment ref="G42" authorId="5" shapeId="0" xr:uid="{A066F2E2-4E6E-7644-BC0B-7FDCA95C932D}">
      <text>
        <t>[Threaded comment]
Your version of Excel allows you to read this threaded comment; however, any edits to it will get removed if the file is opened in a newer version of Excel. Learn more: https://go.microsoft.com/fwlink/?linkid=870924
Comment:
    Remember that if your owner is a “Non-Taxpayer” in cell H34 above, then your discount for the ITC Cash Sale in cell H42 ought to be zero because the owner should be eligible for a direct payment option from IRS (in lieu of tax credit) equal to 100% of the ITC. (Discount only applies if a Taxpayer sells the ITC to another party. (And don’t forget to turn on Cash Sale!)</t>
      </text>
    </comment>
    <comment ref="B44" authorId="6" shapeId="0" xr:uid="{1D80BE7D-7140-1D47-8A0E-6EC140DE3BB8}">
      <text>
        <t>[Threaded comment]
Your version of Excel allows you to read this threaded comment; however, any edits to it will get removed if the file is opened in a newer version of Excel. Learn more: https://go.microsoft.com/fwlink/?linkid=870924
Comment:
    Escalation could be historical 10 or 20 year average utility escalation</t>
      </text>
    </comment>
    <comment ref="G48" authorId="7" shapeId="0" xr:uid="{AC6D762D-B642-CB4E-ACF5-51683E814E2B}">
      <text>
        <t xml:space="preserve">[Threaded comment]
Your version of Excel allows you to read this threaded comment; however, any edits to it will get removed if the file is opened in a newer version of Excel. Learn more: https://go.microsoft.com/fwlink/?linkid=870924
Comment:
    Intended only for finer adjustment of ITC Costs than provided in cell D37. Otherwise leave at 0%.  </t>
      </text>
    </comment>
    <comment ref="B51" authorId="8" shapeId="0" xr:uid="{7324684E-6B5B-0046-AF95-533F400A27CA}">
      <text>
        <t xml:space="preserve">[Threaded comment]
Your version of Excel allows you to read this threaded comment; however, any edits to it will get removed if the file is opened in a newer version of Excel. Learn more: https://go.microsoft.com/fwlink/?linkid=870924
Comment:
    Formula subtracts Roof Upgrade and Warranty Costs and Site (land) Purchase Price before multiplying by 85% to reduce by half the value of the  ITC.
</t>
      </text>
    </comment>
    <comment ref="G66" authorId="9" shapeId="0" xr:uid="{73096742-37DA-3E44-A5E7-5082AA673479}">
      <text>
        <t xml:space="preserve">[Threaded comment]
Your version of Excel allows you to read this threaded comment; however, any edits to it will get removed if the file is opened in a newer version of Excel. Learn more: https://go.microsoft.com/fwlink/?linkid=870924
Comment:
    Cash-On-Cash Premium calculated as percent of Tax Equity’s investment. </t>
      </text>
    </comment>
    <comment ref="G67" authorId="10" shapeId="0" xr:uid="{17C4E8CB-2E8A-0C4C-8CCE-DB1234AF02FB}">
      <text>
        <t xml:space="preserve">[Threaded comment]
Your version of Excel allows you to read this threaded comment; however, any edits to it will get removed if the file is opened in a newer version of Excel. Learn more: https://go.microsoft.com/fwlink/?linkid=870924
Comment:
    Management Incentive Fee set as percentage of remaining cash flow after payment of Cash-On-Cash premium.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tc={50DC0BC5-04EA-8B41-8F4D-A83DE1237317}</author>
    <author>tc={DDE8B421-2708-E446-B95D-111DE76C69D4}</author>
    <author>tc={6A14BF4E-9C01-6B46-95ED-413D91E44811}</author>
  </authors>
  <commentList>
    <comment ref="B29" authorId="0" shapeId="0" xr:uid="{50DC0BC5-04EA-8B41-8F4D-A83DE1237317}">
      <text>
        <t xml:space="preserve">[Threaded comment]
Your version of Excel allows you to read this threaded comment; however, any edits to it will get removed if the file is opened in a newer version of Excel. Learn more: https://go.microsoft.com/fwlink/?linkid=870924
Comment:
    Configured to calculate sales tax on both Electricity Sales, and SREC Sales.
</t>
      </text>
    </comment>
    <comment ref="B56" authorId="1" shapeId="0" xr:uid="{DDE8B421-2708-E446-B95D-111DE76C69D4}">
      <text>
        <t xml:space="preserve">[Threaded comment]
Your version of Excel allows you to read this threaded comment; however, any edits to it will get removed if the file is opened in a newer version of Excel. Learn more: https://go.microsoft.com/fwlink/?linkid=870924
Comment:
    Assumes State Tax Payments are deductible in calculating Federal Taxable Income. </t>
      </text>
    </comment>
    <comment ref="B72" authorId="2" shapeId="0" xr:uid="{6A14BF4E-9C01-6B46-95ED-413D91E44811}">
      <text>
        <t xml:space="preserve">[Threaded comment]
Your version of Excel allows you to read this threaded comment; however, any edits to it will get removed if the file is opened in a newer version of Excel. Learn more: https://go.microsoft.com/fwlink/?linkid=870924
Comment:
    Assumes State Tax Payments are deductible in calculating Federal Taxable Income.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tc={86B75019-B5B8-6E4B-B94D-969917D403EB}</author>
    <author>tc={1A329D52-A7D8-1E44-866A-371B1D59D1A4}</author>
  </authors>
  <commentList>
    <comment ref="B37" authorId="0" shapeId="0" xr:uid="{86B75019-B5B8-6E4B-B94D-969917D403EB}">
      <text>
        <t>[Threaded comment]
Your version of Excel allows you to read this threaded comment; however, any edits to it will get removed if the file is opened in a newer version of Excel. Learn more: https://go.microsoft.com/fwlink/?linkid=870924
Comment:
Note: Cash-on-Cash Premium Rate is expressed per Annum as % of the Tax Equity’s original Investment.</t>
      </text>
    </comment>
    <comment ref="B40" authorId="1" shapeId="0" xr:uid="{1A329D52-A7D8-1E44-866A-371B1D59D1A4}">
      <text>
        <t xml:space="preserve">[Threaded comment]
Your version of Excel allows you to read this threaded comment; however, any edits to it will get removed if the file is opened in a newer version of Excel. Learn more: https://go.microsoft.com/fwlink/?linkid=870924
Comment:
    Management Incentive Fee set as percentage of remaining cash flow after payment of Cash-On-Cash premium.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tc={96177D7A-4E4D-2145-8C7C-474A353FE214}</author>
    <author>tc={0573F71F-AA3E-5F4D-8041-C16734E39ECE}</author>
    <author>tc={4899C918-87D9-D84D-99F9-C0D3BB847A0E}</author>
    <author>tc={33545CE2-84A7-5F46-A075-908759B7568C}</author>
  </authors>
  <commentList>
    <comment ref="B31" authorId="0" shapeId="0" xr:uid="{96177D7A-4E4D-2145-8C7C-474A353FE214}">
      <text>
        <t xml:space="preserve">[Threaded comment]
Your version of Excel allows you to read this threaded comment; however, any edits to it will get removed if the file is opened in a newer version of Excel. Learn more: https://go.microsoft.com/fwlink/?linkid=870924
Comment:
    Each cell represents the NPV for the year (Row 17, Column of the cell) as indicated for future payments starting in the next year to the end of 2020. No NPV for the last year as it would have no future payments to discount back.
</t>
      </text>
    </comment>
    <comment ref="B33" authorId="1" shapeId="0" xr:uid="{0573F71F-AA3E-5F4D-8041-C16734E39ECE}">
      <text>
        <t xml:space="preserve">[Threaded comment]
Your version of Excel allows you to read this threaded comment; however, any edits to it will get removed if the file is opened in a newer version of Excel. Learn more: https://go.microsoft.com/fwlink/?linkid=870924
Comment:
    Calculated as greater of NPV of (1) remaining cash and tax benefits flow due to Equity, and (2) a terminal value calculated as a percent of the original Purchase Price.
</t>
      </text>
    </comment>
    <comment ref="B51" authorId="2" shapeId="0" xr:uid="{4899C918-87D9-D84D-99F9-C0D3BB847A0E}">
      <text>
        <t xml:space="preserve">[Threaded comment]
Your version of Excel allows you to read this threaded comment; however, any edits to it will get removed if the file is opened in a newer version of Excel. Learn more: https://go.microsoft.com/fwlink/?linkid=870924
Comment:
    Historical cost of PPA purchases from Placed in Service (start of Year 1) through to the current (buyout) year. </t>
      </text>
    </comment>
    <comment ref="B52" authorId="3" shapeId="0" xr:uid="{33545CE2-84A7-5F46-A075-908759B7568C}">
      <text>
        <t xml:space="preserve">[Threaded comment]
Your version of Excel allows you to read this threaded comment; however, any edits to it will get removed if the file is opened in a newer version of Excel. Learn more: https://go.microsoft.com/fwlink/?linkid=870924
Comment:
    NPV of future operating costs incurred as a result of owning and operating the Solar System. </t>
      </text>
    </comment>
  </commentList>
</comments>
</file>

<file path=xl/sharedStrings.xml><?xml version="1.0" encoding="utf-8"?>
<sst xmlns="http://schemas.openxmlformats.org/spreadsheetml/2006/main" count="591" uniqueCount="477">
  <si>
    <t>Cautionary Note</t>
    <phoneticPr fontId="8" type="noConversion"/>
  </si>
  <si>
    <t>SRECS Applicable?</t>
    <phoneticPr fontId="8" type="noConversion"/>
  </si>
  <si>
    <t>State Sales Tax on Electricity</t>
    <phoneticPr fontId="8" type="noConversion"/>
  </si>
  <si>
    <t>Fixed</t>
  </si>
  <si>
    <t>Inv. Ret.Calc.</t>
    <phoneticPr fontId="8" type="noConversion"/>
  </si>
  <si>
    <t>Operating Cash</t>
    <phoneticPr fontId="8" type="noConversion"/>
  </si>
  <si>
    <t>Debt Interest</t>
    <phoneticPr fontId="8" type="noConversion"/>
  </si>
  <si>
    <t>Debt Principle</t>
    <phoneticPr fontId="8" type="noConversion"/>
  </si>
  <si>
    <t>Depreciation Bonus Rate</t>
    <phoneticPr fontId="8" type="noConversion"/>
  </si>
  <si>
    <t>Other Operating Expenses</t>
    <phoneticPr fontId="8" type="noConversion"/>
  </si>
  <si>
    <t>Site Purchase or Lease?</t>
    <phoneticPr fontId="8" type="noConversion"/>
  </si>
  <si>
    <t>Cash Equity, % of Equity Investment</t>
    <phoneticPr fontId="8" type="noConversion"/>
  </si>
  <si>
    <t>Tax Equity Partner, Post-Flip Share</t>
    <phoneticPr fontId="8" type="noConversion"/>
  </si>
  <si>
    <t>Cash Equity Partner, Post-Flip Share</t>
    <phoneticPr fontId="8" type="noConversion"/>
  </si>
  <si>
    <t>Construction Loan Fee &amp; Closing Cost</t>
    <phoneticPr fontId="8" type="noConversion"/>
  </si>
  <si>
    <t>Construction Loan Cost (IDC, Fees &amp; Closing Cost)</t>
    <phoneticPr fontId="8" type="noConversion"/>
  </si>
  <si>
    <t>Cash</t>
    <phoneticPr fontId="8" type="noConversion"/>
  </si>
  <si>
    <t>Federal ITC</t>
    <phoneticPr fontId="8" type="noConversion"/>
  </si>
  <si>
    <t>Net Fed. Dep.</t>
    <phoneticPr fontId="8" type="noConversion"/>
  </si>
  <si>
    <t>UNSTRUCTURED CHART DATA</t>
    <phoneticPr fontId="8" type="noConversion"/>
  </si>
  <si>
    <t>Current Year State Depreciation</t>
  </si>
  <si>
    <t>Cautionary Note</t>
    <phoneticPr fontId="8" type="noConversion"/>
  </si>
  <si>
    <t>DATA KEY</t>
    <phoneticPr fontId="8" type="noConversion"/>
  </si>
  <si>
    <t>Loan Principal</t>
    <phoneticPr fontId="8" type="noConversion"/>
  </si>
  <si>
    <t>Cash-on-cash NPV</t>
  </si>
  <si>
    <t>Cash-on-Cash IRR</t>
  </si>
  <si>
    <t>Customer Analysis</t>
    <phoneticPr fontId="8" type="noConversion"/>
  </si>
  <si>
    <t>Dashboard</t>
    <phoneticPr fontId="8" type="noConversion"/>
  </si>
  <si>
    <t xml:space="preserve">CUSTOMER CONVENTIONAL POWER </t>
    <phoneticPr fontId="8" type="noConversion"/>
  </si>
  <si>
    <t>Site Lease Value</t>
    <phoneticPr fontId="8" type="noConversion"/>
  </si>
  <si>
    <t>Interest Portion</t>
    <phoneticPr fontId="8" type="noConversion"/>
  </si>
  <si>
    <t>OUTPUTS AND ANALYSIS</t>
    <phoneticPr fontId="8" type="noConversion"/>
  </si>
  <si>
    <t>Year</t>
    <phoneticPr fontId="8" type="noConversion"/>
  </si>
  <si>
    <t>AC to DC Conversion Factor</t>
    <phoneticPr fontId="8" type="noConversion"/>
  </si>
  <si>
    <t>Investment</t>
    <phoneticPr fontId="8" type="noConversion"/>
  </si>
  <si>
    <t>Debt Coverage Ratio Test</t>
    <phoneticPr fontId="8" type="noConversion"/>
  </si>
  <si>
    <t>Partnership Flip Data</t>
    <phoneticPr fontId="8" type="noConversion"/>
  </si>
  <si>
    <t>Tax Equity Partner, Pre-Flip Share</t>
    <phoneticPr fontId="8" type="noConversion"/>
  </si>
  <si>
    <t>Cash Equity Partner, Pre-Flip Share</t>
    <phoneticPr fontId="8" type="noConversion"/>
  </si>
  <si>
    <t>Project Debt?</t>
    <phoneticPr fontId="8" type="noConversion"/>
  </si>
  <si>
    <t xml:space="preserve">Project Loan Term? </t>
    <phoneticPr fontId="8" type="noConversion"/>
  </si>
  <si>
    <t>Project Loan Rate</t>
    <phoneticPr fontId="8" type="noConversion"/>
  </si>
  <si>
    <t>Project Loan Amount</t>
    <phoneticPr fontId="8" type="noConversion"/>
  </si>
  <si>
    <t>Investor Return Profile</t>
  </si>
  <si>
    <t>Construction Loan Costs</t>
    <phoneticPr fontId="8" type="noConversion"/>
  </si>
  <si>
    <t>Developer Margin</t>
    <phoneticPr fontId="8" type="noConversion"/>
  </si>
  <si>
    <t>Size of System in W</t>
    <phoneticPr fontId="8" type="noConversion"/>
  </si>
  <si>
    <t>Net State Dep.</t>
    <phoneticPr fontId="8" type="noConversion"/>
  </si>
  <si>
    <t>Federal Dep.</t>
    <phoneticPr fontId="8" type="noConversion"/>
  </si>
  <si>
    <t>State Dep.</t>
    <phoneticPr fontId="8" type="noConversion"/>
  </si>
  <si>
    <t>NPV Lease Value</t>
    <phoneticPr fontId="8" type="noConversion"/>
  </si>
  <si>
    <t>Cumulative Flows</t>
    <phoneticPr fontId="8" type="noConversion"/>
  </si>
  <si>
    <t>Insurance</t>
    <phoneticPr fontId="8" type="noConversion"/>
  </si>
  <si>
    <t>Utility Charge per kWh</t>
    <phoneticPr fontId="8" type="noConversion"/>
  </si>
  <si>
    <t>Project Sale Price</t>
    <phoneticPr fontId="8" type="noConversion"/>
  </si>
  <si>
    <t>DC (W)</t>
    <phoneticPr fontId="8" type="noConversion"/>
  </si>
  <si>
    <t>INPUTS AND CONSTANTS</t>
    <phoneticPr fontId="8" type="noConversion"/>
  </si>
  <si>
    <t>Federal Tax</t>
    <phoneticPr fontId="8" type="noConversion"/>
  </si>
  <si>
    <t>Development Margin Recovery</t>
    <phoneticPr fontId="8" type="noConversion"/>
  </si>
  <si>
    <t>Other Cost Recovery</t>
    <phoneticPr fontId="8" type="noConversion"/>
  </si>
  <si>
    <t>Cash-on-Cash IRR</t>
    <phoneticPr fontId="8" type="noConversion"/>
  </si>
  <si>
    <t>Debt Equity Ratio</t>
    <phoneticPr fontId="8" type="noConversion"/>
  </si>
  <si>
    <t>Property &amp; Equipment Taxes</t>
    <phoneticPr fontId="8" type="noConversion"/>
  </si>
  <si>
    <t xml:space="preserve">Debt Coverage Ratio? </t>
    <phoneticPr fontId="8" type="noConversion"/>
  </si>
  <si>
    <t xml:space="preserve">Copyright, 2012 &amp; 2013; All rights reserved by CapIron, Inc. This model may not be sold, licensed or distributed without the prior written approval of CapIron, Inc. Heatspring Solar MBA students may use this model for their personal use only. </t>
  </si>
  <si>
    <t>Flip Year</t>
    <phoneticPr fontId="28" type="noConversion"/>
  </si>
  <si>
    <t>FINANCING INFORMATION - Project Debt</t>
    <phoneticPr fontId="8" type="noConversion"/>
  </si>
  <si>
    <t>Fees</t>
    <phoneticPr fontId="8" type="noConversion"/>
  </si>
  <si>
    <t>Interest</t>
    <phoneticPr fontId="8" type="noConversion"/>
  </si>
  <si>
    <t xml:space="preserve">Excess Investor IRR? </t>
    <phoneticPr fontId="8" type="noConversion"/>
  </si>
  <si>
    <t>Max Payment under Debt Coverage Ratio</t>
    <phoneticPr fontId="8" type="noConversion"/>
  </si>
  <si>
    <t>Debt Coverage Test Delta</t>
    <phoneticPr fontId="8" type="noConversion"/>
  </si>
  <si>
    <t>FINANCING INFORMATION - Tax Equity &amp; Lease</t>
    <phoneticPr fontId="8" type="noConversion"/>
  </si>
  <si>
    <t>Organization</t>
  </si>
  <si>
    <t xml:space="preserve">Debt Portion </t>
    <phoneticPr fontId="8" type="noConversion"/>
  </si>
  <si>
    <t>Equity Portion</t>
    <phoneticPr fontId="8" type="noConversion"/>
  </si>
  <si>
    <t>Inputs &amp; Outputs</t>
    <phoneticPr fontId="8" type="noConversion"/>
  </si>
  <si>
    <t>Site Property Tax</t>
    <phoneticPr fontId="8" type="noConversion"/>
  </si>
  <si>
    <t>Equipment Tax</t>
    <phoneticPr fontId="8" type="noConversion"/>
  </si>
  <si>
    <t>Excess Current Year State Dep.</t>
  </si>
  <si>
    <t>Federal Depreciation</t>
  </si>
  <si>
    <t xml:space="preserve">P50 Revenue - Production </t>
    <phoneticPr fontId="8" type="noConversion"/>
  </si>
  <si>
    <t>Construction Cost Recovery</t>
    <phoneticPr fontId="8" type="noConversion"/>
  </si>
  <si>
    <t>Debt Management Calculations</t>
    <phoneticPr fontId="8" type="noConversion"/>
  </si>
  <si>
    <t>Depreciation</t>
    <phoneticPr fontId="8" type="noConversion"/>
  </si>
  <si>
    <t>SYSTEM COSTS</t>
    <phoneticPr fontId="8" type="noConversion"/>
  </si>
  <si>
    <t>Drop Down Menu</t>
    <phoneticPr fontId="8" type="noConversion"/>
  </si>
  <si>
    <t>Important User Note</t>
  </si>
  <si>
    <t>Aggregate Constr. Cost</t>
    <phoneticPr fontId="8" type="noConversion"/>
  </si>
  <si>
    <t>Year 10</t>
  </si>
  <si>
    <t>Year 15</t>
  </si>
  <si>
    <t>Year 20</t>
  </si>
  <si>
    <t>Excess Sale Price/Margin</t>
    <phoneticPr fontId="8" type="noConversion"/>
  </si>
  <si>
    <t>Interest Payments</t>
    <phoneticPr fontId="8" type="noConversion"/>
  </si>
  <si>
    <t>Site Lease Fixed or % of Revenue?</t>
    <phoneticPr fontId="8" type="noConversion"/>
  </si>
  <si>
    <t>Annual Site Lease Fixed Cost</t>
    <phoneticPr fontId="8" type="noConversion"/>
  </si>
  <si>
    <t>Site Purchase Price</t>
    <phoneticPr fontId="8" type="noConversion"/>
  </si>
  <si>
    <t>Federal Investment Tax Credit (ITC)</t>
    <phoneticPr fontId="8" type="noConversion"/>
  </si>
  <si>
    <t>Cum. Cash &amp; Tax Flows</t>
  </si>
  <si>
    <t>PARTNERSHIP FLIP</t>
    <phoneticPr fontId="8" type="noConversion"/>
  </si>
  <si>
    <t>SREC Price</t>
    <phoneticPr fontId="8" type="noConversion"/>
  </si>
  <si>
    <t>SREC Term (Yrs)</t>
    <phoneticPr fontId="8" type="noConversion"/>
  </si>
  <si>
    <t>SREC Price ($)</t>
    <phoneticPr fontId="8" type="noConversion"/>
  </si>
  <si>
    <t>SREC Annual Rate Increase (Decrease)</t>
    <phoneticPr fontId="8" type="noConversion"/>
  </si>
  <si>
    <t>P50 Revenue - SREC</t>
    <phoneticPr fontId="8" type="noConversion"/>
  </si>
  <si>
    <t>Gross Project Revenue</t>
    <phoneticPr fontId="8" type="noConversion"/>
  </si>
  <si>
    <t>Total After-Tax Benefits</t>
    <phoneticPr fontId="8" type="noConversion"/>
  </si>
  <si>
    <t>Annual Site Lease Escalator</t>
    <phoneticPr fontId="8" type="noConversion"/>
  </si>
  <si>
    <t>SUPPORTING DATA AND CALCULATIONS</t>
    <phoneticPr fontId="8" type="noConversion"/>
  </si>
  <si>
    <t>Sensitivity</t>
  </si>
  <si>
    <t>NPV Lease Payments</t>
    <phoneticPr fontId="8" type="noConversion"/>
  </si>
  <si>
    <t>INCOME &amp; EXPENSE PROJECTIONS</t>
  </si>
  <si>
    <t>Roofing Upgrade &amp; Warranty</t>
    <phoneticPr fontId="8" type="noConversion"/>
  </si>
  <si>
    <t>Estimated Utility Charge Escalation</t>
    <phoneticPr fontId="8" type="noConversion"/>
  </si>
  <si>
    <t>IRR</t>
    <phoneticPr fontId="8" type="noConversion"/>
  </si>
  <si>
    <t>Est. PPA Price</t>
    <phoneticPr fontId="28" type="noConversion"/>
  </si>
  <si>
    <t>Customer Analysis</t>
    <phoneticPr fontId="8" type="noConversion"/>
  </si>
  <si>
    <t xml:space="preserve">Debt Amortize over Debt Term? </t>
    <phoneticPr fontId="8" type="noConversion"/>
  </si>
  <si>
    <t>PPA Price per kWh</t>
  </si>
  <si>
    <t>Principal Portion</t>
    <phoneticPr fontId="8" type="noConversion"/>
  </si>
  <si>
    <t>Utility Purchases</t>
    <phoneticPr fontId="28" type="noConversion"/>
  </si>
  <si>
    <t>Solar Purchases</t>
    <phoneticPr fontId="28" type="noConversion"/>
  </si>
  <si>
    <t>PPA Price</t>
    <phoneticPr fontId="8" type="noConversion"/>
  </si>
  <si>
    <t>Customer Pricing</t>
    <phoneticPr fontId="8" type="noConversion"/>
  </si>
  <si>
    <t>Year 7</t>
    <phoneticPr fontId="8" type="noConversion"/>
  </si>
  <si>
    <t>No Worksheets or cells are presently protected against change, whether intended or unintended.</t>
    <phoneticPr fontId="8" type="noConversion"/>
  </si>
  <si>
    <t xml:space="preserve">MACRS* </t>
  </si>
  <si>
    <t>Federal</t>
    <phoneticPr fontId="8" type="noConversion"/>
  </si>
  <si>
    <t>UNSTRUCTURED PROJECT ECONOMICS</t>
    <phoneticPr fontId="8" type="noConversion"/>
  </si>
  <si>
    <t>Unstructured Model</t>
    <phoneticPr fontId="8" type="noConversion"/>
  </si>
  <si>
    <t>Partnership Flip Model</t>
    <phoneticPr fontId="8" type="noConversion"/>
  </si>
  <si>
    <t>Calculated</t>
    <phoneticPr fontId="8" type="noConversion"/>
  </si>
  <si>
    <t>Roof Upgrade &amp; Warranty</t>
    <phoneticPr fontId="8" type="noConversion"/>
  </si>
  <si>
    <t>SRECS</t>
    <phoneticPr fontId="8" type="noConversion"/>
  </si>
  <si>
    <t>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t>
    <phoneticPr fontId="8" type="noConversion"/>
  </si>
  <si>
    <t>Site Costs</t>
    <phoneticPr fontId="8" type="noConversion"/>
  </si>
  <si>
    <t>Project Loan Coverage Ratio</t>
    <phoneticPr fontId="8" type="noConversion"/>
  </si>
  <si>
    <t>Project Debt/Project Debt+Equity</t>
    <phoneticPr fontId="8" type="noConversion"/>
  </si>
  <si>
    <t>After-Tax Excess Benefits</t>
    <phoneticPr fontId="8" type="noConversion"/>
  </si>
  <si>
    <t>Current Utility Price</t>
    <phoneticPr fontId="28" type="noConversion"/>
  </si>
  <si>
    <t>Buyout Price Calculation</t>
    <phoneticPr fontId="8" type="noConversion"/>
  </si>
  <si>
    <t>Gross Federal ITC</t>
    <phoneticPr fontId="8" type="noConversion"/>
  </si>
  <si>
    <t>Taxpayers State Income Tax Rate</t>
    <phoneticPr fontId="8" type="noConversion"/>
  </si>
  <si>
    <t>Total Project Revenue</t>
    <phoneticPr fontId="8" type="noConversion"/>
  </si>
  <si>
    <t>Project Sale Price</t>
    <phoneticPr fontId="8" type="noConversion"/>
  </si>
  <si>
    <t>State Taxable Income</t>
  </si>
  <si>
    <t>Federal Taxable Income</t>
  </si>
  <si>
    <t>Debt Amortization Test</t>
    <phoneticPr fontId="8" type="noConversion"/>
  </si>
  <si>
    <t>Project NPV @ Investor Hurdle</t>
    <phoneticPr fontId="8" type="noConversion"/>
  </si>
  <si>
    <t>PROPRIETARY AND CONFIDENTIAL</t>
  </si>
  <si>
    <t>Project IRR</t>
    <phoneticPr fontId="8" type="noConversion"/>
  </si>
  <si>
    <t>Depreciation Method</t>
    <phoneticPr fontId="8" type="noConversion"/>
  </si>
  <si>
    <t>Customer Purchasing &amp; Savings</t>
    <phoneticPr fontId="8" type="noConversion"/>
  </si>
  <si>
    <t>Year 7</t>
    <phoneticPr fontId="8" type="noConversion"/>
  </si>
  <si>
    <t>Year 15</t>
    <phoneticPr fontId="8" type="noConversion"/>
  </si>
  <si>
    <t>UNSTRUCTURED PROJECT</t>
    <phoneticPr fontId="8" type="noConversion"/>
  </si>
  <si>
    <t>Partnership Flip</t>
    <phoneticPr fontId="8" type="noConversion"/>
  </si>
  <si>
    <t>FINANCING INFORMATION - Construction</t>
    <phoneticPr fontId="8" type="noConversion"/>
  </si>
  <si>
    <t>Construction Loan Amount</t>
    <phoneticPr fontId="8" type="noConversion"/>
  </si>
  <si>
    <t>Construction Loan?</t>
    <phoneticPr fontId="8" type="noConversion"/>
  </si>
  <si>
    <t>Unstructured</t>
    <phoneticPr fontId="8" type="noConversion"/>
  </si>
  <si>
    <t>State</t>
    <phoneticPr fontId="8" type="noConversion"/>
  </si>
  <si>
    <t>PPA Price Annual Escalator</t>
    <phoneticPr fontId="8" type="noConversion"/>
  </si>
  <si>
    <t>PPA Price per kWh</t>
    <phoneticPr fontId="8" type="noConversion"/>
  </si>
  <si>
    <t>Amortizing Debt</t>
    <phoneticPr fontId="8" type="noConversion"/>
  </si>
  <si>
    <t>Cumulative Cash Flow</t>
    <phoneticPr fontId="8" type="noConversion"/>
  </si>
  <si>
    <t>Cash Only Flow NPV</t>
    <phoneticPr fontId="8" type="noConversion"/>
  </si>
  <si>
    <t>Cash Only Flow IRR</t>
    <phoneticPr fontId="8" type="noConversion"/>
  </si>
  <si>
    <t>Net Federal ITC</t>
    <phoneticPr fontId="8" type="noConversion"/>
  </si>
  <si>
    <t>Cash on Cash Analysis</t>
    <phoneticPr fontId="8" type="noConversion"/>
  </si>
  <si>
    <t>SYSTEM INPUTS</t>
    <phoneticPr fontId="8" type="noConversion"/>
  </si>
  <si>
    <t>Federal Taxable Income</t>
    <phoneticPr fontId="8" type="noConversion"/>
  </si>
  <si>
    <t>Federal Taxes</t>
    <phoneticPr fontId="8" type="noConversion"/>
  </si>
  <si>
    <t>Year 1</t>
    <phoneticPr fontId="8" type="noConversion"/>
  </si>
  <si>
    <t>Year 15</t>
    <phoneticPr fontId="8" type="noConversion"/>
  </si>
  <si>
    <t>Year 20</t>
    <phoneticPr fontId="8" type="noConversion"/>
  </si>
  <si>
    <t>Fed. Earnings, pre- Depreciation</t>
  </si>
  <si>
    <t>Current Year Fed. Depreciation</t>
  </si>
  <si>
    <t>Start Fed. Carryforward Balance</t>
  </si>
  <si>
    <t>Excess Current Year Fed.Dep.</t>
  </si>
  <si>
    <t>Annual Equipment Tax Rate</t>
    <phoneticPr fontId="8" type="noConversion"/>
  </si>
  <si>
    <t>Operating Costs</t>
    <phoneticPr fontId="8" type="noConversion"/>
  </si>
  <si>
    <t>Total Costs</t>
    <phoneticPr fontId="8" type="noConversion"/>
  </si>
  <si>
    <t>Depreciation Economics</t>
    <phoneticPr fontId="8" type="noConversion"/>
  </si>
  <si>
    <t>Debt Management Economics</t>
    <phoneticPr fontId="8" type="noConversion"/>
  </si>
  <si>
    <t>Annual O&amp;M Escalator</t>
    <phoneticPr fontId="8" type="noConversion"/>
  </si>
  <si>
    <t>Year</t>
    <phoneticPr fontId="8" type="noConversion"/>
  </si>
  <si>
    <t>Annual Amoritzation Payment</t>
    <phoneticPr fontId="8" type="noConversion"/>
  </si>
  <si>
    <t>Insurance Escalator</t>
    <phoneticPr fontId="8" type="noConversion"/>
  </si>
  <si>
    <t>Start State Carryforward Balance</t>
  </si>
  <si>
    <t>Partnership Flip Investment &amp; Returns</t>
    <phoneticPr fontId="28" type="noConversion"/>
  </si>
  <si>
    <t>Year 10</t>
    <phoneticPr fontId="8" type="noConversion"/>
  </si>
  <si>
    <t>Initial Site Property Base Value</t>
    <phoneticPr fontId="8" type="noConversion"/>
  </si>
  <si>
    <t>PPA Price per kWh (AC)</t>
    <phoneticPr fontId="8" type="noConversion"/>
  </si>
  <si>
    <t>UNSTRUCTURED PROJECT ANALYSIS</t>
    <phoneticPr fontId="8" type="noConversion"/>
  </si>
  <si>
    <t>Federal</t>
  </si>
  <si>
    <t>State</t>
  </si>
  <si>
    <t>Less Sales Tax</t>
    <phoneticPr fontId="8" type="noConversion"/>
  </si>
  <si>
    <t>Cash Flow Test</t>
    <phoneticPr fontId="8" type="noConversion"/>
  </si>
  <si>
    <t>DATA KEY</t>
  </si>
  <si>
    <t>Construction Loan Rate</t>
    <phoneticPr fontId="8" type="noConversion"/>
  </si>
  <si>
    <t>Taxpayer's Federal Marginal Tax Rate</t>
  </si>
  <si>
    <t>Basis for Depreciation</t>
  </si>
  <si>
    <t>Cash and Tax Benefits Analysis</t>
    <phoneticPr fontId="8" type="noConversion"/>
  </si>
  <si>
    <t>Annual Site Property Tax Rate</t>
    <phoneticPr fontId="8" type="noConversion"/>
  </si>
  <si>
    <t>Input Variable</t>
    <phoneticPr fontId="8" type="noConversion"/>
  </si>
  <si>
    <t>After-Tax Excess State Depreciation</t>
    <phoneticPr fontId="8" type="noConversion"/>
  </si>
  <si>
    <t>Net Lifecycle Benefit (Cost)</t>
  </si>
  <si>
    <t>Year 1</t>
  </si>
  <si>
    <t>Year 7</t>
  </si>
  <si>
    <t>Year-End Buyout Price</t>
    <phoneticPr fontId="8" type="noConversion"/>
  </si>
  <si>
    <t>Project Flip Project Analysis</t>
    <phoneticPr fontId="8" type="noConversion"/>
  </si>
  <si>
    <t>Cash Flow Positive over Project Term?</t>
    <phoneticPr fontId="8" type="noConversion"/>
  </si>
  <si>
    <t>Equity Investment</t>
    <phoneticPr fontId="8" type="noConversion"/>
  </si>
  <si>
    <t>Last Change</t>
  </si>
  <si>
    <t>Last Change</t>
    <phoneticPr fontId="8" type="noConversion"/>
  </si>
  <si>
    <t>Last Change Date</t>
  </si>
  <si>
    <t>Last Change Date</t>
    <phoneticPr fontId="8" type="noConversion"/>
  </si>
  <si>
    <t>Cash-on-Cash Return</t>
    <phoneticPr fontId="8" type="noConversion"/>
  </si>
  <si>
    <t>Calculated</t>
  </si>
  <si>
    <t>IRR</t>
    <phoneticPr fontId="8" type="noConversion"/>
  </si>
  <si>
    <t>Solar Purchases</t>
    <phoneticPr fontId="8" type="noConversion"/>
  </si>
  <si>
    <t>IRR</t>
    <phoneticPr fontId="8" type="noConversion"/>
  </si>
  <si>
    <t>NPV</t>
    <phoneticPr fontId="8" type="noConversion"/>
  </si>
  <si>
    <t>State Taxes</t>
    <phoneticPr fontId="8" type="noConversion"/>
  </si>
  <si>
    <t>Tax Equity, % of Equity Investment</t>
    <phoneticPr fontId="8" type="noConversion"/>
  </si>
  <si>
    <t>State Taxable Income</t>
    <phoneticPr fontId="8" type="noConversion"/>
  </si>
  <si>
    <t>Total cost per watt</t>
  </si>
  <si>
    <t>Construction Loan Term (months)</t>
    <phoneticPr fontId="8" type="noConversion"/>
  </si>
  <si>
    <t>Panel and Hard Eq. Cost per W</t>
    <phoneticPr fontId="8" type="noConversion"/>
  </si>
  <si>
    <t>Annual Panel Degradation Rate</t>
    <phoneticPr fontId="8" type="noConversion"/>
  </si>
  <si>
    <t>Closing Costs and Fees</t>
    <phoneticPr fontId="8" type="noConversion"/>
  </si>
  <si>
    <t>Aggregate Project Cost</t>
    <phoneticPr fontId="8" type="noConversion"/>
  </si>
  <si>
    <t>Cash Only Flow</t>
    <phoneticPr fontId="8" type="noConversion"/>
  </si>
  <si>
    <t>N/A</t>
  </si>
  <si>
    <t>Tax Efficient?</t>
    <phoneticPr fontId="8" type="noConversion"/>
  </si>
  <si>
    <t>After-tax Excess Federal Depreciation</t>
    <phoneticPr fontId="8" type="noConversion"/>
  </si>
  <si>
    <t>Net Federal Taxes Due</t>
    <phoneticPr fontId="8" type="noConversion"/>
  </si>
  <si>
    <t>Net State Taxes Due</t>
    <phoneticPr fontId="8" type="noConversion"/>
  </si>
  <si>
    <t>(5yrs, MACRS, HY)</t>
  </si>
  <si>
    <t>P50 Production (kWh)</t>
  </si>
  <si>
    <t>P50 Production (kWh)</t>
    <phoneticPr fontId="8" type="noConversion"/>
  </si>
  <si>
    <t>Remaining Balance</t>
    <phoneticPr fontId="8" type="noConversion"/>
  </si>
  <si>
    <t>Total Benefits</t>
    <phoneticPr fontId="8" type="noConversion"/>
  </si>
  <si>
    <t>NPV</t>
    <phoneticPr fontId="8" type="noConversion"/>
  </si>
  <si>
    <t>Input Variable</t>
  </si>
  <si>
    <t xml:space="preserve"> </t>
    <phoneticPr fontId="28" type="noConversion"/>
  </si>
  <si>
    <t>Utility Demand Charge</t>
    <phoneticPr fontId="28" type="noConversion"/>
  </si>
  <si>
    <t>Demand Charge Rate (% of Utility $/kWh)</t>
    <phoneticPr fontId="8" type="noConversion"/>
  </si>
  <si>
    <t xml:space="preserve">Est. P50 kWh/year Production </t>
    <phoneticPr fontId="8" type="noConversion"/>
  </si>
  <si>
    <t>Est. P95 kWh/year Production</t>
    <phoneticPr fontId="8" type="noConversion"/>
  </si>
  <si>
    <t>Single SREC Size (kWh/SREC)</t>
    <phoneticPr fontId="8" type="noConversion"/>
  </si>
  <si>
    <t>P50 SRECs</t>
    <phoneticPr fontId="8" type="noConversion"/>
  </si>
  <si>
    <t>O&amp;M Costs</t>
    <phoneticPr fontId="8" type="noConversion"/>
  </si>
  <si>
    <t>Equity Return</t>
    <phoneticPr fontId="28" type="noConversion"/>
  </si>
  <si>
    <t>Equity NPV</t>
    <phoneticPr fontId="8" type="noConversion"/>
  </si>
  <si>
    <t>Insurance Expense per Year per W (DC)</t>
    <phoneticPr fontId="8" type="noConversion"/>
  </si>
  <si>
    <t>Aggregate Roof Upgrade &amp; Warranty</t>
    <phoneticPr fontId="8" type="noConversion"/>
  </si>
  <si>
    <t>Aggregate Developer Margin</t>
    <phoneticPr fontId="8" type="noConversion"/>
  </si>
  <si>
    <t>VALUE TO BUILDING/LANDLORD</t>
    <phoneticPr fontId="8" type="noConversion"/>
  </si>
  <si>
    <t>Total NPV Value to Building/Landlord</t>
    <phoneticPr fontId="8" type="noConversion"/>
  </si>
  <si>
    <t>Customer (NPV) Discount Rate</t>
    <phoneticPr fontId="8" type="noConversion"/>
  </si>
  <si>
    <t>Cash Equity</t>
    <phoneticPr fontId="8" type="noConversion"/>
  </si>
  <si>
    <t>Tax Equity</t>
    <phoneticPr fontId="8" type="noConversion"/>
  </si>
  <si>
    <t>Electricity Purchases, kWh</t>
    <phoneticPr fontId="8" type="noConversion"/>
  </si>
  <si>
    <t>Utility Purchases</t>
    <phoneticPr fontId="8" type="noConversion"/>
  </si>
  <si>
    <t>After-Tax Owner Customer Economics</t>
    <phoneticPr fontId="8" type="noConversion"/>
  </si>
  <si>
    <t>Displaced Utility Cost Savings</t>
    <phoneticPr fontId="8" type="noConversion"/>
  </si>
  <si>
    <t>Construction Cost/Watt</t>
  </si>
  <si>
    <t>AC (W)</t>
    <phoneticPr fontId="8" type="noConversion"/>
  </si>
  <si>
    <t>Project Operating Costs</t>
    <phoneticPr fontId="8" type="noConversion"/>
  </si>
  <si>
    <t>Total Project Operating Costs</t>
    <phoneticPr fontId="8" type="noConversion"/>
  </si>
  <si>
    <t>Project Net Income</t>
    <phoneticPr fontId="8" type="noConversion"/>
  </si>
  <si>
    <t xml:space="preserve">This Workbook is organized as an active model of the project economics for a proposed distributed generation solar PV project. The Worksheets are all linked so that each should rely on the same common data to produce a consistent result. </t>
    <phoneticPr fontId="8" type="noConversion"/>
  </si>
  <si>
    <t>Illustrative Distributed Generation Solar PV Financial Model</t>
    <phoneticPr fontId="8" type="noConversion"/>
  </si>
  <si>
    <t>kWh Consumption (Avg. Monthly)</t>
    <phoneticPr fontId="8" type="noConversion"/>
  </si>
  <si>
    <t>Annual Utility Purchases, without PPA</t>
    <phoneticPr fontId="28" type="noConversion"/>
  </si>
  <si>
    <t>Annual Utility Purchases, with PPA</t>
    <phoneticPr fontId="28" type="noConversion"/>
  </si>
  <si>
    <t>SUPPORTING DATA AND CALCULATIONS</t>
  </si>
  <si>
    <t>Customer Analysis</t>
    <phoneticPr fontId="28" type="noConversion"/>
  </si>
  <si>
    <t>Equity Investment</t>
    <phoneticPr fontId="28" type="noConversion"/>
  </si>
  <si>
    <t>Investment Ratio</t>
    <phoneticPr fontId="8" type="noConversion"/>
  </si>
  <si>
    <t>Purchase Price</t>
    <phoneticPr fontId="8" type="noConversion"/>
  </si>
  <si>
    <t>NPV</t>
    <phoneticPr fontId="8" type="noConversion"/>
  </si>
  <si>
    <t>Unstructured Project Economics</t>
    <phoneticPr fontId="8" type="noConversion"/>
  </si>
  <si>
    <t>Unstructured Project</t>
    <phoneticPr fontId="8" type="noConversion"/>
  </si>
  <si>
    <t>Year</t>
  </si>
  <si>
    <t>Equity</t>
    <phoneticPr fontId="8" type="noConversion"/>
  </si>
  <si>
    <t>Debt</t>
    <phoneticPr fontId="8" type="noConversion"/>
  </si>
  <si>
    <t>Cash &amp; Tax Benefits Flows</t>
    <phoneticPr fontId="8" type="noConversion"/>
  </si>
  <si>
    <t>Net Federal ITC</t>
    <phoneticPr fontId="8" type="noConversion"/>
  </si>
  <si>
    <t>Est. Delta, P95/P50</t>
    <phoneticPr fontId="8" type="noConversion"/>
  </si>
  <si>
    <t>State Depreciation</t>
  </si>
  <si>
    <t>State Earnings, pre- Depreciation</t>
  </si>
  <si>
    <t>State Tax</t>
    <phoneticPr fontId="8" type="noConversion"/>
  </si>
  <si>
    <t>Purchase Price</t>
    <phoneticPr fontId="8" type="noConversion"/>
  </si>
  <si>
    <t>Buyout Price</t>
    <phoneticPr fontId="8" type="noConversion"/>
  </si>
  <si>
    <t>After-Tax Value of Cost Savings</t>
    <phoneticPr fontId="8" type="noConversion"/>
  </si>
  <si>
    <t>Customer Savings</t>
    <phoneticPr fontId="28" type="noConversion"/>
  </si>
  <si>
    <t>Owner Tax and Cash</t>
    <phoneticPr fontId="8" type="noConversion"/>
  </si>
  <si>
    <t>Est. P50 Annual Production (kWh per kW DC)</t>
  </si>
  <si>
    <t>Pers.Prop. Eq. Tax Base</t>
  </si>
  <si>
    <t>Pers.Prop. Eq. Book Depr. Rate</t>
  </si>
  <si>
    <t>Annual Site Lease Pmts (% of Rev.)</t>
  </si>
  <si>
    <t>Annual Ops &amp; Maint. Costs per W (DC)</t>
  </si>
  <si>
    <t>Esc. Rate</t>
  </si>
  <si>
    <t>Annual</t>
  </si>
  <si>
    <t>Est. FMV Customer Buyout</t>
  </si>
  <si>
    <t>Est. Lifecycle Benefit (Cost)</t>
  </si>
  <si>
    <t>No</t>
  </si>
  <si>
    <t>Roof Upgrade Cost Recovery</t>
  </si>
  <si>
    <t>On</t>
  </si>
  <si>
    <t>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t>
  </si>
  <si>
    <t>Customer Buyout and Lifecycle Analysis</t>
  </si>
  <si>
    <t>Drop Down</t>
  </si>
  <si>
    <t>Gross State Tax Credit</t>
  </si>
  <si>
    <t>Net State Tax Credit</t>
  </si>
  <si>
    <t>TAX DETAILS - Federal</t>
  </si>
  <si>
    <t>TAX DETAILS - State</t>
  </si>
  <si>
    <t>State Tax Credit Rate</t>
  </si>
  <si>
    <t>State Tax Credit Basis</t>
  </si>
  <si>
    <t>State  ITC On or Off?</t>
  </si>
  <si>
    <t>SUPPORTING DATA AND CALCULATIONS</t>
    <phoneticPr fontId="7" type="noConversion"/>
  </si>
  <si>
    <t>Simplified Partnership Flip</t>
  </si>
  <si>
    <t>Cash</t>
  </si>
  <si>
    <t>Net Income</t>
  </si>
  <si>
    <t>Depreciation</t>
  </si>
  <si>
    <t>Total Available Cash</t>
  </si>
  <si>
    <t>After-Tax Excess Tax Benefits</t>
  </si>
  <si>
    <t>ITC</t>
  </si>
  <si>
    <t>Total Excess Tax Benefit</t>
  </si>
  <si>
    <t>Cash Distributions - Waterfall</t>
  </si>
  <si>
    <t>Available Cash for Distr.</t>
  </si>
  <si>
    <t>1. Tax Investor, Cash-on-Cash Return</t>
  </si>
  <si>
    <t>Net Remaining Cash</t>
  </si>
  <si>
    <t>2. Developer/Sponsor Incentive Fee</t>
  </si>
  <si>
    <t>3. Remaining Balance</t>
  </si>
  <si>
    <t>Tax Equity Investor</t>
  </si>
  <si>
    <t>Cash Equity/Sponsor</t>
  </si>
  <si>
    <t>Aggregate Cash Distributions</t>
  </si>
  <si>
    <t>Developer/Sponsor</t>
  </si>
  <si>
    <t>Aggregate Cash Distribution</t>
  </si>
  <si>
    <t xml:space="preserve">Simplified Partnership Flip </t>
  </si>
  <si>
    <t>Tax Equity Partner</t>
    <phoneticPr fontId="33" type="noConversion"/>
  </si>
  <si>
    <t>Cash Only Benefits</t>
    <phoneticPr fontId="33" type="noConversion"/>
  </si>
  <si>
    <t>Excess Tax Only Benefits</t>
  </si>
  <si>
    <t>Cash &amp; Tax Benefits</t>
    <phoneticPr fontId="33" type="noConversion"/>
  </si>
  <si>
    <t>NPV of Cash &amp; Tax Flows</t>
    <phoneticPr fontId="33" type="noConversion"/>
  </si>
  <si>
    <t>Cash-on-Cash NPV</t>
  </si>
  <si>
    <t xml:space="preserve"> </t>
  </si>
  <si>
    <t>Developer/Sponsor (Cash Equity)</t>
  </si>
  <si>
    <t>Simplified Partnership Flip Chart Data</t>
  </si>
  <si>
    <t>Cumulative Returns (Cash &amp; Tax)</t>
  </si>
  <si>
    <t>Tax Equity Partner</t>
  </si>
  <si>
    <t>Equity Contributions</t>
  </si>
  <si>
    <t>Investor Target Flip IRR</t>
  </si>
  <si>
    <t>Cash-On-Cash Premium Requirement</t>
  </si>
  <si>
    <t>Mgt. Fee, % of Remaining Cash Flow</t>
  </si>
  <si>
    <t>State Tax Credit</t>
  </si>
  <si>
    <t>Net State Tax Credot</t>
  </si>
  <si>
    <t>IRR at Time of Flip</t>
  </si>
  <si>
    <t>Utility Price, $/kWh + Dem.Charge</t>
  </si>
  <si>
    <r>
      <t xml:space="preserve">Operating Note: </t>
    </r>
    <r>
      <rPr>
        <b/>
        <sz val="10"/>
        <color theme="0"/>
        <rFont val="Verdana"/>
        <family val="2"/>
      </rPr>
      <t xml:space="preserve">Should not be run with Project-Level Debt of any kind. Set Dashboard cell H27 to "No" prior to running this worksheet. </t>
    </r>
  </si>
  <si>
    <t>Customer Analysis - Chart Data</t>
  </si>
  <si>
    <t></t>
  </si>
  <si>
    <t>Purpose</t>
  </si>
  <si>
    <t xml:space="preserve">The Inputs &amp; Outputs worksheet operates as a control panel - it sets forth on the top left of the worksheet the principal input variables that most users will wish to explore or understand. Directly to the right of this Inputs section is the Outputs section. This section consists of a series of charts and a table to show how changes in the Inputs could affect key performance parameters of the project, including cash flows, NPV and IRR. </t>
  </si>
  <si>
    <t xml:space="preserve">The Unstructured worksheet shows the economics for the Projects as held by a single tax investor, and allows the User through the Inputs &amp; Outputs worksheet to toggle among internally tax efficient (State and Federal), partially tax efficient (Federal only) and inefficient (State and Federal). </t>
  </si>
  <si>
    <t>Customer Analysis</t>
  </si>
  <si>
    <t>TRACK CHANGE DATES, AND CHANGES HERE:</t>
  </si>
  <si>
    <t xml:space="preserve">This Workbook is designed to help a developer identify solar project opportunities and understand whether the project is buildable, economically valuable to the power offtake and strong enough to attract financing if needed. The model requires inputs specific to the project, but is intended to be used in an iterative fashion so that as the solar project advances, new and more accurate inputs can be added to clarify the prospective project returns. The model can be used and adapted for C&amp;I projects and small utility-scale solar PV projects. </t>
  </si>
  <si>
    <t>Project Revenue Data</t>
  </si>
  <si>
    <t>Project Revenue</t>
  </si>
  <si>
    <t>MACRS</t>
  </si>
  <si>
    <t>Equity/Lessor Investor Discount Rate</t>
  </si>
  <si>
    <t>Site Property Annual Adjustment Rate</t>
  </si>
  <si>
    <t>Site Lease Include Site Lease Taxes?</t>
  </si>
  <si>
    <t>Site Value or Purchase Price</t>
  </si>
  <si>
    <t>Valuation Analysis</t>
  </si>
  <si>
    <t>Site Lease Costs</t>
  </si>
  <si>
    <t>EBITDA (Cash Flow)</t>
  </si>
  <si>
    <t>(Year End Flip)</t>
  </si>
  <si>
    <t>Cash &amp; Tax IRR</t>
  </si>
  <si>
    <t>IRR of Cash &amp; Tax Flows</t>
  </si>
  <si>
    <t>PPA  Cost</t>
  </si>
  <si>
    <t>Total Lifecyle Production (kWh)</t>
  </si>
  <si>
    <t>Totl PPA Price</t>
  </si>
  <si>
    <t>Utility Price per kWh</t>
  </si>
  <si>
    <t>PPA Customer Analysis</t>
  </si>
  <si>
    <t>Historical PPA Costs</t>
  </si>
  <si>
    <t>Purchase/Buyout Year</t>
  </si>
  <si>
    <t>Simple LCOE Analysis (PPA vs. Business-As-Usual)</t>
  </si>
  <si>
    <t>Terminal Value (% of Purchase Price) for Buyout Calcs.</t>
  </si>
  <si>
    <t>Est. NPV of Terminal Value</t>
  </si>
  <si>
    <t>NPV of remaining pmts + terminal value (Yr. 20)</t>
  </si>
  <si>
    <t>Terminal Value for NPV</t>
  </si>
  <si>
    <t>Total Lifecycle Utility Purchased Electricity (kWh)</t>
  </si>
  <si>
    <t>PPA - Simple LCOE</t>
  </si>
  <si>
    <t>Utility - Simple LCOE</t>
  </si>
  <si>
    <t>per kWh</t>
  </si>
  <si>
    <t>PPA Purchased Electricity</t>
  </si>
  <si>
    <t>Displaced Utility Cost</t>
  </si>
  <si>
    <t>Customer Net Savings</t>
  </si>
  <si>
    <t>Adj. LCOE with total costs</t>
  </si>
  <si>
    <t>Adj. LCOE with Total Costs - Upfront Purchase vs. PPA w/Later Buyout</t>
  </si>
  <si>
    <t>Upfront Purchase</t>
  </si>
  <si>
    <t xml:space="preserve">This Distributed Generation Solar PV Financial Model for a Solar PV Project has been created to help understand the static and dynamic issues involved in building, financing and operating distributed generation solar PV projects for illustrative purposes only. The data and analysis in this model are not intended as representations or warranties as to how actual distributed generation solar PV projects will, could or should perform. Any prospective customer, developer, EPC Contractor, investor, purchaser or lender should not rely on this model for investment or tax advice, but should perform their own due diligence and analysis, and consult their own business, investment, legal and tax advisors to determine the suitability and potential of any investment in such a business for their particular circumstances. </t>
  </si>
  <si>
    <t>Demo Solar PV Model v2.1</t>
  </si>
  <si>
    <t>Demo Solar PV Model v.2.1</t>
  </si>
  <si>
    <t>Cash Flow 
&amp; Debt</t>
  </si>
  <si>
    <t>Taxable Inc.</t>
  </si>
  <si>
    <t>Tax Ben.  &amp;
Taxable Inc.</t>
  </si>
  <si>
    <t>Tax Efficient</t>
  </si>
  <si>
    <t>Tax Benefits</t>
  </si>
  <si>
    <t>Tax Inefficient</t>
  </si>
  <si>
    <t>Benefits&gt;Taxable Income</t>
  </si>
  <si>
    <t>Excess Benefits</t>
  </si>
  <si>
    <t>Exc. Benefits</t>
  </si>
  <si>
    <t xml:space="preserve"> </t>
  </si>
  <si>
    <t>Yes</t>
  </si>
  <si>
    <t>Lease</t>
  </si>
  <si>
    <t>Type</t>
  </si>
  <si>
    <t>Rate</t>
  </si>
  <si>
    <t>Base Rate for ITC</t>
  </si>
  <si>
    <t>Domestic Content</t>
  </si>
  <si>
    <t>Energy Community</t>
  </si>
  <si>
    <t>Low-Income Allocation</t>
  </si>
  <si>
    <t>MACRS DEPRECIATION INFORMATION &amp; TABLE</t>
  </si>
  <si>
    <t>ITC AND ITC ADDER TABLE</t>
  </si>
  <si>
    <t>Eligible?</t>
  </si>
  <si>
    <t>ITC Cash Sale - First Year Payment</t>
  </si>
  <si>
    <t>PTC Term (years)</t>
  </si>
  <si>
    <t>PTC Starting Rate ($/MWh)</t>
  </si>
  <si>
    <t>PTC Annual Inflator Rate (%)</t>
  </si>
  <si>
    <t>Add'l Reduction of ITC Eligible Basis</t>
  </si>
  <si>
    <t>Fed. ITC Eligible Property Value</t>
  </si>
  <si>
    <t>Fed. ITC Dollar Value</t>
  </si>
  <si>
    <t>Use Federal ITC or PTC?</t>
  </si>
  <si>
    <t>Federal ITC - Cash Sale -&gt; On or Off?</t>
  </si>
  <si>
    <t>ITC Cash Sale - # of Annual Pmts.</t>
  </si>
  <si>
    <t>ITC Cash Sale - Disc. to Purch. Price</t>
  </si>
  <si>
    <t>Interconnection Costs</t>
  </si>
  <si>
    <t>Term Value - %</t>
  </si>
  <si>
    <t>Term. Value - $</t>
  </si>
  <si>
    <t xml:space="preserve">Selector for Model Returns: </t>
  </si>
  <si>
    <t>Termination Value - % of Aggregate Project Cost 
Taken as a Sale @Term End (For IRR &amp; NPV Calcs</t>
  </si>
  <si>
    <t>Termination Payment (Year 25)</t>
  </si>
  <si>
    <t>Time-Based Flip, Target Year (&gt;=5)</t>
  </si>
  <si>
    <t>1st Year, Post Flip</t>
  </si>
  <si>
    <t>Year 25</t>
  </si>
  <si>
    <t>NPV of Customer Savings over 25 Year Term</t>
  </si>
  <si>
    <t>NPV of Customer Net Savings (25-Year Term)</t>
  </si>
  <si>
    <t>Debt Principal Payments (Cash Reduction)</t>
  </si>
  <si>
    <t>ITC Cash Sale Proceeds (Cash Inflow)</t>
  </si>
  <si>
    <t>PTC Alternative to ITC (Cash inflow)</t>
  </si>
  <si>
    <t>PTC Price ($/MWh)</t>
  </si>
  <si>
    <t>State &amp; Federal</t>
  </si>
  <si>
    <t xml:space="preserve"> ---&gt;</t>
  </si>
  <si>
    <t>Taxpayer</t>
  </si>
  <si>
    <t>Owner is a Taxpayer or Non-Taxpayer</t>
  </si>
  <si>
    <t>UNIQUE FORMULA THIS CELL: See Termination Payment Selector, Dashboard Cell D74</t>
  </si>
  <si>
    <t xml:space="preserve">OUTPUTS: Automated summary of critical assumptions. Review with each iteration of the model. </t>
  </si>
  <si>
    <t xml:space="preserve">Copyright, 2012, 2016, &amp; 2020; All rights reserved by CapIron, Inc. This model may not be sold, licensed or distributed without the prior written approval of CapIron, Inc. DOE Solar District Cup Competitors may use this model for the competition and personal use only. </t>
  </si>
  <si>
    <t xml:space="preserve">"This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	</t>
  </si>
  <si>
    <t xml:space="preserve">Copyright, 2020 &amp; 2022; All rights reserved by CapIron, Inc. This model may not be sold, licensed or distributed without the prior written approval of CapIron, Inc. DOE Solar District Cup Competitors may use this model for the competition and personal use only. </t>
  </si>
  <si>
    <t>All changes to this model should be limited to the input variable boxes and drop down menu boxes, each color-coded as noted on the key to the left. Changes should not be entered into any white-colored boxes, as these numbers are hard coded, and are intended to remain fixed ratios, constant cell references or constant numbers. Changing a hard coded, white box will lead to unpredictable errors and compromise the value of this model.</t>
  </si>
  <si>
    <t xml:space="preserve">The Partnership Flip worksheet shows the economics for a simple yield-based partnership flip model. The model provides for a cash waterfall, followed by an allocation of the remaining cash and all of the tax benefits pursuant to a set ratio (e.g., 95 to 5) that favors the tax investor over the non-tax (cash equity) investor.  When the tax investor's return hits the target IRR, the ratio flips (e.g., 5 to 95) to favor the non-tax (cash equity) investor. This Partnership Flip model is illustrative of the potential economics, but does not address the detailed Basis tracking account or partnership tracking accounts, each of which can have a significant impact on the actual allocations and returns. </t>
  </si>
  <si>
    <t xml:space="preserve">The Customer Analysis worksheet is intended to help the user understand and communicate the benefits of the solar project, and understand the cost of financing the project for 5, 10, 15 or 20 years. This portion of the Workbook is more art than science, and you may find that some of your customers may have strong views about what information they wish to see, how it should be calculated and how alternative scenarios may be compared. In sum, this worksheet provides more of a "jumping off" point, and should be altered as appropriate to meet your needs and customers' expectations. </t>
  </si>
  <si>
    <t>Cash Flow Positive over Project Term?</t>
  </si>
  <si>
    <t>Customer System Upfront Purchase</t>
  </si>
  <si>
    <t xml:space="preserve">Copyright, 2012, 2016, &amp; 2020; All rights reserved by CapIron, Inc. This model may not be sold, licensed or distributed without the prior written approval of CapIron, Inc. Solar District Cup students may use this model for their competition use only. </t>
  </si>
  <si>
    <t>Available Cash and Tax Benefits</t>
  </si>
  <si>
    <t>Utility Purchased Electricity</t>
  </si>
  <si>
    <t>Total Utility Price</t>
  </si>
  <si>
    <t xml:space="preserve">Assumes Customer purchases system and can use tax benefits efficiently; also assumes the PPA-price equivalent as the value of kWh generated by the solar system. </t>
  </si>
  <si>
    <t>`</t>
  </si>
  <si>
    <t>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</si>
</sst>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5" formatCode="&quot;$&quot;#,##0_);\(&quot;$&quot;#,##0\)"/>
    <numFmt numFmtId="7" formatCode="&quot;$&quot;#,##0.00_);\(&quot;$&quot;#,##0.00\)"/>
    <numFmt numFmtId="8" formatCode="&quot;$&quot;#,##0.00_);[Red]\(&quot;$&quot;#,##0.00\)"/>
    <numFmt numFmtId="41" formatCode="_(* #,##0_);_(* \(#,##0\);_(* &quot;-&quot;_);_(@_)"/>
    <numFmt numFmtId="44" formatCode="_(&quot;$&quot;* #,##0.00_);_(&quot;$&quot;* \(#,##0.00\);_(&quot;$&quot;* &quot;-&quot;??_);_(@_)"/>
    <numFmt numFmtId="43" formatCode="_(* #,##0.00_);_(* \(#,##0.00\);_(* &quot;-&quot;??_);_(@_)"/>
    <numFmt numFmtId="164" formatCode="&quot;$&quot;#,##0.00"/>
    <numFmt numFmtId="165" formatCode="0.0%"/>
    <numFmt numFmtId="166" formatCode="&quot;$&quot;#,##0"/>
    <numFmt numFmtId="167" formatCode="_(* #,##0_);_(* \(#,##0\);_(* &quot;-&quot;??_);_(@_)"/>
    <numFmt numFmtId="168" formatCode="&quot;$&quot;#,##0.000_);\(&quot;$&quot;#,##0.000\)"/>
    <numFmt numFmtId="169" formatCode="#,##0.0_);\(#,##0.0\)"/>
    <numFmt numFmtId="170" formatCode="#,##0.000_);\(#,##0.000\)"/>
    <numFmt numFmtId="171" formatCode="mm/dd/yy;@"/>
    <numFmt numFmtId="172" formatCode="_-&quot;$&quot;* #,##0_-;\-&quot;$&quot;* #,##0_-;_-&quot;$&quot;* &quot;-&quot;_-;_-@_-"/>
    <numFmt numFmtId="173" formatCode="&quot;$&quot;#,##0.00;[Red]\-&quot;$&quot;#,##0.00"/>
    <numFmt numFmtId="174" formatCode="_(&quot;$&quot;* #,##0.000_);_(&quot;$&quot;* \(#,##0.000\);_(&quot;$&quot;* &quot;-&quot;??_);_(@_)"/>
    <numFmt numFmtId="175" formatCode="_(&quot;$&quot;* #,##0_);_(&quot;$&quot;* \(#,##0\);_(&quot;$&quot;* &quot;-&quot;??_);_(@_)"/>
  </numFmts>
  <fonts count="72" x14ac:knownFonts="1">
    <font>
      <sz val="10"/>
      <name val="Verdana"/>
    </font>
    <font>
      <sz val="12"/>
      <color theme="1"/>
      <name val="Calibri"/>
      <family val="2"/>
      <scheme val="minor"/>
    </font>
    <font>
      <b/>
      <sz val="10"/>
      <name val="Calibri"/>
      <family val="2"/>
    </font>
    <font>
      <sz val="10"/>
      <name val="Calibri"/>
      <family val="2"/>
    </font>
    <font>
      <sz val="10"/>
      <name val="Calibri"/>
      <family val="2"/>
    </font>
    <font>
      <sz val="10"/>
      <name val="Calibri"/>
      <family val="2"/>
    </font>
    <font>
      <sz val="10"/>
      <name val="Verdana"/>
      <family val="2"/>
    </font>
    <font>
      <sz val="10"/>
      <name val="Verdana"/>
      <family val="2"/>
    </font>
    <font>
      <sz val="8"/>
      <name val="Verdana"/>
      <family val="2"/>
    </font>
    <font>
      <b/>
      <sz val="12"/>
      <color indexed="9"/>
      <name val="Calibri"/>
      <family val="2"/>
    </font>
    <font>
      <sz val="10"/>
      <name val="Calibri"/>
      <family val="2"/>
    </font>
    <font>
      <sz val="10"/>
      <color indexed="8"/>
      <name val="Calibri"/>
      <family val="2"/>
    </font>
    <font>
      <sz val="10"/>
      <name val="Verdana"/>
      <family val="2"/>
    </font>
    <font>
      <b/>
      <sz val="10"/>
      <name val="Calibri"/>
      <family val="2"/>
    </font>
    <font>
      <b/>
      <sz val="10"/>
      <color indexed="9"/>
      <name val="Calibri"/>
      <family val="2"/>
    </font>
    <font>
      <b/>
      <sz val="10"/>
      <color indexed="8"/>
      <name val="Calibri"/>
      <family val="2"/>
    </font>
    <font>
      <b/>
      <sz val="14"/>
      <name val="Calibri"/>
      <family val="2"/>
    </font>
    <font>
      <b/>
      <sz val="14"/>
      <color indexed="8"/>
      <name val="Calibri"/>
      <family val="2"/>
    </font>
    <font>
      <b/>
      <sz val="14"/>
      <color indexed="10"/>
      <name val="Calibri"/>
      <family val="2"/>
    </font>
    <font>
      <b/>
      <sz val="14"/>
      <name val="Verdana"/>
      <family val="2"/>
    </font>
    <font>
      <b/>
      <sz val="12"/>
      <name val="Verdana"/>
      <family val="2"/>
    </font>
    <font>
      <b/>
      <sz val="10"/>
      <color indexed="8"/>
      <name val="Verdana"/>
      <family val="2"/>
    </font>
    <font>
      <sz val="10"/>
      <name val="Arial"/>
      <family val="2"/>
    </font>
    <font>
      <b/>
      <sz val="14"/>
      <color indexed="18"/>
      <name val="Calibri"/>
      <family val="2"/>
    </font>
    <font>
      <b/>
      <sz val="12"/>
      <color indexed="18"/>
      <name val="Calibri"/>
      <family val="2"/>
    </font>
    <font>
      <sz val="12"/>
      <color indexed="18"/>
      <name val="Calibri"/>
      <family val="2"/>
    </font>
    <font>
      <b/>
      <sz val="10"/>
      <color indexed="8"/>
      <name val="Arial"/>
      <family val="2"/>
    </font>
    <font>
      <b/>
      <sz val="14"/>
      <color indexed="10"/>
      <name val="Calibri"/>
      <family val="2"/>
    </font>
    <font>
      <sz val="8"/>
      <name val="Calibri"/>
      <family val="2"/>
    </font>
    <font>
      <b/>
      <sz val="10"/>
      <color indexed="9"/>
      <name val="Verdana"/>
      <family val="2"/>
    </font>
    <font>
      <sz val="6"/>
      <name val="Verdana"/>
      <family val="2"/>
    </font>
    <font>
      <b/>
      <sz val="14"/>
      <color indexed="9"/>
      <name val="Calibri"/>
      <family val="2"/>
    </font>
    <font>
      <sz val="12"/>
      <color rgb="FF3F3F76"/>
      <name val="Calibri"/>
      <family val="2"/>
      <scheme val="minor"/>
    </font>
    <font>
      <b/>
      <sz val="12"/>
      <color rgb="FFFA7D00"/>
      <name val="Calibri"/>
      <family val="2"/>
      <scheme val="minor"/>
    </font>
    <font>
      <sz val="12"/>
      <name val="Verdana"/>
      <family val="2"/>
    </font>
    <font>
      <sz val="12"/>
      <name val="Calibri"/>
      <family val="2"/>
    </font>
    <font>
      <sz val="12"/>
      <color indexed="8"/>
      <name val="Calibri"/>
      <family val="2"/>
    </font>
    <font>
      <sz val="12"/>
      <color indexed="9"/>
      <name val="Calibri"/>
      <family val="2"/>
    </font>
    <font>
      <sz val="12"/>
      <color indexed="9"/>
      <name val="Verdana"/>
      <family val="2"/>
    </font>
    <font>
      <b/>
      <sz val="12"/>
      <color indexed="8"/>
      <name val="Calibri"/>
      <family val="2"/>
    </font>
    <font>
      <b/>
      <sz val="12"/>
      <color rgb="FF0070C0"/>
      <name val="Verdana"/>
      <family val="2"/>
    </font>
    <font>
      <sz val="10"/>
      <color rgb="FF0070C0"/>
      <name val="Verdana"/>
      <family val="2"/>
    </font>
    <font>
      <b/>
      <sz val="16"/>
      <name val="Calibri"/>
      <family val="2"/>
    </font>
    <font>
      <b/>
      <sz val="10"/>
      <color rgb="FFFFFF00"/>
      <name val="Verdana"/>
      <family val="2"/>
    </font>
    <font>
      <b/>
      <sz val="10"/>
      <color theme="0"/>
      <name val="Verdana"/>
      <family val="2"/>
    </font>
    <font>
      <sz val="10"/>
      <color rgb="FFFFFF00"/>
      <name val="Verdana"/>
      <family val="2"/>
    </font>
    <font>
      <sz val="14"/>
      <name val="Calibri"/>
      <family val="2"/>
    </font>
    <font>
      <b/>
      <sz val="10"/>
      <color rgb="FFFFFFFF"/>
      <name val="Calibri"/>
      <family val="2"/>
    </font>
    <font>
      <b/>
      <sz val="10"/>
      <name val="Verdana"/>
      <family val="2"/>
    </font>
    <font>
      <sz val="10"/>
      <name val="Calibri"/>
      <family val="2"/>
      <scheme val="minor"/>
    </font>
    <font>
      <b/>
      <sz val="14"/>
      <color rgb="FF002060"/>
      <name val="Calibri"/>
      <family val="2"/>
    </font>
    <font>
      <strike/>
      <sz val="10"/>
      <name val="Verdana"/>
      <family val="2"/>
    </font>
    <font>
      <b/>
      <sz val="10"/>
      <color rgb="FFFF0000"/>
      <name val="Verdana"/>
      <family val="2"/>
    </font>
    <font>
      <b/>
      <sz val="14"/>
      <name val="Calibri"/>
      <family val="2"/>
      <scheme val="minor"/>
    </font>
    <font>
      <sz val="10"/>
      <color indexed="8"/>
      <name val="Calibri"/>
      <family val="2"/>
      <scheme val="minor"/>
    </font>
    <font>
      <b/>
      <sz val="12"/>
      <color indexed="9"/>
      <name val="Calibri"/>
      <family val="2"/>
      <scheme val="minor"/>
    </font>
    <font>
      <b/>
      <sz val="10"/>
      <color indexed="9"/>
      <name val="Calibri"/>
      <family val="2"/>
      <scheme val="minor"/>
    </font>
    <font>
      <b/>
      <sz val="10"/>
      <color indexed="8"/>
      <name val="Calibri"/>
      <family val="2"/>
      <scheme val="minor"/>
    </font>
    <font>
      <b/>
      <sz val="10"/>
      <name val="Calibri"/>
      <family val="2"/>
      <scheme val="minor"/>
    </font>
    <font>
      <b/>
      <sz val="10"/>
      <color rgb="FF002060"/>
      <name val="Calibri"/>
      <family val="2"/>
      <scheme val="minor"/>
    </font>
    <font>
      <b/>
      <sz val="12"/>
      <color theme="0"/>
      <name val="Calibri"/>
      <family val="2"/>
      <scheme val="minor"/>
    </font>
    <font>
      <b/>
      <sz val="12"/>
      <color rgb="FFFFFFFF"/>
      <name val="Calibri"/>
      <family val="2"/>
      <scheme val="minor"/>
    </font>
    <font>
      <sz val="12"/>
      <name val="Calibri"/>
      <family val="2"/>
      <scheme val="minor"/>
    </font>
    <font>
      <sz val="12"/>
      <color indexed="8"/>
      <name val="Calibri"/>
      <family val="2"/>
      <scheme val="minor"/>
    </font>
    <font>
      <sz val="12"/>
      <color rgb="FF000000"/>
      <name val="Calibri"/>
      <family val="2"/>
    </font>
    <font>
      <b/>
      <sz val="12"/>
      <name val="Calibri"/>
      <family val="2"/>
      <scheme val="minor"/>
    </font>
    <font>
      <b/>
      <sz val="12"/>
      <color rgb="FF0070C0"/>
      <name val="Calibri"/>
      <family val="2"/>
      <scheme val="minor"/>
    </font>
    <font>
      <b/>
      <sz val="12"/>
      <name val="Calibri"/>
      <family val="2"/>
    </font>
    <font>
      <b/>
      <sz val="12"/>
      <color rgb="FF0070C0"/>
      <name val="Calibri"/>
      <family val="2"/>
    </font>
    <font>
      <b/>
      <sz val="14"/>
      <color indexed="8"/>
      <name val="Arial"/>
      <family val="2"/>
    </font>
    <font>
      <sz val="9"/>
      <name val="Verdana"/>
      <family val="2"/>
    </font>
    <font>
      <b/>
      <sz val="14"/>
      <color rgb="FFFF0000"/>
      <name val="Verdana"/>
      <family val="2"/>
    </font>
  </fonts>
  <fills count="22">
    <fill>
      <patternFill patternType="none"/>
    </fill>
    <fill>
      <patternFill patternType="gray125"/>
    </fill>
    <fill>
      <patternFill patternType="solid">
        <fgColor indexed="51"/>
        <bgColor indexed="64"/>
      </patternFill>
    </fill>
    <fill>
      <patternFill patternType="solid">
        <fgColor indexed="23"/>
        <bgColor indexed="64"/>
      </patternFill>
    </fill>
    <fill>
      <patternFill patternType="solid">
        <fgColor indexed="8"/>
        <bgColor indexed="64"/>
      </patternFill>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theme="1"/>
        <bgColor indexed="64"/>
      </patternFill>
    </fill>
    <fill>
      <patternFill patternType="solid">
        <fgColor indexed="43"/>
        <bgColor indexed="64"/>
      </patternFill>
    </fill>
    <fill>
      <patternFill patternType="solid">
        <fgColor rgb="FFFFCC99"/>
      </patternFill>
    </fill>
    <fill>
      <patternFill patternType="solid">
        <fgColor rgb="FFF2F2F2"/>
      </patternFill>
    </fill>
    <fill>
      <patternFill patternType="solid">
        <fgColor theme="2"/>
        <bgColor indexed="64"/>
      </patternFill>
    </fill>
    <fill>
      <patternFill patternType="solid">
        <fgColor theme="0" tint="-4.9989318521683403E-2"/>
        <bgColor indexed="64"/>
      </patternFill>
    </fill>
    <fill>
      <patternFill patternType="solid">
        <fgColor rgb="FF0000FF"/>
        <bgColor indexed="64"/>
      </patternFill>
    </fill>
    <fill>
      <patternFill patternType="solid">
        <fgColor rgb="FF000000"/>
        <bgColor rgb="FF000000"/>
      </patternFill>
    </fill>
    <fill>
      <patternFill patternType="solid">
        <fgColor theme="0" tint="-0.14999847407452621"/>
        <bgColor indexed="64"/>
      </patternFill>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rgb="FF000000"/>
      </patternFill>
    </fill>
    <fill>
      <patternFill patternType="solid">
        <fgColor theme="6" tint="0.39997558519241921"/>
        <bgColor indexed="64"/>
      </patternFill>
    </fill>
  </fills>
  <borders count="94">
    <border>
      <left/>
      <right/>
      <top/>
      <bottom/>
      <diagonal/>
    </border>
    <border>
      <left style="thin">
        <color auto="1"/>
      </left>
      <right/>
      <top/>
      <bottom/>
      <diagonal/>
    </border>
    <border>
      <left/>
      <right style="thin">
        <color auto="1"/>
      </right>
      <top/>
      <bottom/>
      <diagonal/>
    </border>
    <border>
      <left style="thin">
        <color indexed="22"/>
      </left>
      <right style="thin">
        <color indexed="22"/>
      </right>
      <top style="thin">
        <color indexed="22"/>
      </top>
      <bottom style="thin">
        <color indexed="22"/>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right/>
      <top/>
      <bottom style="double">
        <color auto="1"/>
      </bottom>
      <diagonal/>
    </border>
    <border>
      <left/>
      <right style="thin">
        <color auto="1"/>
      </right>
      <top/>
      <bottom style="double">
        <color auto="1"/>
      </bottom>
      <diagonal/>
    </border>
    <border>
      <left/>
      <right/>
      <top/>
      <bottom style="medium">
        <color auto="1"/>
      </bottom>
      <diagonal/>
    </border>
    <border>
      <left style="medium">
        <color auto="1"/>
      </left>
      <right/>
      <top style="medium">
        <color auto="1"/>
      </top>
      <bottom/>
      <diagonal/>
    </border>
    <border>
      <left style="medium">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style="thin">
        <color auto="1"/>
      </bottom>
      <diagonal/>
    </border>
    <border>
      <left/>
      <right/>
      <top style="medium">
        <color auto="1"/>
      </top>
      <bottom/>
      <diagonal/>
    </border>
    <border>
      <left style="medium">
        <color auto="1"/>
      </left>
      <right/>
      <top/>
      <bottom/>
      <diagonal/>
    </border>
    <border>
      <left/>
      <right/>
      <top style="double">
        <color auto="1"/>
      </top>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indexed="22"/>
      </left>
      <right style="thin">
        <color auto="1"/>
      </right>
      <top style="thin">
        <color indexed="22"/>
      </top>
      <bottom style="thin">
        <color indexed="22"/>
      </bottom>
      <diagonal/>
    </border>
    <border>
      <left style="medium">
        <color auto="1"/>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7F7F7F"/>
      </left>
      <right style="medium">
        <color indexed="64"/>
      </right>
      <top style="medium">
        <color indexed="64"/>
      </top>
      <bottom style="thin">
        <color rgb="FF7F7F7F"/>
      </bottom>
      <diagonal/>
    </border>
    <border>
      <left style="thin">
        <color rgb="FF7F7F7F"/>
      </left>
      <right style="medium">
        <color indexed="64"/>
      </right>
      <top style="thin">
        <color rgb="FF7F7F7F"/>
      </top>
      <bottom style="thin">
        <color rgb="FF7F7F7F"/>
      </bottom>
      <diagonal/>
    </border>
    <border>
      <left style="thin">
        <color auto="1"/>
      </left>
      <right style="medium">
        <color indexed="64"/>
      </right>
      <top style="thin">
        <color auto="1"/>
      </top>
      <bottom style="medium">
        <color indexed="64"/>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rgb="FF7F7F7F"/>
      </left>
      <right style="thin">
        <color indexed="64"/>
      </right>
      <top style="thin">
        <color rgb="FF7F7F7F"/>
      </top>
      <bottom style="thin">
        <color rgb="FF7F7F7F"/>
      </bottom>
      <diagonal/>
    </border>
    <border>
      <left/>
      <right/>
      <top style="thin">
        <color indexed="64"/>
      </top>
      <bottom style="thin">
        <color auto="1"/>
      </bottom>
      <diagonal/>
    </border>
    <border>
      <left style="thin">
        <color indexed="64"/>
      </left>
      <right style="thin">
        <color indexed="64"/>
      </right>
      <top style="thin">
        <color indexed="64"/>
      </top>
      <bottom style="thin">
        <color indexed="64"/>
      </bottom>
      <diagonal/>
    </border>
    <border>
      <left/>
      <right/>
      <top/>
      <bottom style="double">
        <color rgb="FF7030A0"/>
      </bottom>
      <diagonal/>
    </border>
    <border>
      <left/>
      <right style="double">
        <color rgb="FF7030A0"/>
      </right>
      <top style="double">
        <color rgb="FF7030A0"/>
      </top>
      <bottom/>
      <diagonal/>
    </border>
    <border>
      <left/>
      <right style="double">
        <color rgb="FF7030A0"/>
      </right>
      <top/>
      <bottom/>
      <diagonal/>
    </border>
    <border>
      <left style="thin">
        <color rgb="FF7F7F7F"/>
      </left>
      <right style="double">
        <color rgb="FF7030A0"/>
      </right>
      <top/>
      <bottom/>
      <diagonal/>
    </border>
    <border>
      <left style="double">
        <color auto="1"/>
      </left>
      <right/>
      <top/>
      <bottom/>
      <diagonal/>
    </border>
    <border>
      <left style="double">
        <color auto="1"/>
      </left>
      <right/>
      <top/>
      <bottom style="double">
        <color rgb="FF7030A0"/>
      </bottom>
      <diagonal/>
    </border>
    <border>
      <left/>
      <right style="double">
        <color rgb="FF7030A0"/>
      </right>
      <top/>
      <bottom style="double">
        <color rgb="FF7030A0"/>
      </bottom>
      <diagonal/>
    </border>
    <border>
      <left style="medium">
        <color auto="1"/>
      </left>
      <right/>
      <top style="medium">
        <color auto="1"/>
      </top>
      <bottom style="thin">
        <color auto="1"/>
      </bottom>
      <diagonal/>
    </border>
    <border>
      <left style="medium">
        <color indexed="64"/>
      </left>
      <right/>
      <top style="thin">
        <color auto="1"/>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indexed="64"/>
      </top>
      <bottom/>
      <diagonal/>
    </border>
    <border>
      <left/>
      <right style="medium">
        <color indexed="64"/>
      </right>
      <top style="medium">
        <color indexed="64"/>
      </top>
      <bottom style="thin">
        <color indexed="64"/>
      </bottom>
      <diagonal/>
    </border>
    <border>
      <left/>
      <right style="medium">
        <color auto="1"/>
      </right>
      <top style="thin">
        <color auto="1"/>
      </top>
      <bottom style="medium">
        <color auto="1"/>
      </bottom>
      <diagonal/>
    </border>
    <border>
      <left style="thin">
        <color rgb="FF7F7F7F"/>
      </left>
      <right style="thin">
        <color indexed="64"/>
      </right>
      <top style="thin">
        <color rgb="FF7F7F7F"/>
      </top>
      <bottom style="thin">
        <color indexed="64"/>
      </bottom>
      <diagonal/>
    </border>
    <border>
      <left style="thin">
        <color rgb="FF7F7F7F"/>
      </left>
      <right style="thin">
        <color rgb="FF7F7F7F"/>
      </right>
      <top style="thin">
        <color rgb="FF7F7F7F"/>
      </top>
      <bottom/>
      <diagonal/>
    </border>
    <border>
      <left style="thin">
        <color rgb="FF7F7F7F"/>
      </left>
      <right style="thin">
        <color indexed="64"/>
      </right>
      <top style="thin">
        <color indexed="64"/>
      </top>
      <bottom style="thin">
        <color rgb="FF7F7F7F"/>
      </bottom>
      <diagonal/>
    </border>
    <border>
      <left style="thin">
        <color auto="1"/>
      </left>
      <right/>
      <top style="medium">
        <color indexed="64"/>
      </top>
      <bottom/>
      <diagonal/>
    </border>
    <border>
      <left style="thin">
        <color auto="1"/>
      </left>
      <right style="thin">
        <color auto="1"/>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7F7F7F"/>
      </left>
      <right style="thin">
        <color indexed="64"/>
      </right>
      <top/>
      <bottom style="thin">
        <color indexed="64"/>
      </bottom>
      <diagonal/>
    </border>
    <border>
      <left style="thin">
        <color indexed="64"/>
      </left>
      <right/>
      <top style="thin">
        <color indexed="64"/>
      </top>
      <bottom/>
      <diagonal/>
    </border>
    <border>
      <left style="thin">
        <color rgb="FF7F7F7F"/>
      </left>
      <right style="thin">
        <color indexed="64"/>
      </right>
      <top style="thin">
        <color indexed="64"/>
      </top>
      <bottom style="thin">
        <color rgb="FF7F7F7F"/>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rgb="FF7F7F7F"/>
      </bottom>
      <diagonal/>
    </border>
    <border>
      <left/>
      <right style="medium">
        <color indexed="64"/>
      </right>
      <top style="thin">
        <color rgb="FF7F7F7F"/>
      </top>
      <bottom style="thin">
        <color rgb="FF7F7F7F"/>
      </bottom>
      <diagonal/>
    </border>
    <border>
      <left/>
      <right style="medium">
        <color indexed="64"/>
      </right>
      <top style="thin">
        <color auto="1"/>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7">
    <xf numFmtId="0" fontId="0" fillId="0" borderId="0"/>
    <xf numFmtId="44" fontId="7" fillId="0" borderId="0" applyFont="0" applyFill="0" applyBorder="0" applyAlignment="0" applyProtection="0"/>
    <xf numFmtId="9" fontId="7" fillId="0" borderId="0" applyFont="0" applyFill="0" applyBorder="0" applyAlignment="0" applyProtection="0"/>
    <xf numFmtId="43" fontId="6" fillId="0" borderId="0" applyFont="0" applyFill="0" applyBorder="0" applyAlignment="0" applyProtection="0"/>
    <xf numFmtId="0" fontId="32" fillId="10" borderId="46" applyNumberFormat="0" applyAlignment="0" applyProtection="0"/>
    <xf numFmtId="0" fontId="33" fillId="11" borderId="46" applyNumberFormat="0" applyAlignment="0" applyProtection="0"/>
    <xf numFmtId="0" fontId="3" fillId="0" borderId="0"/>
  </cellStyleXfs>
  <cellXfs count="608">
    <xf numFmtId="0" fontId="0" fillId="0" borderId="0" xfId="0"/>
    <xf numFmtId="0" fontId="10" fillId="0" borderId="0" xfId="0" applyFont="1"/>
    <xf numFmtId="0" fontId="11" fillId="0" borderId="0" xfId="0" applyFont="1"/>
    <xf numFmtId="0" fontId="12" fillId="0" borderId="0" xfId="0" applyFont="1"/>
    <xf numFmtId="0" fontId="14" fillId="4" borderId="7" xfId="0" applyFont="1" applyFill="1" applyBorder="1" applyAlignment="1">
      <alignment horizontal="center"/>
    </xf>
    <xf numFmtId="166" fontId="11" fillId="0" borderId="0" xfId="0" applyNumberFormat="1" applyFont="1"/>
    <xf numFmtId="41" fontId="11" fillId="0" borderId="0" xfId="0" applyNumberFormat="1" applyFont="1"/>
    <xf numFmtId="0" fontId="14" fillId="4" borderId="10" xfId="0" applyFont="1" applyFill="1" applyBorder="1" applyAlignment="1">
      <alignment horizontal="right"/>
    </xf>
    <xf numFmtId="0" fontId="12" fillId="0" borderId="17" xfId="0" applyFont="1" applyBorder="1"/>
    <xf numFmtId="0" fontId="10" fillId="0" borderId="17" xfId="0" applyFont="1" applyBorder="1"/>
    <xf numFmtId="0" fontId="11" fillId="0" borderId="17" xfId="0" applyFont="1" applyBorder="1"/>
    <xf numFmtId="0" fontId="16" fillId="0" borderId="0" xfId="0" applyFont="1"/>
    <xf numFmtId="5" fontId="11" fillId="0" borderId="0" xfId="0" applyNumberFormat="1" applyFont="1"/>
    <xf numFmtId="0" fontId="17" fillId="5" borderId="0" xfId="0" applyFont="1" applyFill="1"/>
    <xf numFmtId="0" fontId="0" fillId="5" borderId="0" xfId="0" applyFill="1"/>
    <xf numFmtId="166" fontId="10" fillId="0" borderId="2" xfId="0" applyNumberFormat="1" applyFont="1" applyBorder="1"/>
    <xf numFmtId="0" fontId="14" fillId="4" borderId="10" xfId="0" applyFont="1" applyFill="1" applyBorder="1" applyAlignment="1">
      <alignment horizontal="center"/>
    </xf>
    <xf numFmtId="0" fontId="22" fillId="0" borderId="0" xfId="0" applyFont="1" applyAlignment="1">
      <alignment vertical="center"/>
    </xf>
    <xf numFmtId="0" fontId="11" fillId="0" borderId="0" xfId="0" applyFont="1" applyAlignment="1">
      <alignment horizontal="left" indent="1"/>
    </xf>
    <xf numFmtId="10" fontId="11" fillId="0" borderId="0" xfId="0" applyNumberFormat="1" applyFont="1"/>
    <xf numFmtId="5" fontId="11" fillId="0" borderId="0" xfId="0" applyNumberFormat="1" applyFont="1" applyAlignment="1">
      <alignment horizontal="center"/>
    </xf>
    <xf numFmtId="0" fontId="23" fillId="0" borderId="0" xfId="0" applyFont="1" applyAlignment="1">
      <alignment wrapText="1"/>
    </xf>
    <xf numFmtId="0" fontId="24" fillId="0" borderId="0" xfId="0" applyFont="1" applyAlignment="1">
      <alignment wrapText="1"/>
    </xf>
    <xf numFmtId="0" fontId="25" fillId="0" borderId="0" xfId="0" applyFont="1" applyAlignment="1">
      <alignment wrapText="1"/>
    </xf>
    <xf numFmtId="10" fontId="11" fillId="7" borderId="26" xfId="2" applyNumberFormat="1" applyFont="1" applyFill="1" applyBorder="1" applyAlignment="1" applyProtection="1">
      <alignment horizontal="center"/>
      <protection locked="0"/>
    </xf>
    <xf numFmtId="164" fontId="11" fillId="2" borderId="24" xfId="0" applyNumberFormat="1" applyFont="1" applyFill="1" applyBorder="1" applyAlignment="1" applyProtection="1">
      <alignment horizontal="center"/>
      <protection locked="0"/>
    </xf>
    <xf numFmtId="0" fontId="27" fillId="5" borderId="0" xfId="0" applyFont="1" applyFill="1"/>
    <xf numFmtId="0" fontId="18" fillId="5" borderId="0" xfId="0" applyFont="1" applyFill="1"/>
    <xf numFmtId="0" fontId="27" fillId="5" borderId="0" xfId="0" applyFont="1" applyFill="1" applyAlignment="1">
      <alignment horizontal="left"/>
    </xf>
    <xf numFmtId="0" fontId="18" fillId="5" borderId="0" xfId="0" applyFont="1" applyFill="1" applyAlignment="1">
      <alignment horizontal="left"/>
    </xf>
    <xf numFmtId="169" fontId="11" fillId="0" borderId="0" xfId="0" applyNumberFormat="1" applyFont="1"/>
    <xf numFmtId="0" fontId="19" fillId="0" borderId="0" xfId="0" applyFont="1"/>
    <xf numFmtId="0" fontId="20" fillId="0" borderId="0" xfId="0" applyFont="1"/>
    <xf numFmtId="166" fontId="10" fillId="0" borderId="12" xfId="0" applyNumberFormat="1" applyFont="1" applyBorder="1"/>
    <xf numFmtId="0" fontId="6" fillId="0" borderId="0" xfId="0" applyFont="1"/>
    <xf numFmtId="0" fontId="5" fillId="0" borderId="0" xfId="0" applyFont="1"/>
    <xf numFmtId="0" fontId="0" fillId="0" borderId="17" xfId="0" applyBorder="1"/>
    <xf numFmtId="0" fontId="0" fillId="6" borderId="36" xfId="0" applyFill="1" applyBorder="1"/>
    <xf numFmtId="0" fontId="0" fillId="2" borderId="26" xfId="0" applyFill="1" applyBorder="1"/>
    <xf numFmtId="0" fontId="0" fillId="6" borderId="37" xfId="0" applyFill="1" applyBorder="1"/>
    <xf numFmtId="15" fontId="0" fillId="2" borderId="38" xfId="0" applyNumberFormat="1" applyFill="1" applyBorder="1"/>
    <xf numFmtId="0" fontId="4" fillId="5" borderId="22" xfId="0" applyFont="1" applyFill="1" applyBorder="1" applyAlignment="1">
      <alignment horizontal="center" vertical="center"/>
    </xf>
    <xf numFmtId="0" fontId="10" fillId="0" borderId="1" xfId="0" applyFont="1" applyBorder="1"/>
    <xf numFmtId="0" fontId="10" fillId="0" borderId="4" xfId="0" applyFont="1" applyBorder="1"/>
    <xf numFmtId="5" fontId="10" fillId="0" borderId="12" xfId="0" applyNumberFormat="1" applyFont="1" applyBorder="1"/>
    <xf numFmtId="5" fontId="10" fillId="0" borderId="42" xfId="0" applyNumberFormat="1" applyFont="1" applyBorder="1"/>
    <xf numFmtId="5" fontId="10" fillId="0" borderId="2" xfId="0" applyNumberFormat="1" applyFont="1" applyBorder="1"/>
    <xf numFmtId="5" fontId="10" fillId="0" borderId="18" xfId="0" applyNumberFormat="1" applyFont="1" applyBorder="1"/>
    <xf numFmtId="0" fontId="2" fillId="0" borderId="40" xfId="0" applyFont="1" applyBorder="1" applyAlignment="1">
      <alignment horizontal="center"/>
    </xf>
    <xf numFmtId="5" fontId="10" fillId="0" borderId="41" xfId="0" applyNumberFormat="1" applyFont="1" applyBorder="1"/>
    <xf numFmtId="0" fontId="2" fillId="0" borderId="1" xfId="0" applyFont="1" applyBorder="1" applyAlignment="1">
      <alignment horizontal="center"/>
    </xf>
    <xf numFmtId="5" fontId="10" fillId="0" borderId="0" xfId="0" applyNumberFormat="1" applyFont="1"/>
    <xf numFmtId="0" fontId="2" fillId="0" borderId="4" xfId="0" applyFont="1" applyBorder="1" applyAlignment="1">
      <alignment horizontal="center"/>
    </xf>
    <xf numFmtId="5" fontId="10" fillId="0" borderId="5" xfId="0" applyNumberFormat="1" applyFont="1" applyBorder="1"/>
    <xf numFmtId="10" fontId="10" fillId="0" borderId="41" xfId="2" applyNumberFormat="1" applyFont="1" applyBorder="1"/>
    <xf numFmtId="10" fontId="10" fillId="0" borderId="0" xfId="2" applyNumberFormat="1" applyFont="1" applyBorder="1"/>
    <xf numFmtId="10" fontId="10" fillId="0" borderId="17" xfId="2" applyNumberFormat="1" applyFont="1" applyBorder="1"/>
    <xf numFmtId="10" fontId="10" fillId="0" borderId="5" xfId="2" applyNumberFormat="1" applyFont="1" applyBorder="1"/>
    <xf numFmtId="0" fontId="3" fillId="0" borderId="0" xfId="0" applyFont="1"/>
    <xf numFmtId="0" fontId="3" fillId="0" borderId="17" xfId="0" applyFont="1" applyBorder="1"/>
    <xf numFmtId="0" fontId="29" fillId="4" borderId="42" xfId="0" applyFont="1" applyFill="1" applyBorder="1" applyAlignment="1">
      <alignment horizontal="center" vertical="center"/>
    </xf>
    <xf numFmtId="0" fontId="29" fillId="4" borderId="1" xfId="0" applyFont="1" applyFill="1" applyBorder="1" applyAlignment="1">
      <alignment horizontal="center" vertical="center"/>
    </xf>
    <xf numFmtId="0" fontId="0" fillId="0" borderId="0" xfId="0" applyAlignment="1">
      <alignment wrapText="1"/>
    </xf>
    <xf numFmtId="0" fontId="30" fillId="0" borderId="0" xfId="0" applyFont="1" applyAlignment="1">
      <alignment wrapText="1"/>
    </xf>
    <xf numFmtId="0" fontId="34" fillId="0" borderId="0" xfId="0" applyFont="1"/>
    <xf numFmtId="0" fontId="9" fillId="4" borderId="10" xfId="0" applyFont="1" applyFill="1" applyBorder="1" applyAlignment="1">
      <alignment horizontal="centerContinuous"/>
    </xf>
    <xf numFmtId="0" fontId="9" fillId="4" borderId="11" xfId="0" applyFont="1" applyFill="1" applyBorder="1" applyAlignment="1">
      <alignment horizontal="centerContinuous"/>
    </xf>
    <xf numFmtId="0" fontId="9" fillId="4" borderId="8" xfId="0" applyFont="1" applyFill="1" applyBorder="1" applyAlignment="1">
      <alignment horizontal="centerContinuous"/>
    </xf>
    <xf numFmtId="0" fontId="34" fillId="4" borderId="1" xfId="0" applyFont="1" applyFill="1" applyBorder="1"/>
    <xf numFmtId="0" fontId="38" fillId="4" borderId="0" xfId="0" applyFont="1" applyFill="1" applyAlignment="1">
      <alignment horizontal="center"/>
    </xf>
    <xf numFmtId="0" fontId="36" fillId="0" borderId="10" xfId="0" applyFont="1" applyBorder="1"/>
    <xf numFmtId="0" fontId="36" fillId="0" borderId="1" xfId="0" applyFont="1" applyBorder="1"/>
    <xf numFmtId="0" fontId="36" fillId="0" borderId="0" xfId="0" applyFont="1"/>
    <xf numFmtId="0" fontId="9" fillId="0" borderId="11" xfId="0" applyFont="1" applyBorder="1" applyAlignment="1">
      <alignment horizontal="center"/>
    </xf>
    <xf numFmtId="0" fontId="9" fillId="0" borderId="8" xfId="0" applyFont="1" applyBorder="1" applyAlignment="1">
      <alignment horizontal="center"/>
    </xf>
    <xf numFmtId="0" fontId="37" fillId="4" borderId="0" xfId="0" applyFont="1" applyFill="1"/>
    <xf numFmtId="0" fontId="34" fillId="4" borderId="39" xfId="0" applyFont="1" applyFill="1" applyBorder="1"/>
    <xf numFmtId="0" fontId="36" fillId="0" borderId="2" xfId="0" applyFont="1" applyBorder="1"/>
    <xf numFmtId="0" fontId="35" fillId="0" borderId="10" xfId="0" applyFont="1" applyBorder="1"/>
    <xf numFmtId="164" fontId="35" fillId="0" borderId="2" xfId="0" applyNumberFormat="1" applyFont="1" applyBorder="1"/>
    <xf numFmtId="0" fontId="36" fillId="0" borderId="4" xfId="0" applyFont="1" applyBorder="1"/>
    <xf numFmtId="0" fontId="34" fillId="0" borderId="5" xfId="0" applyFont="1" applyBorder="1"/>
    <xf numFmtId="0" fontId="35" fillId="0" borderId="1" xfId="0" applyFont="1" applyBorder="1"/>
    <xf numFmtId="0" fontId="36" fillId="0" borderId="5" xfId="0" applyFont="1" applyBorder="1"/>
    <xf numFmtId="0" fontId="9" fillId="0" borderId="10" xfId="0" applyFont="1" applyBorder="1" applyAlignment="1">
      <alignment horizontal="center"/>
    </xf>
    <xf numFmtId="5" fontId="35" fillId="0" borderId="6" xfId="0" applyNumberFormat="1" applyFont="1" applyBorder="1"/>
    <xf numFmtId="0" fontId="37" fillId="4" borderId="1" xfId="0" applyFont="1" applyFill="1" applyBorder="1"/>
    <xf numFmtId="0" fontId="34" fillId="3" borderId="4" xfId="0" applyFont="1" applyFill="1" applyBorder="1" applyAlignment="1">
      <alignment horizontal="center"/>
    </xf>
    <xf numFmtId="0" fontId="34" fillId="3" borderId="11" xfId="0" applyFont="1" applyFill="1" applyBorder="1" applyAlignment="1">
      <alignment horizontal="center"/>
    </xf>
    <xf numFmtId="0" fontId="39" fillId="3" borderId="11" xfId="0" applyFont="1" applyFill="1" applyBorder="1"/>
    <xf numFmtId="0" fontId="39" fillId="3" borderId="8" xfId="0" applyFont="1" applyFill="1" applyBorder="1" applyAlignment="1">
      <alignment horizontal="center"/>
    </xf>
    <xf numFmtId="0" fontId="36" fillId="9" borderId="14" xfId="0" applyFont="1" applyFill="1" applyBorder="1" applyAlignment="1">
      <alignment horizontal="left" indent="1"/>
    </xf>
    <xf numFmtId="9" fontId="35" fillId="9" borderId="0" xfId="0" applyNumberFormat="1" applyFont="1" applyFill="1"/>
    <xf numFmtId="5" fontId="36" fillId="9" borderId="3" xfId="0" applyNumberFormat="1" applyFont="1" applyFill="1" applyBorder="1"/>
    <xf numFmtId="5" fontId="36" fillId="9" borderId="44" xfId="0" applyNumberFormat="1" applyFont="1" applyFill="1" applyBorder="1"/>
    <xf numFmtId="10" fontId="35" fillId="9" borderId="0" xfId="0" applyNumberFormat="1" applyFont="1" applyFill="1"/>
    <xf numFmtId="0" fontId="34" fillId="4" borderId="12" xfId="0" applyFont="1" applyFill="1" applyBorder="1"/>
    <xf numFmtId="0" fontId="36" fillId="9" borderId="15" xfId="0" applyFont="1" applyFill="1" applyBorder="1" applyAlignment="1">
      <alignment horizontal="left" indent="1"/>
    </xf>
    <xf numFmtId="0" fontId="36" fillId="0" borderId="11" xfId="0" applyFont="1" applyBorder="1" applyAlignment="1">
      <alignment horizontal="center"/>
    </xf>
    <xf numFmtId="5" fontId="36" fillId="0" borderId="11" xfId="0" applyNumberFormat="1" applyFont="1" applyBorder="1" applyAlignment="1">
      <alignment horizontal="center"/>
    </xf>
    <xf numFmtId="5" fontId="36" fillId="0" borderId="8" xfId="0" applyNumberFormat="1" applyFont="1" applyBorder="1" applyAlignment="1">
      <alignment horizontal="center"/>
    </xf>
    <xf numFmtId="0" fontId="36" fillId="0" borderId="12" xfId="0" applyFont="1" applyBorder="1"/>
    <xf numFmtId="0" fontId="9" fillId="4" borderId="0" xfId="0" applyFont="1" applyFill="1" applyAlignment="1">
      <alignment horizontal="center"/>
    </xf>
    <xf numFmtId="0" fontId="9" fillId="4" borderId="2" xfId="0" applyFont="1" applyFill="1" applyBorder="1" applyAlignment="1">
      <alignment horizontal="center"/>
    </xf>
    <xf numFmtId="5" fontId="36" fillId="0" borderId="0" xfId="0" applyNumberFormat="1" applyFont="1"/>
    <xf numFmtId="0" fontId="32" fillId="10" borderId="46" xfId="4"/>
    <xf numFmtId="3" fontId="32" fillId="10" borderId="46" xfId="4" applyNumberFormat="1" applyProtection="1"/>
    <xf numFmtId="164" fontId="32" fillId="10" borderId="46" xfId="4" applyNumberFormat="1" applyProtection="1">
      <protection locked="0"/>
    </xf>
    <xf numFmtId="10" fontId="32" fillId="10" borderId="46" xfId="4" applyNumberFormat="1" applyProtection="1">
      <protection locked="0"/>
    </xf>
    <xf numFmtId="9" fontId="32" fillId="10" borderId="46" xfId="4" applyNumberFormat="1" applyProtection="1">
      <protection locked="0"/>
    </xf>
    <xf numFmtId="166" fontId="32" fillId="10" borderId="46" xfId="4" applyNumberFormat="1"/>
    <xf numFmtId="168" fontId="32" fillId="10" borderId="46" xfId="4" applyNumberFormat="1"/>
    <xf numFmtId="10" fontId="32" fillId="10" borderId="46" xfId="4" applyNumberFormat="1"/>
    <xf numFmtId="5" fontId="32" fillId="10" borderId="46" xfId="4" applyNumberFormat="1"/>
    <xf numFmtId="10" fontId="32" fillId="10" borderId="46" xfId="4" applyNumberFormat="1" applyProtection="1"/>
    <xf numFmtId="168" fontId="32" fillId="10" borderId="46" xfId="4" applyNumberFormat="1" applyProtection="1"/>
    <xf numFmtId="10" fontId="33" fillId="11" borderId="46" xfId="5" applyNumberFormat="1" applyAlignment="1" applyProtection="1">
      <alignment horizontal="center"/>
      <protection locked="0"/>
    </xf>
    <xf numFmtId="164" fontId="36" fillId="0" borderId="8" xfId="0" applyNumberFormat="1" applyFont="1" applyBorder="1"/>
    <xf numFmtId="164" fontId="36" fillId="0" borderId="2" xfId="0" applyNumberFormat="1" applyFont="1" applyBorder="1"/>
    <xf numFmtId="164" fontId="36" fillId="0" borderId="18" xfId="0" applyNumberFormat="1" applyFont="1" applyBorder="1"/>
    <xf numFmtId="167" fontId="36" fillId="0" borderId="18" xfId="3" applyNumberFormat="1" applyFont="1" applyFill="1" applyBorder="1" applyProtection="1"/>
    <xf numFmtId="166" fontId="36" fillId="0" borderId="2" xfId="0" applyNumberFormat="1" applyFont="1" applyBorder="1"/>
    <xf numFmtId="164" fontId="32" fillId="10" borderId="48" xfId="4" applyNumberFormat="1" applyBorder="1" applyAlignment="1" applyProtection="1">
      <alignment horizontal="center"/>
      <protection locked="0"/>
    </xf>
    <xf numFmtId="166" fontId="36" fillId="0" borderId="12" xfId="0" applyNumberFormat="1" applyFont="1" applyBorder="1"/>
    <xf numFmtId="0" fontId="9" fillId="4" borderId="41" xfId="0" applyFont="1" applyFill="1" applyBorder="1" applyAlignment="1">
      <alignment horizontal="centerContinuous"/>
    </xf>
    <xf numFmtId="0" fontId="34" fillId="4" borderId="0" xfId="0" applyFont="1" applyFill="1"/>
    <xf numFmtId="0" fontId="12" fillId="0" borderId="56" xfId="0" applyFont="1" applyBorder="1"/>
    <xf numFmtId="0" fontId="10" fillId="0" borderId="56" xfId="0" applyFont="1" applyBorder="1"/>
    <xf numFmtId="0" fontId="11" fillId="12" borderId="0" xfId="0" applyFont="1" applyFill="1"/>
    <xf numFmtId="0" fontId="16" fillId="12" borderId="0" xfId="0" applyFont="1" applyFill="1"/>
    <xf numFmtId="0" fontId="12" fillId="12" borderId="0" xfId="0" applyFont="1" applyFill="1"/>
    <xf numFmtId="0" fontId="0" fillId="12" borderId="0" xfId="0" applyFill="1"/>
    <xf numFmtId="164" fontId="11" fillId="12" borderId="0" xfId="0" applyNumberFormat="1" applyFont="1" applyFill="1"/>
    <xf numFmtId="164" fontId="11" fillId="12" borderId="0" xfId="0" applyNumberFormat="1" applyFont="1" applyFill="1" applyAlignment="1">
      <alignment horizontal="left"/>
    </xf>
    <xf numFmtId="0" fontId="12" fillId="12" borderId="56" xfId="0" applyFont="1" applyFill="1" applyBorder="1"/>
    <xf numFmtId="0" fontId="0" fillId="12" borderId="56" xfId="0" applyFill="1" applyBorder="1"/>
    <xf numFmtId="0" fontId="11" fillId="12" borderId="56" xfId="0" applyFont="1" applyFill="1" applyBorder="1"/>
    <xf numFmtId="0" fontId="36" fillId="12" borderId="0" xfId="0" applyFont="1" applyFill="1"/>
    <xf numFmtId="0" fontId="34" fillId="12" borderId="0" xfId="0" applyFont="1" applyFill="1"/>
    <xf numFmtId="0" fontId="34" fillId="12" borderId="56" xfId="0" applyFont="1" applyFill="1" applyBorder="1"/>
    <xf numFmtId="10" fontId="35" fillId="12" borderId="0" xfId="2" applyNumberFormat="1" applyFont="1" applyFill="1" applyBorder="1"/>
    <xf numFmtId="0" fontId="0" fillId="12" borderId="57" xfId="0" applyFill="1" applyBorder="1"/>
    <xf numFmtId="0" fontId="0" fillId="12" borderId="58" xfId="0" applyFill="1" applyBorder="1"/>
    <xf numFmtId="0" fontId="11" fillId="12" borderId="58" xfId="0" applyFont="1" applyFill="1" applyBorder="1"/>
    <xf numFmtId="0" fontId="12" fillId="12" borderId="58" xfId="0" applyFont="1" applyFill="1" applyBorder="1"/>
    <xf numFmtId="0" fontId="11" fillId="12" borderId="62" xfId="0" applyFont="1" applyFill="1" applyBorder="1"/>
    <xf numFmtId="0" fontId="12" fillId="13" borderId="0" xfId="0" applyFont="1" applyFill="1"/>
    <xf numFmtId="0" fontId="16" fillId="13" borderId="0" xfId="0" applyFont="1" applyFill="1"/>
    <xf numFmtId="0" fontId="10" fillId="13" borderId="0" xfId="0" applyFont="1" applyFill="1"/>
    <xf numFmtId="0" fontId="10" fillId="13" borderId="57" xfId="0" applyFont="1" applyFill="1" applyBorder="1"/>
    <xf numFmtId="0" fontId="10" fillId="13" borderId="58" xfId="0" applyFont="1" applyFill="1" applyBorder="1"/>
    <xf numFmtId="0" fontId="34" fillId="13" borderId="0" xfId="0" applyFont="1" applyFill="1"/>
    <xf numFmtId="0" fontId="35" fillId="13" borderId="0" xfId="0" applyFont="1" applyFill="1"/>
    <xf numFmtId="0" fontId="35" fillId="13" borderId="58" xfId="0" applyFont="1" applyFill="1" applyBorder="1"/>
    <xf numFmtId="0" fontId="0" fillId="13" borderId="0" xfId="0" applyFill="1"/>
    <xf numFmtId="0" fontId="11" fillId="13" borderId="60" xfId="0" applyFont="1" applyFill="1" applyBorder="1"/>
    <xf numFmtId="0" fontId="11" fillId="13" borderId="61" xfId="0" applyFont="1" applyFill="1" applyBorder="1"/>
    <xf numFmtId="0" fontId="11" fillId="13" borderId="0" xfId="0" applyFont="1" applyFill="1"/>
    <xf numFmtId="0" fontId="12" fillId="13" borderId="58" xfId="0" applyFont="1" applyFill="1" applyBorder="1"/>
    <xf numFmtId="0" fontId="11" fillId="13" borderId="58" xfId="0" applyFont="1" applyFill="1" applyBorder="1"/>
    <xf numFmtId="41" fontId="11" fillId="13" borderId="0" xfId="0" applyNumberFormat="1" applyFont="1" applyFill="1"/>
    <xf numFmtId="0" fontId="36" fillId="13" borderId="0" xfId="0" applyFont="1" applyFill="1"/>
    <xf numFmtId="0" fontId="34" fillId="13" borderId="58" xfId="0" applyFont="1" applyFill="1" applyBorder="1"/>
    <xf numFmtId="0" fontId="0" fillId="13" borderId="58" xfId="0" applyFill="1" applyBorder="1"/>
    <xf numFmtId="0" fontId="36" fillId="13" borderId="58" xfId="0" applyFont="1" applyFill="1" applyBorder="1"/>
    <xf numFmtId="0" fontId="36" fillId="13" borderId="59" xfId="0" applyFont="1" applyFill="1" applyBorder="1"/>
    <xf numFmtId="164" fontId="36" fillId="13" borderId="0" xfId="0" applyNumberFormat="1" applyFont="1" applyFill="1" applyAlignment="1">
      <alignment horizontal="left"/>
    </xf>
    <xf numFmtId="0" fontId="37" fillId="13" borderId="0" xfId="0" applyFont="1" applyFill="1"/>
    <xf numFmtId="9" fontId="37" fillId="13" borderId="0" xfId="0" applyNumberFormat="1" applyFont="1" applyFill="1"/>
    <xf numFmtId="7" fontId="36" fillId="13" borderId="0" xfId="0" applyNumberFormat="1" applyFont="1" applyFill="1"/>
    <xf numFmtId="0" fontId="11" fillId="13" borderId="56" xfId="0" applyFont="1" applyFill="1" applyBorder="1"/>
    <xf numFmtId="0" fontId="11" fillId="13" borderId="62" xfId="0" applyFont="1" applyFill="1" applyBorder="1"/>
    <xf numFmtId="164" fontId="15" fillId="0" borderId="49" xfId="0" applyNumberFormat="1" applyFont="1" applyBorder="1" applyAlignment="1" applyProtection="1">
      <alignment horizontal="center"/>
      <protection locked="0"/>
    </xf>
    <xf numFmtId="0" fontId="17" fillId="5" borderId="19" xfId="0" applyFont="1" applyFill="1" applyBorder="1"/>
    <xf numFmtId="0" fontId="17" fillId="5" borderId="33" xfId="0" applyFont="1" applyFill="1" applyBorder="1"/>
    <xf numFmtId="0" fontId="0" fillId="0" borderId="63" xfId="0" applyBorder="1"/>
    <xf numFmtId="0" fontId="0" fillId="0" borderId="64" xfId="0" applyBorder="1"/>
    <xf numFmtId="0" fontId="14" fillId="4" borderId="67" xfId="0" applyFont="1" applyFill="1" applyBorder="1" applyAlignment="1">
      <alignment horizontal="center"/>
    </xf>
    <xf numFmtId="0" fontId="42" fillId="12" borderId="0" xfId="0" applyFont="1" applyFill="1"/>
    <xf numFmtId="0" fontId="42" fillId="13" borderId="0" xfId="0" applyFont="1" applyFill="1"/>
    <xf numFmtId="165" fontId="32" fillId="10" borderId="46" xfId="4" applyNumberFormat="1" applyProtection="1"/>
    <xf numFmtId="0" fontId="46" fillId="0" borderId="0" xfId="0" applyFont="1"/>
    <xf numFmtId="0" fontId="26" fillId="16" borderId="41" xfId="0" applyFont="1" applyFill="1" applyBorder="1" applyAlignment="1">
      <alignment vertical="center"/>
    </xf>
    <xf numFmtId="5" fontId="11" fillId="16" borderId="41" xfId="0" applyNumberFormat="1" applyFont="1" applyFill="1" applyBorder="1"/>
    <xf numFmtId="172" fontId="11" fillId="16" borderId="17" xfId="0" applyNumberFormat="1" applyFont="1" applyFill="1" applyBorder="1"/>
    <xf numFmtId="0" fontId="11" fillId="16" borderId="5" xfId="0" applyFont="1" applyFill="1" applyBorder="1" applyAlignment="1">
      <alignment horizontal="left" indent="1"/>
    </xf>
    <xf numFmtId="172" fontId="11" fillId="16" borderId="5" xfId="0" applyNumberFormat="1" applyFont="1" applyFill="1" applyBorder="1"/>
    <xf numFmtId="173" fontId="11" fillId="0" borderId="0" xfId="0" applyNumberFormat="1" applyFont="1" applyAlignment="1">
      <alignment horizontal="left"/>
    </xf>
    <xf numFmtId="0" fontId="11" fillId="0" borderId="0" xfId="0" applyFont="1" applyAlignment="1">
      <alignment horizontal="left"/>
    </xf>
    <xf numFmtId="0" fontId="11" fillId="16" borderId="41" xfId="0" applyFont="1" applyFill="1" applyBorder="1" applyAlignment="1">
      <alignment horizontal="left" indent="1"/>
    </xf>
    <xf numFmtId="172" fontId="11" fillId="16" borderId="41" xfId="0" applyNumberFormat="1" applyFont="1" applyFill="1" applyBorder="1"/>
    <xf numFmtId="0" fontId="11" fillId="16" borderId="5" xfId="0" applyFont="1" applyFill="1" applyBorder="1" applyAlignment="1">
      <alignment horizontal="left" indent="2"/>
    </xf>
    <xf numFmtId="0" fontId="0" fillId="16" borderId="41" xfId="0" applyFill="1" applyBorder="1"/>
    <xf numFmtId="10" fontId="11" fillId="16" borderId="0" xfId="2" applyNumberFormat="1" applyFont="1" applyFill="1" applyBorder="1"/>
    <xf numFmtId="167" fontId="11" fillId="16" borderId="0" xfId="3" applyNumberFormat="1" applyFont="1" applyFill="1" applyBorder="1"/>
    <xf numFmtId="10" fontId="11" fillId="16" borderId="5" xfId="2" applyNumberFormat="1" applyFont="1" applyFill="1" applyBorder="1"/>
    <xf numFmtId="5" fontId="11" fillId="16" borderId="5" xfId="0" applyNumberFormat="1" applyFont="1" applyFill="1" applyBorder="1"/>
    <xf numFmtId="0" fontId="6" fillId="0" borderId="17" xfId="0" applyFont="1" applyBorder="1"/>
    <xf numFmtId="0" fontId="9" fillId="4" borderId="40" xfId="0" applyFont="1" applyFill="1" applyBorder="1" applyAlignment="1">
      <alignment horizontal="centerContinuous"/>
    </xf>
    <xf numFmtId="0" fontId="9" fillId="4" borderId="42" xfId="0" applyFont="1" applyFill="1" applyBorder="1" applyAlignment="1">
      <alignment horizontal="centerContinuous"/>
    </xf>
    <xf numFmtId="10" fontId="32" fillId="10" borderId="53" xfId="4" applyNumberFormat="1" applyBorder="1" applyProtection="1">
      <protection locked="0"/>
    </xf>
    <xf numFmtId="165" fontId="32" fillId="10" borderId="53" xfId="4" applyNumberFormat="1" applyBorder="1" applyProtection="1"/>
    <xf numFmtId="165" fontId="32" fillId="10" borderId="70" xfId="4" applyNumberFormat="1" applyBorder="1" applyProtection="1"/>
    <xf numFmtId="0" fontId="47" fillId="15" borderId="65" xfId="0" applyFont="1" applyFill="1" applyBorder="1" applyAlignment="1">
      <alignment horizontal="right"/>
    </xf>
    <xf numFmtId="0" fontId="47" fillId="15" borderId="55" xfId="0" applyFont="1" applyFill="1" applyBorder="1" applyAlignment="1">
      <alignment horizontal="center"/>
    </xf>
    <xf numFmtId="0" fontId="14" fillId="4" borderId="66" xfId="6" applyFont="1" applyFill="1" applyBorder="1" applyAlignment="1">
      <alignment horizontal="center"/>
    </xf>
    <xf numFmtId="0" fontId="47" fillId="15" borderId="66" xfId="0" applyFont="1" applyFill="1" applyBorder="1" applyAlignment="1">
      <alignment horizontal="center"/>
    </xf>
    <xf numFmtId="165" fontId="11" fillId="16" borderId="0" xfId="2" applyNumberFormat="1" applyFont="1" applyFill="1" applyBorder="1"/>
    <xf numFmtId="165" fontId="49" fillId="16" borderId="0" xfId="2" applyNumberFormat="1" applyFont="1" applyFill="1" applyBorder="1"/>
    <xf numFmtId="0" fontId="48" fillId="17" borderId="40" xfId="0" applyFont="1" applyFill="1" applyBorder="1"/>
    <xf numFmtId="0" fontId="11" fillId="17" borderId="1" xfId="0" applyFont="1" applyFill="1" applyBorder="1" applyAlignment="1">
      <alignment horizontal="left" indent="1"/>
    </xf>
    <xf numFmtId="0" fontId="15" fillId="17" borderId="1" xfId="0" applyFont="1" applyFill="1" applyBorder="1" applyAlignment="1">
      <alignment horizontal="left"/>
    </xf>
    <xf numFmtId="0" fontId="11" fillId="17" borderId="1" xfId="0" applyFont="1" applyFill="1" applyBorder="1" applyAlignment="1">
      <alignment horizontal="left"/>
    </xf>
    <xf numFmtId="0" fontId="48" fillId="17" borderId="1" xfId="0" applyFont="1" applyFill="1" applyBorder="1"/>
    <xf numFmtId="0" fontId="15" fillId="17" borderId="4" xfId="0" applyFont="1" applyFill="1" applyBorder="1" applyAlignment="1">
      <alignment horizontal="left"/>
    </xf>
    <xf numFmtId="0" fontId="15" fillId="17" borderId="40" xfId="0" applyFont="1" applyFill="1" applyBorder="1" applyAlignment="1">
      <alignment horizontal="left"/>
    </xf>
    <xf numFmtId="0" fontId="11" fillId="17" borderId="1" xfId="0" applyFont="1" applyFill="1" applyBorder="1" applyAlignment="1">
      <alignment horizontal="left" indent="2"/>
    </xf>
    <xf numFmtId="0" fontId="11" fillId="17" borderId="4" xfId="0" applyFont="1" applyFill="1" applyBorder="1" applyAlignment="1">
      <alignment horizontal="left" indent="2"/>
    </xf>
    <xf numFmtId="0" fontId="26" fillId="17" borderId="40" xfId="0" applyFont="1" applyFill="1" applyBorder="1" applyAlignment="1">
      <alignment vertical="center"/>
    </xf>
    <xf numFmtId="0" fontId="26" fillId="17" borderId="1" xfId="0" applyFont="1" applyFill="1" applyBorder="1" applyAlignment="1">
      <alignment vertical="center"/>
    </xf>
    <xf numFmtId="0" fontId="11" fillId="17" borderId="4" xfId="0" applyFont="1" applyFill="1" applyBorder="1" applyAlignment="1">
      <alignment horizontal="left" indent="1"/>
    </xf>
    <xf numFmtId="0" fontId="49" fillId="17" borderId="1" xfId="0" applyFont="1" applyFill="1" applyBorder="1" applyAlignment="1">
      <alignment horizontal="left" indent="1"/>
    </xf>
    <xf numFmtId="0" fontId="49" fillId="17" borderId="4" xfId="0" applyFont="1" applyFill="1" applyBorder="1" applyAlignment="1">
      <alignment horizontal="left" indent="1"/>
    </xf>
    <xf numFmtId="5" fontId="49" fillId="0" borderId="0" xfId="0" applyNumberFormat="1" applyFont="1"/>
    <xf numFmtId="5" fontId="49" fillId="0" borderId="2" xfId="0" applyNumberFormat="1" applyFont="1" applyBorder="1"/>
    <xf numFmtId="5" fontId="49" fillId="0" borderId="5" xfId="0" applyNumberFormat="1" applyFont="1" applyBorder="1"/>
    <xf numFmtId="5" fontId="49" fillId="0" borderId="12" xfId="0" applyNumberFormat="1" applyFont="1" applyBorder="1"/>
    <xf numFmtId="172" fontId="11" fillId="16" borderId="0" xfId="0" applyNumberFormat="1" applyFont="1" applyFill="1"/>
    <xf numFmtId="5" fontId="11" fillId="16" borderId="0" xfId="0" applyNumberFormat="1" applyFont="1" applyFill="1"/>
    <xf numFmtId="0" fontId="0" fillId="16" borderId="0" xfId="0" applyFill="1"/>
    <xf numFmtId="0" fontId="11" fillId="16" borderId="0" xfId="0" applyFont="1" applyFill="1" applyAlignment="1">
      <alignment horizontal="left" indent="1"/>
    </xf>
    <xf numFmtId="0" fontId="48" fillId="16" borderId="0" xfId="0" applyFont="1" applyFill="1"/>
    <xf numFmtId="0" fontId="11" fillId="16" borderId="0" xfId="0" applyFont="1" applyFill="1" applyAlignment="1">
      <alignment horizontal="left" indent="2"/>
    </xf>
    <xf numFmtId="0" fontId="15" fillId="17" borderId="1" xfId="0" applyFont="1" applyFill="1" applyBorder="1"/>
    <xf numFmtId="0" fontId="12" fillId="17" borderId="1" xfId="0" applyFont="1" applyFill="1" applyBorder="1"/>
    <xf numFmtId="0" fontId="13" fillId="17" borderId="10" xfId="0" applyFont="1" applyFill="1" applyBorder="1" applyAlignment="1">
      <alignment horizontal="center"/>
    </xf>
    <xf numFmtId="0" fontId="11" fillId="17" borderId="1" xfId="0" applyFont="1" applyFill="1" applyBorder="1"/>
    <xf numFmtId="0" fontId="11" fillId="17" borderId="4" xfId="0" applyFont="1" applyFill="1" applyBorder="1"/>
    <xf numFmtId="0" fontId="12" fillId="17" borderId="10" xfId="0" applyFont="1" applyFill="1" applyBorder="1"/>
    <xf numFmtId="0" fontId="14" fillId="16" borderId="11" xfId="0" applyFont="1" applyFill="1" applyBorder="1" applyAlignment="1">
      <alignment horizontal="center"/>
    </xf>
    <xf numFmtId="5" fontId="11" fillId="16" borderId="0" xfId="0" applyNumberFormat="1" applyFont="1" applyFill="1" applyAlignment="1">
      <alignment horizontal="center"/>
    </xf>
    <xf numFmtId="43" fontId="11" fillId="16" borderId="0" xfId="3" applyFont="1" applyFill="1" applyBorder="1" applyProtection="1"/>
    <xf numFmtId="5" fontId="11" fillId="16" borderId="5" xfId="0" applyNumberFormat="1" applyFont="1" applyFill="1" applyBorder="1" applyAlignment="1">
      <alignment horizontal="center"/>
    </xf>
    <xf numFmtId="0" fontId="22" fillId="16" borderId="11" xfId="0" applyFont="1" applyFill="1" applyBorder="1" applyAlignment="1">
      <alignment vertical="center"/>
    </xf>
    <xf numFmtId="0" fontId="12" fillId="16" borderId="11" xfId="0" applyFont="1" applyFill="1" applyBorder="1"/>
    <xf numFmtId="0" fontId="22" fillId="16" borderId="0" xfId="0" applyFont="1" applyFill="1" applyAlignment="1">
      <alignment vertical="center"/>
    </xf>
    <xf numFmtId="0" fontId="12" fillId="16" borderId="0" xfId="0" applyFont="1" applyFill="1"/>
    <xf numFmtId="5" fontId="11" fillId="16" borderId="17" xfId="0" applyNumberFormat="1" applyFont="1" applyFill="1" applyBorder="1"/>
    <xf numFmtId="0" fontId="22" fillId="16" borderId="5" xfId="0" applyFont="1" applyFill="1" applyBorder="1" applyAlignment="1">
      <alignment vertical="center"/>
    </xf>
    <xf numFmtId="168" fontId="11" fillId="16" borderId="0" xfId="0" applyNumberFormat="1" applyFont="1" applyFill="1"/>
    <xf numFmtId="37" fontId="11" fillId="16" borderId="0" xfId="0" applyNumberFormat="1" applyFont="1" applyFill="1"/>
    <xf numFmtId="169" fontId="11" fillId="16" borderId="0" xfId="0" applyNumberFormat="1" applyFont="1" applyFill="1"/>
    <xf numFmtId="170" fontId="11" fillId="16" borderId="0" xfId="0" applyNumberFormat="1" applyFont="1" applyFill="1" applyAlignment="1">
      <alignment horizontal="left" indent="4"/>
    </xf>
    <xf numFmtId="5" fontId="0" fillId="16" borderId="0" xfId="0" applyNumberFormat="1" applyFill="1"/>
    <xf numFmtId="5" fontId="11" fillId="16" borderId="29" xfId="0" applyNumberFormat="1" applyFont="1" applyFill="1" applyBorder="1"/>
    <xf numFmtId="10" fontId="11" fillId="16" borderId="0" xfId="0" applyNumberFormat="1" applyFont="1" applyFill="1"/>
    <xf numFmtId="10" fontId="11" fillId="16" borderId="0" xfId="0" applyNumberFormat="1" applyFont="1" applyFill="1" applyAlignment="1">
      <alignment horizontal="center"/>
    </xf>
    <xf numFmtId="10" fontId="11" fillId="16" borderId="5" xfId="0" applyNumberFormat="1" applyFont="1" applyFill="1" applyBorder="1"/>
    <xf numFmtId="10" fontId="36" fillId="0" borderId="2" xfId="2" applyNumberFormat="1" applyFont="1" applyFill="1" applyBorder="1" applyProtection="1"/>
    <xf numFmtId="172" fontId="49" fillId="0" borderId="0" xfId="0" applyNumberFormat="1" applyFont="1"/>
    <xf numFmtId="172" fontId="49" fillId="0" borderId="5" xfId="0" applyNumberFormat="1" applyFont="1" applyBorder="1"/>
    <xf numFmtId="0" fontId="35" fillId="17" borderId="10" xfId="0" applyFont="1" applyFill="1" applyBorder="1" applyAlignment="1">
      <alignment horizontal="left" indent="1"/>
    </xf>
    <xf numFmtId="0" fontId="34" fillId="17" borderId="11" xfId="0" applyFont="1" applyFill="1" applyBorder="1"/>
    <xf numFmtId="0" fontId="35" fillId="17" borderId="1" xfId="0" applyFont="1" applyFill="1" applyBorder="1" applyAlignment="1">
      <alignment horizontal="left" indent="1"/>
    </xf>
    <xf numFmtId="0" fontId="34" fillId="17" borderId="0" xfId="0" applyFont="1" applyFill="1"/>
    <xf numFmtId="0" fontId="35" fillId="17" borderId="4" xfId="0" applyFont="1" applyFill="1" applyBorder="1"/>
    <xf numFmtId="0" fontId="34" fillId="17" borderId="5" xfId="0" applyFont="1" applyFill="1" applyBorder="1"/>
    <xf numFmtId="0" fontId="36" fillId="17" borderId="10" xfId="0" applyFont="1" applyFill="1" applyBorder="1"/>
    <xf numFmtId="0" fontId="36" fillId="17" borderId="11" xfId="0" applyFont="1" applyFill="1" applyBorder="1"/>
    <xf numFmtId="0" fontId="36" fillId="17" borderId="1" xfId="0" applyFont="1" applyFill="1" applyBorder="1" applyAlignment="1">
      <alignment horizontal="left" indent="1"/>
    </xf>
    <xf numFmtId="0" fontId="36" fillId="17" borderId="1" xfId="0" applyFont="1" applyFill="1" applyBorder="1"/>
    <xf numFmtId="0" fontId="36" fillId="17" borderId="0" xfId="0" applyFont="1" applyFill="1"/>
    <xf numFmtId="0" fontId="36" fillId="17" borderId="4" xfId="0" applyFont="1" applyFill="1" applyBorder="1"/>
    <xf numFmtId="0" fontId="36" fillId="17" borderId="1" xfId="0" applyFont="1" applyFill="1" applyBorder="1" applyAlignment="1">
      <alignment horizontal="left"/>
    </xf>
    <xf numFmtId="0" fontId="34" fillId="17" borderId="17" xfId="0" applyFont="1" applyFill="1" applyBorder="1"/>
    <xf numFmtId="0" fontId="34" fillId="17" borderId="1" xfId="0" applyFont="1" applyFill="1" applyBorder="1"/>
    <xf numFmtId="0" fontId="36" fillId="17" borderId="40" xfId="0" applyFont="1" applyFill="1" applyBorder="1" applyAlignment="1">
      <alignment horizontal="left"/>
    </xf>
    <xf numFmtId="166" fontId="35" fillId="16" borderId="8" xfId="0" applyNumberFormat="1" applyFont="1" applyFill="1" applyBorder="1"/>
    <xf numFmtId="166" fontId="35" fillId="16" borderId="18" xfId="0" applyNumberFormat="1" applyFont="1" applyFill="1" applyBorder="1"/>
    <xf numFmtId="166" fontId="35" fillId="16" borderId="9" xfId="0" applyNumberFormat="1" applyFont="1" applyFill="1" applyBorder="1"/>
    <xf numFmtId="5" fontId="36" fillId="16" borderId="2" xfId="1" applyNumberFormat="1" applyFont="1" applyFill="1" applyBorder="1" applyProtection="1"/>
    <xf numFmtId="0" fontId="36" fillId="17" borderId="40" xfId="0" applyFont="1" applyFill="1" applyBorder="1"/>
    <xf numFmtId="0" fontId="36" fillId="17" borderId="41" xfId="0" applyFont="1" applyFill="1" applyBorder="1"/>
    <xf numFmtId="10" fontId="36" fillId="16" borderId="2" xfId="2" applyNumberFormat="1" applyFont="1" applyFill="1" applyBorder="1" applyProtection="1"/>
    <xf numFmtId="10" fontId="36" fillId="16" borderId="12" xfId="2" applyNumberFormat="1" applyFont="1" applyFill="1" applyBorder="1" applyProtection="1"/>
    <xf numFmtId="10" fontId="35" fillId="16" borderId="42" xfId="0" applyNumberFormat="1" applyFont="1" applyFill="1" applyBorder="1" applyAlignment="1">
      <alignment horizontal="center"/>
    </xf>
    <xf numFmtId="5" fontId="35" fillId="16" borderId="2" xfId="0" applyNumberFormat="1" applyFont="1" applyFill="1" applyBorder="1" applyAlignment="1">
      <alignment horizontal="center"/>
    </xf>
    <xf numFmtId="0" fontId="34" fillId="16" borderId="2" xfId="0" applyFont="1" applyFill="1" applyBorder="1"/>
    <xf numFmtId="166" fontId="35" fillId="16" borderId="2" xfId="0" applyNumberFormat="1" applyFont="1" applyFill="1" applyBorder="1"/>
    <xf numFmtId="10" fontId="35" fillId="16" borderId="12" xfId="2" applyNumberFormat="1" applyFont="1" applyFill="1" applyBorder="1"/>
    <xf numFmtId="5" fontId="36" fillId="16" borderId="0" xfId="0" applyNumberFormat="1" applyFont="1" applyFill="1"/>
    <xf numFmtId="5" fontId="36" fillId="16" borderId="2" xfId="0" applyNumberFormat="1" applyFont="1" applyFill="1" applyBorder="1"/>
    <xf numFmtId="8" fontId="35" fillId="16" borderId="0" xfId="0" applyNumberFormat="1" applyFont="1" applyFill="1"/>
    <xf numFmtId="8" fontId="35" fillId="16" borderId="2" xfId="0" applyNumberFormat="1" applyFont="1" applyFill="1" applyBorder="1"/>
    <xf numFmtId="165" fontId="35" fillId="16" borderId="0" xfId="2" applyNumberFormat="1" applyFont="1" applyFill="1" applyBorder="1"/>
    <xf numFmtId="165" fontId="35" fillId="16" borderId="2" xfId="2" applyNumberFormat="1" applyFont="1" applyFill="1" applyBorder="1"/>
    <xf numFmtId="0" fontId="34" fillId="16" borderId="0" xfId="0" applyFont="1" applyFill="1"/>
    <xf numFmtId="167" fontId="36" fillId="16" borderId="2" xfId="3" applyNumberFormat="1" applyFont="1" applyFill="1" applyBorder="1"/>
    <xf numFmtId="0" fontId="34" fillId="16" borderId="5" xfId="0" applyFont="1" applyFill="1" applyBorder="1"/>
    <xf numFmtId="0" fontId="35" fillId="16" borderId="12" xfId="0" applyFont="1" applyFill="1" applyBorder="1" applyAlignment="1">
      <alignment horizontal="center"/>
    </xf>
    <xf numFmtId="10" fontId="35" fillId="16" borderId="2" xfId="0" applyNumberFormat="1" applyFont="1" applyFill="1" applyBorder="1" applyAlignment="1">
      <alignment horizontal="center"/>
    </xf>
    <xf numFmtId="5" fontId="35" fillId="16" borderId="42" xfId="0" applyNumberFormat="1" applyFont="1" applyFill="1" applyBorder="1" applyAlignment="1">
      <alignment horizontal="center"/>
    </xf>
    <xf numFmtId="0" fontId="34" fillId="17" borderId="10" xfId="0" applyFont="1" applyFill="1" applyBorder="1"/>
    <xf numFmtId="0" fontId="36" fillId="17" borderId="4" xfId="0" applyFont="1" applyFill="1" applyBorder="1" applyAlignment="1">
      <alignment horizontal="left" indent="1"/>
    </xf>
    <xf numFmtId="0" fontId="35" fillId="17" borderId="2" xfId="0" applyFont="1" applyFill="1" applyBorder="1" applyAlignment="1">
      <alignment horizontal="center"/>
    </xf>
    <xf numFmtId="5" fontId="36" fillId="17" borderId="0" xfId="0" applyNumberFormat="1" applyFont="1" applyFill="1" applyAlignment="1">
      <alignment horizontal="center"/>
    </xf>
    <xf numFmtId="7" fontId="36" fillId="16" borderId="0" xfId="0" applyNumberFormat="1" applyFont="1" applyFill="1"/>
    <xf numFmtId="10" fontId="35" fillId="16" borderId="2" xfId="0" applyNumberFormat="1" applyFont="1" applyFill="1" applyBorder="1"/>
    <xf numFmtId="0" fontId="35" fillId="16" borderId="2" xfId="0" applyFont="1" applyFill="1" applyBorder="1" applyAlignment="1">
      <alignment horizontal="center"/>
    </xf>
    <xf numFmtId="5" fontId="36" fillId="16" borderId="0" xfId="0" applyNumberFormat="1" applyFont="1" applyFill="1" applyAlignment="1">
      <alignment horizontal="center"/>
    </xf>
    <xf numFmtId="167" fontId="35" fillId="16" borderId="0" xfId="3" applyNumberFormat="1" applyFont="1" applyFill="1" applyBorder="1"/>
    <xf numFmtId="167" fontId="35" fillId="16" borderId="5" xfId="3" applyNumberFormat="1" applyFont="1" applyFill="1" applyBorder="1"/>
    <xf numFmtId="10" fontId="35" fillId="16" borderId="12" xfId="0" applyNumberFormat="1" applyFont="1" applyFill="1" applyBorder="1"/>
    <xf numFmtId="5" fontId="35" fillId="16" borderId="0" xfId="0" applyNumberFormat="1" applyFont="1" applyFill="1"/>
    <xf numFmtId="5" fontId="35" fillId="16" borderId="2" xfId="0" applyNumberFormat="1" applyFont="1" applyFill="1" applyBorder="1"/>
    <xf numFmtId="5" fontId="35" fillId="16" borderId="35" xfId="0" applyNumberFormat="1" applyFont="1" applyFill="1" applyBorder="1"/>
    <xf numFmtId="0" fontId="35" fillId="17" borderId="10" xfId="0" applyFont="1" applyFill="1" applyBorder="1"/>
    <xf numFmtId="0" fontId="35" fillId="17" borderId="11" xfId="0" applyFont="1" applyFill="1" applyBorder="1"/>
    <xf numFmtId="0" fontId="35" fillId="17" borderId="1" xfId="0" applyFont="1" applyFill="1" applyBorder="1"/>
    <xf numFmtId="0" fontId="35" fillId="17" borderId="0" xfId="0" applyFont="1" applyFill="1"/>
    <xf numFmtId="0" fontId="35" fillId="17" borderId="5" xfId="0" applyFont="1" applyFill="1" applyBorder="1"/>
    <xf numFmtId="0" fontId="35" fillId="17" borderId="0" xfId="0" applyFont="1" applyFill="1" applyAlignment="1">
      <alignment horizontal="center"/>
    </xf>
    <xf numFmtId="10" fontId="36" fillId="0" borderId="12" xfId="0" applyNumberFormat="1" applyFont="1" applyBorder="1" applyAlignment="1">
      <alignment horizontal="center"/>
    </xf>
    <xf numFmtId="165" fontId="35" fillId="16" borderId="0" xfId="0" applyNumberFormat="1" applyFont="1" applyFill="1"/>
    <xf numFmtId="165" fontId="36" fillId="16" borderId="2" xfId="2" applyNumberFormat="1" applyFont="1" applyFill="1" applyBorder="1"/>
    <xf numFmtId="7" fontId="11" fillId="16" borderId="0" xfId="0" applyNumberFormat="1" applyFont="1" applyFill="1"/>
    <xf numFmtId="10" fontId="32" fillId="10" borderId="71" xfId="4" applyNumberFormat="1" applyBorder="1"/>
    <xf numFmtId="10" fontId="32" fillId="10" borderId="72" xfId="4" applyNumberFormat="1" applyBorder="1"/>
    <xf numFmtId="5" fontId="35" fillId="0" borderId="66" xfId="0" applyNumberFormat="1" applyFont="1" applyBorder="1"/>
    <xf numFmtId="10" fontId="32" fillId="10" borderId="70" xfId="4" applyNumberFormat="1" applyBorder="1"/>
    <xf numFmtId="0" fontId="14" fillId="4" borderId="40" xfId="0" applyFont="1" applyFill="1" applyBorder="1" applyAlignment="1">
      <alignment horizontal="right"/>
    </xf>
    <xf numFmtId="0" fontId="14" fillId="4" borderId="40" xfId="0" applyFont="1" applyFill="1" applyBorder="1" applyAlignment="1">
      <alignment horizontal="center"/>
    </xf>
    <xf numFmtId="0" fontId="15" fillId="17" borderId="40" xfId="0" applyFont="1" applyFill="1" applyBorder="1"/>
    <xf numFmtId="0" fontId="11" fillId="16" borderId="41" xfId="0" applyFont="1" applyFill="1" applyBorder="1"/>
    <xf numFmtId="0" fontId="15" fillId="17" borderId="4" xfId="0" applyFont="1" applyFill="1" applyBorder="1"/>
    <xf numFmtId="5" fontId="0" fillId="16" borderId="5" xfId="0" applyNumberFormat="1" applyFill="1" applyBorder="1"/>
    <xf numFmtId="0" fontId="51" fillId="0" borderId="0" xfId="0" applyFont="1"/>
    <xf numFmtId="172" fontId="11" fillId="16" borderId="0" xfId="0" applyNumberFormat="1" applyFont="1" applyFill="1" applyAlignment="1">
      <alignment horizontal="left"/>
    </xf>
    <xf numFmtId="10" fontId="11" fillId="16" borderId="0" xfId="0" applyNumberFormat="1" applyFont="1" applyFill="1" applyAlignment="1">
      <alignment horizontal="left"/>
    </xf>
    <xf numFmtId="0" fontId="15" fillId="16" borderId="0" xfId="0" applyFont="1" applyFill="1" applyAlignment="1">
      <alignment horizontal="left"/>
    </xf>
    <xf numFmtId="0" fontId="11" fillId="16" borderId="0" xfId="0" applyFont="1" applyFill="1" applyAlignment="1">
      <alignment horizontal="left"/>
    </xf>
    <xf numFmtId="164" fontId="32" fillId="10" borderId="53" xfId="4" applyNumberFormat="1" applyBorder="1" applyProtection="1">
      <protection locked="0"/>
    </xf>
    <xf numFmtId="167" fontId="32" fillId="10" borderId="53" xfId="4" applyNumberFormat="1" applyBorder="1"/>
    <xf numFmtId="10" fontId="32" fillId="10" borderId="70" xfId="4" applyNumberFormat="1" applyBorder="1" applyAlignment="1" applyProtection="1">
      <alignment horizontal="right"/>
      <protection locked="0"/>
    </xf>
    <xf numFmtId="5" fontId="49" fillId="16" borderId="0" xfId="0" applyNumberFormat="1" applyFont="1" applyFill="1" applyAlignment="1">
      <alignment vertical="center"/>
    </xf>
    <xf numFmtId="0" fontId="53" fillId="0" borderId="0" xfId="0" applyFont="1"/>
    <xf numFmtId="0" fontId="49" fillId="0" borderId="0" xfId="0" applyFont="1"/>
    <xf numFmtId="0" fontId="54" fillId="0" borderId="0" xfId="0" applyFont="1"/>
    <xf numFmtId="0" fontId="56" fillId="4" borderId="20" xfId="0" applyFont="1" applyFill="1" applyBorder="1" applyAlignment="1">
      <alignment horizontal="right"/>
    </xf>
    <xf numFmtId="0" fontId="56" fillId="4" borderId="73" xfId="0" applyFont="1" applyFill="1" applyBorder="1" applyAlignment="1">
      <alignment horizontal="center"/>
    </xf>
    <xf numFmtId="0" fontId="56" fillId="4" borderId="74" xfId="0" applyFont="1" applyFill="1" applyBorder="1" applyAlignment="1">
      <alignment horizontal="center"/>
    </xf>
    <xf numFmtId="0" fontId="54" fillId="17" borderId="28" xfId="0" applyFont="1" applyFill="1" applyBorder="1"/>
    <xf numFmtId="0" fontId="49" fillId="17" borderId="0" xfId="0" applyFont="1" applyFill="1" applyAlignment="1">
      <alignment vertical="center"/>
    </xf>
    <xf numFmtId="167" fontId="54" fillId="16" borderId="0" xfId="3" applyNumberFormat="1" applyFont="1" applyFill="1" applyBorder="1" applyProtection="1"/>
    <xf numFmtId="167" fontId="54" fillId="16" borderId="0" xfId="0" applyNumberFormat="1" applyFont="1" applyFill="1"/>
    <xf numFmtId="0" fontId="54" fillId="17" borderId="28" xfId="0" applyFont="1" applyFill="1" applyBorder="1" applyAlignment="1">
      <alignment horizontal="left" indent="1"/>
    </xf>
    <xf numFmtId="168" fontId="54" fillId="16" borderId="0" xfId="0" applyNumberFormat="1" applyFont="1" applyFill="1"/>
    <xf numFmtId="5" fontId="54" fillId="16" borderId="0" xfId="0" applyNumberFormat="1" applyFont="1" applyFill="1"/>
    <xf numFmtId="5" fontId="54" fillId="16" borderId="5" xfId="0" applyNumberFormat="1" applyFont="1" applyFill="1" applyBorder="1"/>
    <xf numFmtId="5" fontId="54" fillId="8" borderId="0" xfId="0" applyNumberFormat="1" applyFont="1" applyFill="1"/>
    <xf numFmtId="0" fontId="54" fillId="17" borderId="28" xfId="0" applyFont="1" applyFill="1" applyBorder="1" applyAlignment="1">
      <alignment horizontal="left"/>
    </xf>
    <xf numFmtId="0" fontId="57" fillId="17" borderId="28" xfId="0" applyFont="1" applyFill="1" applyBorder="1" applyAlignment="1">
      <alignment horizontal="left"/>
    </xf>
    <xf numFmtId="174" fontId="54" fillId="16" borderId="0" xfId="1" applyNumberFormat="1" applyFont="1" applyFill="1" applyBorder="1" applyProtection="1"/>
    <xf numFmtId="0" fontId="49" fillId="8" borderId="0" xfId="0" applyFont="1" applyFill="1"/>
    <xf numFmtId="0" fontId="49" fillId="8" borderId="0" xfId="0" applyFont="1" applyFill="1" applyAlignment="1">
      <alignment vertical="center"/>
    </xf>
    <xf numFmtId="5" fontId="54" fillId="0" borderId="0" xfId="0" applyNumberFormat="1" applyFont="1"/>
    <xf numFmtId="0" fontId="49" fillId="17" borderId="28" xfId="0" applyFont="1" applyFill="1" applyBorder="1"/>
    <xf numFmtId="0" fontId="49" fillId="16" borderId="0" xfId="0" applyFont="1" applyFill="1"/>
    <xf numFmtId="0" fontId="57" fillId="17" borderId="28" xfId="0" applyFont="1" applyFill="1" applyBorder="1" applyAlignment="1">
      <alignment vertical="center" wrapText="1"/>
    </xf>
    <xf numFmtId="0" fontId="54" fillId="16" borderId="0" xfId="0" applyFont="1" applyFill="1" applyAlignment="1">
      <alignment vertical="center" wrapText="1"/>
    </xf>
    <xf numFmtId="174" fontId="49" fillId="16" borderId="0" xfId="1" applyNumberFormat="1" applyFont="1" applyFill="1" applyBorder="1"/>
    <xf numFmtId="0" fontId="54" fillId="17" borderId="32" xfId="0" applyFont="1" applyFill="1" applyBorder="1" applyAlignment="1">
      <alignment horizontal="left" indent="1"/>
    </xf>
    <xf numFmtId="168" fontId="54" fillId="16" borderId="33" xfId="0" applyNumberFormat="1" applyFont="1" applyFill="1" applyBorder="1"/>
    <xf numFmtId="0" fontId="54" fillId="16" borderId="33" xfId="0" applyFont="1" applyFill="1" applyBorder="1" applyAlignment="1">
      <alignment vertical="center" wrapText="1"/>
    </xf>
    <xf numFmtId="174" fontId="49" fillId="16" borderId="33" xfId="1" applyNumberFormat="1" applyFont="1" applyFill="1" applyBorder="1"/>
    <xf numFmtId="0" fontId="49" fillId="16" borderId="33" xfId="0" applyFont="1" applyFill="1" applyBorder="1"/>
    <xf numFmtId="0" fontId="54" fillId="0" borderId="0" xfId="0" applyFont="1" applyAlignment="1">
      <alignment horizontal="left"/>
    </xf>
    <xf numFmtId="0" fontId="49" fillId="0" borderId="0" xfId="0" applyFont="1" applyAlignment="1">
      <alignment vertical="center"/>
    </xf>
    <xf numFmtId="0" fontId="49" fillId="16" borderId="0" xfId="0" applyFont="1" applyFill="1" applyAlignment="1">
      <alignment vertical="center"/>
    </xf>
    <xf numFmtId="0" fontId="54" fillId="17" borderId="32" xfId="0" applyFont="1" applyFill="1" applyBorder="1"/>
    <xf numFmtId="10" fontId="54" fillId="16" borderId="33" xfId="0" applyNumberFormat="1" applyFont="1" applyFill="1" applyBorder="1"/>
    <xf numFmtId="5" fontId="54" fillId="16" borderId="33" xfId="0" applyNumberFormat="1" applyFont="1" applyFill="1" applyBorder="1"/>
    <xf numFmtId="0" fontId="49" fillId="0" borderId="17" xfId="0" applyFont="1" applyBorder="1"/>
    <xf numFmtId="0" fontId="56" fillId="4" borderId="40" xfId="0" applyFont="1" applyFill="1" applyBorder="1" applyAlignment="1">
      <alignment horizontal="right"/>
    </xf>
    <xf numFmtId="0" fontId="56" fillId="4" borderId="40" xfId="0" applyFont="1" applyFill="1" applyBorder="1" applyAlignment="1">
      <alignment horizontal="center"/>
    </xf>
    <xf numFmtId="0" fontId="56" fillId="4" borderId="7" xfId="0" applyFont="1" applyFill="1" applyBorder="1" applyAlignment="1">
      <alignment horizontal="center"/>
    </xf>
    <xf numFmtId="0" fontId="57" fillId="17" borderId="1" xfId="0" applyFont="1" applyFill="1" applyBorder="1" applyAlignment="1">
      <alignment horizontal="left"/>
    </xf>
    <xf numFmtId="0" fontId="49" fillId="17" borderId="0" xfId="0" applyFont="1" applyFill="1"/>
    <xf numFmtId="0" fontId="58" fillId="17" borderId="1" xfId="0" applyFont="1" applyFill="1" applyBorder="1"/>
    <xf numFmtId="0" fontId="57" fillId="17" borderId="1" xfId="0" applyFont="1" applyFill="1" applyBorder="1" applyAlignment="1">
      <alignment horizontal="left" indent="1"/>
    </xf>
    <xf numFmtId="168" fontId="54" fillId="16" borderId="2" xfId="0" applyNumberFormat="1" applyFont="1" applyFill="1" applyBorder="1"/>
    <xf numFmtId="0" fontId="57" fillId="17" borderId="4" xfId="0" applyFont="1" applyFill="1" applyBorder="1" applyAlignment="1">
      <alignment horizontal="left" indent="1"/>
    </xf>
    <xf numFmtId="168" fontId="54" fillId="16" borderId="12" xfId="0" applyNumberFormat="1" applyFont="1" applyFill="1" applyBorder="1"/>
    <xf numFmtId="7" fontId="54" fillId="16" borderId="0" xfId="0" applyNumberFormat="1" applyFont="1" applyFill="1"/>
    <xf numFmtId="169" fontId="49" fillId="16" borderId="0" xfId="0" applyNumberFormat="1" applyFont="1" applyFill="1"/>
    <xf numFmtId="0" fontId="49" fillId="17" borderId="5" xfId="0" applyFont="1" applyFill="1" applyBorder="1"/>
    <xf numFmtId="169" fontId="49" fillId="16" borderId="5" xfId="0" applyNumberFormat="1" applyFont="1" applyFill="1" applyBorder="1"/>
    <xf numFmtId="0" fontId="57" fillId="17" borderId="28" xfId="0" applyFont="1" applyFill="1" applyBorder="1"/>
    <xf numFmtId="168" fontId="35" fillId="16" borderId="5" xfId="0" applyNumberFormat="1" applyFont="1" applyFill="1" applyBorder="1"/>
    <xf numFmtId="168" fontId="35" fillId="16" borderId="12" xfId="0" applyNumberFormat="1" applyFont="1" applyFill="1" applyBorder="1"/>
    <xf numFmtId="0" fontId="2" fillId="0" borderId="0" xfId="0" applyFont="1" applyAlignment="1">
      <alignment horizontal="center"/>
    </xf>
    <xf numFmtId="0" fontId="2" fillId="0" borderId="80" xfId="0" applyFont="1" applyBorder="1" applyAlignment="1">
      <alignment horizontal="left"/>
    </xf>
    <xf numFmtId="5" fontId="10" fillId="0" borderId="81" xfId="0" applyNumberFormat="1" applyFont="1" applyBorder="1"/>
    <xf numFmtId="5" fontId="10" fillId="0" borderId="82" xfId="0" applyNumberFormat="1" applyFont="1" applyBorder="1"/>
    <xf numFmtId="0" fontId="3" fillId="0" borderId="1" xfId="0" applyFont="1" applyBorder="1"/>
    <xf numFmtId="0" fontId="0" fillId="0" borderId="2" xfId="0" applyBorder="1"/>
    <xf numFmtId="0" fontId="2" fillId="0" borderId="1" xfId="0" applyFont="1" applyBorder="1" applyAlignment="1">
      <alignment horizontal="left"/>
    </xf>
    <xf numFmtId="0" fontId="29" fillId="4" borderId="78" xfId="0" applyFont="1" applyFill="1" applyBorder="1" applyAlignment="1">
      <alignment horizontal="center" vertical="center"/>
    </xf>
    <xf numFmtId="0" fontId="14" fillId="4" borderId="78" xfId="0" applyFont="1" applyFill="1" applyBorder="1" applyAlignment="1">
      <alignment horizontal="center"/>
    </xf>
    <xf numFmtId="0" fontId="60" fillId="8" borderId="81" xfId="0" applyFont="1" applyFill="1" applyBorder="1" applyAlignment="1">
      <alignment horizontal="center"/>
    </xf>
    <xf numFmtId="9" fontId="60" fillId="8" borderId="0" xfId="0" applyNumberFormat="1" applyFont="1" applyFill="1" applyAlignment="1">
      <alignment horizontal="center" vertical="center"/>
    </xf>
    <xf numFmtId="0" fontId="64" fillId="0" borderId="4" xfId="0" applyFont="1" applyBorder="1"/>
    <xf numFmtId="165" fontId="12" fillId="0" borderId="2" xfId="2" applyNumberFormat="1" applyFont="1" applyBorder="1"/>
    <xf numFmtId="175" fontId="12" fillId="0" borderId="2" xfId="1" applyNumberFormat="1" applyFont="1" applyBorder="1"/>
    <xf numFmtId="175" fontId="12" fillId="0" borderId="12" xfId="0" applyNumberFormat="1" applyFont="1" applyBorder="1"/>
    <xf numFmtId="9" fontId="0" fillId="0" borderId="0" xfId="0" applyNumberFormat="1"/>
    <xf numFmtId="166" fontId="0" fillId="0" borderId="0" xfId="0" applyNumberFormat="1"/>
    <xf numFmtId="0" fontId="62" fillId="19" borderId="4" xfId="0" applyFont="1" applyFill="1" applyBorder="1"/>
    <xf numFmtId="165" fontId="1" fillId="10" borderId="53" xfId="4" applyNumberFormat="1" applyFont="1" applyBorder="1" applyProtection="1"/>
    <xf numFmtId="0" fontId="60" fillId="8" borderId="80" xfId="0" applyFont="1" applyFill="1" applyBorder="1" applyAlignment="1">
      <alignment horizontal="center"/>
    </xf>
    <xf numFmtId="9" fontId="60" fillId="8" borderId="2" xfId="0" applyNumberFormat="1" applyFont="1" applyFill="1" applyBorder="1" applyAlignment="1">
      <alignment horizontal="center" vertical="center"/>
    </xf>
    <xf numFmtId="165" fontId="1" fillId="10" borderId="70" xfId="4" applyNumberFormat="1" applyFont="1" applyBorder="1" applyProtection="1"/>
    <xf numFmtId="10" fontId="33" fillId="12" borderId="53" xfId="5" applyNumberFormat="1" applyFill="1" applyBorder="1" applyAlignment="1" applyProtection="1">
      <alignment horizontal="center"/>
      <protection locked="0"/>
    </xf>
    <xf numFmtId="10" fontId="33" fillId="12" borderId="46" xfId="5" applyNumberFormat="1" applyFill="1" applyAlignment="1" applyProtection="1">
      <alignment horizontal="center"/>
      <protection locked="0"/>
    </xf>
    <xf numFmtId="0" fontId="33" fillId="12" borderId="46" xfId="3" applyNumberFormat="1" applyFont="1" applyFill="1" applyBorder="1" applyAlignment="1" applyProtection="1">
      <alignment horizontal="center"/>
      <protection locked="0"/>
    </xf>
    <xf numFmtId="3" fontId="32" fillId="10" borderId="46" xfId="4" applyNumberFormat="1" applyAlignment="1" applyProtection="1">
      <alignment horizontal="center"/>
    </xf>
    <xf numFmtId="166" fontId="0" fillId="0" borderId="5" xfId="0" applyNumberFormat="1" applyBorder="1" applyAlignment="1">
      <alignment horizontal="center"/>
    </xf>
    <xf numFmtId="166" fontId="0" fillId="0" borderId="12" xfId="0" applyNumberFormat="1" applyBorder="1" applyAlignment="1">
      <alignment horizontal="center"/>
    </xf>
    <xf numFmtId="0" fontId="6" fillId="13" borderId="4" xfId="0" applyFont="1" applyFill="1" applyBorder="1"/>
    <xf numFmtId="0" fontId="12" fillId="13" borderId="5" xfId="0" applyFont="1" applyFill="1" applyBorder="1"/>
    <xf numFmtId="10" fontId="33" fillId="11" borderId="83" xfId="5" applyNumberFormat="1" applyBorder="1" applyAlignment="1" applyProtection="1">
      <alignment horizontal="center"/>
      <protection locked="0"/>
    </xf>
    <xf numFmtId="0" fontId="62" fillId="19" borderId="84" xfId="0" applyFont="1" applyFill="1" applyBorder="1"/>
    <xf numFmtId="165" fontId="1" fillId="10" borderId="85" xfId="2" applyNumberFormat="1" applyFont="1" applyFill="1" applyBorder="1" applyAlignment="1" applyProtection="1">
      <alignment horizontal="center"/>
    </xf>
    <xf numFmtId="0" fontId="11" fillId="16" borderId="17" xfId="0" applyFont="1" applyFill="1" applyBorder="1" applyAlignment="1">
      <alignment horizontal="left" indent="1"/>
    </xf>
    <xf numFmtId="0" fontId="33" fillId="11" borderId="46" xfId="3" applyNumberFormat="1" applyFont="1" applyFill="1" applyBorder="1" applyAlignment="1" applyProtection="1">
      <alignment horizontal="center"/>
      <protection locked="0"/>
    </xf>
    <xf numFmtId="167" fontId="49" fillId="16" borderId="0" xfId="0" applyNumberFormat="1" applyFont="1" applyFill="1"/>
    <xf numFmtId="10" fontId="32" fillId="10" borderId="71" xfId="4" applyNumberFormat="1" applyBorder="1" applyProtection="1">
      <protection locked="0"/>
    </xf>
    <xf numFmtId="167" fontId="36" fillId="0" borderId="2" xfId="3" applyNumberFormat="1" applyFont="1" applyFill="1" applyBorder="1" applyProtection="1"/>
    <xf numFmtId="0" fontId="6" fillId="13" borderId="0" xfId="0" applyFont="1" applyFill="1"/>
    <xf numFmtId="0" fontId="51" fillId="13" borderId="0" xfId="0" applyFont="1" applyFill="1"/>
    <xf numFmtId="44" fontId="0" fillId="13" borderId="0" xfId="1" applyFont="1" applyFill="1"/>
    <xf numFmtId="5" fontId="11" fillId="18" borderId="86" xfId="0" applyNumberFormat="1" applyFont="1" applyFill="1" applyBorder="1"/>
    <xf numFmtId="10" fontId="33" fillId="12" borderId="47" xfId="5" applyNumberFormat="1" applyFill="1" applyBorder="1" applyAlignment="1" applyProtection="1">
      <alignment horizontal="center" vertical="center"/>
      <protection locked="0"/>
    </xf>
    <xf numFmtId="0" fontId="65" fillId="13" borderId="0" xfId="0" applyFont="1" applyFill="1" applyAlignment="1">
      <alignment horizontal="right"/>
    </xf>
    <xf numFmtId="0" fontId="66" fillId="13" borderId="0" xfId="0" applyFont="1" applyFill="1"/>
    <xf numFmtId="0" fontId="67" fillId="20" borderId="0" xfId="0" applyFont="1" applyFill="1" applyAlignment="1">
      <alignment horizontal="right"/>
    </xf>
    <xf numFmtId="0" fontId="68" fillId="20" borderId="0" xfId="0" applyFont="1" applyFill="1"/>
    <xf numFmtId="0" fontId="20" fillId="13" borderId="0" xfId="0" applyFont="1" applyFill="1"/>
    <xf numFmtId="0" fontId="34" fillId="13" borderId="56" xfId="0" applyFont="1" applyFill="1" applyBorder="1"/>
    <xf numFmtId="0" fontId="0" fillId="13" borderId="57" xfId="0" applyFill="1" applyBorder="1"/>
    <xf numFmtId="10" fontId="33" fillId="12" borderId="87" xfId="5" applyNumberFormat="1" applyFill="1" applyBorder="1" applyAlignment="1" applyProtection="1">
      <alignment horizontal="center" vertical="center"/>
      <protection locked="0"/>
    </xf>
    <xf numFmtId="164" fontId="32" fillId="10" borderId="88" xfId="4" applyNumberFormat="1" applyBorder="1" applyAlignment="1" applyProtection="1">
      <alignment horizontal="center"/>
      <protection locked="0"/>
    </xf>
    <xf numFmtId="164" fontId="15" fillId="0" borderId="89" xfId="0" applyNumberFormat="1" applyFont="1" applyBorder="1" applyAlignment="1" applyProtection="1">
      <alignment horizontal="center"/>
      <protection locked="0"/>
    </xf>
    <xf numFmtId="0" fontId="0" fillId="0" borderId="0" xfId="0" applyAlignment="1">
      <alignment horizontal="left"/>
    </xf>
    <xf numFmtId="0" fontId="12" fillId="0" borderId="17" xfId="0" applyFont="1" applyBorder="1" applyAlignment="1">
      <alignment horizontal="left"/>
    </xf>
    <xf numFmtId="0" fontId="10" fillId="0" borderId="17" xfId="0" applyFont="1" applyBorder="1" applyAlignment="1">
      <alignment horizontal="left"/>
    </xf>
    <xf numFmtId="0" fontId="20" fillId="0" borderId="0" xfId="0" applyFont="1" applyAlignment="1">
      <alignment vertical="center" wrapText="1"/>
    </xf>
    <xf numFmtId="0" fontId="71" fillId="0" borderId="0" xfId="0" applyFont="1"/>
    <xf numFmtId="0" fontId="32" fillId="10" borderId="26" xfId="4" applyNumberFormat="1" applyBorder="1" applyAlignment="1" applyProtection="1">
      <protection locked="0"/>
    </xf>
    <xf numFmtId="171" fontId="32" fillId="10" borderId="93" xfId="4" applyNumberFormat="1" applyBorder="1" applyAlignment="1" applyProtection="1">
      <protection locked="0"/>
    </xf>
    <xf numFmtId="0" fontId="36" fillId="0" borderId="40" xfId="0" applyFont="1" applyBorder="1"/>
    <xf numFmtId="0" fontId="36" fillId="0" borderId="41" xfId="0" applyFont="1" applyBorder="1"/>
    <xf numFmtId="0" fontId="63" fillId="0" borderId="1" xfId="0" applyFont="1" applyBorder="1"/>
    <xf numFmtId="0" fontId="34" fillId="0" borderId="41" xfId="0" applyFont="1" applyBorder="1"/>
    <xf numFmtId="165" fontId="36" fillId="0" borderId="5" xfId="0" applyNumberFormat="1" applyFont="1" applyBorder="1"/>
    <xf numFmtId="0" fontId="62" fillId="0" borderId="1" xfId="0" applyFont="1" applyBorder="1"/>
    <xf numFmtId="0" fontId="62" fillId="0" borderId="4" xfId="0" applyFont="1" applyBorder="1"/>
    <xf numFmtId="0" fontId="12" fillId="0" borderId="5" xfId="0" applyFont="1" applyBorder="1"/>
    <xf numFmtId="0" fontId="12" fillId="21" borderId="0" xfId="0" applyFont="1" applyFill="1" applyAlignment="1">
      <alignment horizontal="center"/>
    </xf>
    <xf numFmtId="0" fontId="34" fillId="0" borderId="2" xfId="0" applyFont="1" applyBorder="1"/>
    <xf numFmtId="0" fontId="36" fillId="0" borderId="84" xfId="0" applyFont="1" applyBorder="1"/>
    <xf numFmtId="0" fontId="36" fillId="0" borderId="81" xfId="0" applyFont="1" applyBorder="1"/>
    <xf numFmtId="0" fontId="34" fillId="0" borderId="82" xfId="0" applyFont="1" applyBorder="1"/>
    <xf numFmtId="0" fontId="70" fillId="0" borderId="0" xfId="0" applyFont="1" applyAlignment="1">
      <alignment horizontal="left" vertical="center" wrapText="1"/>
    </xf>
    <xf numFmtId="0" fontId="31" fillId="4" borderId="20" xfId="0" applyFont="1" applyFill="1" applyBorder="1" applyAlignment="1">
      <alignment horizontal="left" wrapText="1"/>
    </xf>
    <xf numFmtId="0" fontId="31" fillId="4" borderId="27" xfId="0" applyFont="1" applyFill="1" applyBorder="1" applyAlignment="1">
      <alignment horizontal="left" wrapText="1"/>
    </xf>
    <xf numFmtId="0" fontId="31" fillId="4" borderId="30" xfId="0" applyFont="1" applyFill="1" applyBorder="1" applyAlignment="1">
      <alignment horizontal="left" wrapText="1"/>
    </xf>
    <xf numFmtId="0" fontId="20" fillId="12" borderId="28" xfId="0" applyFont="1" applyFill="1" applyBorder="1" applyAlignment="1">
      <alignment horizontal="left" vertical="center" wrapText="1"/>
    </xf>
    <xf numFmtId="0" fontId="20" fillId="12" borderId="0" xfId="0" applyFont="1" applyFill="1" applyAlignment="1">
      <alignment horizontal="left" vertical="center" wrapText="1"/>
    </xf>
    <xf numFmtId="0" fontId="20" fillId="12" borderId="31" xfId="0" applyFont="1" applyFill="1" applyBorder="1" applyAlignment="1">
      <alignment horizontal="left" vertical="center" wrapText="1"/>
    </xf>
    <xf numFmtId="0" fontId="20" fillId="12" borderId="32" xfId="0" applyFont="1" applyFill="1" applyBorder="1" applyAlignment="1">
      <alignment horizontal="left" vertical="center" wrapText="1"/>
    </xf>
    <xf numFmtId="0" fontId="20" fillId="12" borderId="33" xfId="0" applyFont="1" applyFill="1" applyBorder="1" applyAlignment="1">
      <alignment horizontal="left" vertical="center" wrapText="1"/>
    </xf>
    <xf numFmtId="0" fontId="20" fillId="12" borderId="34" xfId="0" applyFont="1" applyFill="1" applyBorder="1" applyAlignment="1">
      <alignment horizontal="left" vertical="center" wrapText="1"/>
    </xf>
    <xf numFmtId="0" fontId="26" fillId="6" borderId="25" xfId="0" applyFont="1" applyFill="1" applyBorder="1" applyAlignment="1">
      <alignment horizontal="center" vertical="center"/>
    </xf>
    <xf numFmtId="0" fontId="21" fillId="6" borderId="23" xfId="0" applyFont="1" applyFill="1" applyBorder="1" applyAlignment="1">
      <alignment horizontal="center" vertical="center"/>
    </xf>
    <xf numFmtId="0" fontId="21" fillId="6" borderId="21" xfId="0" applyFont="1" applyFill="1" applyBorder="1" applyAlignment="1">
      <alignment horizontal="center" vertical="center"/>
    </xf>
    <xf numFmtId="0" fontId="0" fillId="6" borderId="36" xfId="0" applyFill="1" applyBorder="1" applyAlignment="1">
      <alignment horizontal="left"/>
    </xf>
    <xf numFmtId="0" fontId="0" fillId="6" borderId="90" xfId="0" applyFill="1" applyBorder="1" applyAlignment="1">
      <alignment horizontal="left"/>
    </xf>
    <xf numFmtId="0" fontId="0" fillId="6" borderId="91" xfId="0" applyFill="1" applyBorder="1" applyAlignment="1">
      <alignment horizontal="center"/>
    </xf>
    <xf numFmtId="0" fontId="0" fillId="6" borderId="92" xfId="0" applyFill="1" applyBorder="1" applyAlignment="1">
      <alignment horizontal="center"/>
    </xf>
    <xf numFmtId="0" fontId="31" fillId="4" borderId="20" xfId="0" applyFont="1" applyFill="1" applyBorder="1" applyAlignment="1">
      <alignment horizontal="left" vertical="center" wrapText="1"/>
    </xf>
    <xf numFmtId="0" fontId="31" fillId="4" borderId="27" xfId="0" applyFont="1" applyFill="1" applyBorder="1" applyAlignment="1">
      <alignment horizontal="left" vertical="center" wrapText="1"/>
    </xf>
    <xf numFmtId="0" fontId="31" fillId="4" borderId="30" xfId="0" applyFont="1" applyFill="1" applyBorder="1" applyAlignment="1">
      <alignment horizontal="left" vertical="center" wrapText="1"/>
    </xf>
    <xf numFmtId="0" fontId="40" fillId="12" borderId="28" xfId="0" applyFont="1" applyFill="1" applyBorder="1" applyAlignment="1">
      <alignment horizontal="left" vertical="center" wrapText="1"/>
    </xf>
    <xf numFmtId="0" fontId="40" fillId="12" borderId="0" xfId="0" applyFont="1" applyFill="1" applyAlignment="1">
      <alignment horizontal="left" vertical="center" wrapText="1"/>
    </xf>
    <xf numFmtId="0" fontId="40" fillId="12" borderId="31" xfId="0" applyFont="1" applyFill="1" applyBorder="1" applyAlignment="1">
      <alignment horizontal="left" vertical="center" wrapText="1"/>
    </xf>
    <xf numFmtId="0" fontId="40" fillId="12" borderId="32" xfId="0" applyFont="1" applyFill="1" applyBorder="1" applyAlignment="1">
      <alignment horizontal="left" vertical="center" wrapText="1"/>
    </xf>
    <xf numFmtId="0" fontId="40" fillId="12" borderId="33" xfId="0" applyFont="1" applyFill="1" applyBorder="1" applyAlignment="1">
      <alignment horizontal="left" vertical="center" wrapText="1"/>
    </xf>
    <xf numFmtId="0" fontId="40" fillId="12" borderId="34" xfId="0" applyFont="1" applyFill="1" applyBorder="1" applyAlignment="1">
      <alignment horizontal="left" vertical="center" wrapText="1"/>
    </xf>
    <xf numFmtId="0" fontId="9" fillId="8" borderId="4" xfId="0" applyFont="1" applyFill="1" applyBorder="1" applyAlignment="1">
      <alignment horizontal="center"/>
    </xf>
    <xf numFmtId="0" fontId="9" fillId="8" borderId="5" xfId="0" applyFont="1" applyFill="1" applyBorder="1" applyAlignment="1">
      <alignment horizontal="center"/>
    </xf>
    <xf numFmtId="0" fontId="14" fillId="4" borderId="65" xfId="0" applyFont="1" applyFill="1" applyBorder="1"/>
    <xf numFmtId="0" fontId="14" fillId="4" borderId="54" xfId="0" applyFont="1" applyFill="1" applyBorder="1"/>
    <xf numFmtId="0" fontId="14" fillId="4" borderId="42" xfId="0" applyFont="1" applyFill="1" applyBorder="1"/>
    <xf numFmtId="0" fontId="14" fillId="4" borderId="10" xfId="0" applyFont="1" applyFill="1" applyBorder="1" applyAlignment="1">
      <alignment horizontal="center"/>
    </xf>
    <xf numFmtId="0" fontId="0" fillId="0" borderId="11" xfId="0" applyBorder="1" applyAlignment="1">
      <alignment horizontal="center"/>
    </xf>
    <xf numFmtId="0" fontId="0" fillId="0" borderId="8" xfId="0" applyBorder="1" applyAlignment="1">
      <alignment horizontal="center"/>
    </xf>
    <xf numFmtId="0" fontId="69" fillId="0" borderId="20" xfId="0" applyFont="1" applyBorder="1" applyAlignment="1">
      <alignment horizontal="center" vertical="center"/>
    </xf>
    <xf numFmtId="0" fontId="69" fillId="0" borderId="30" xfId="0" applyFont="1" applyBorder="1" applyAlignment="1">
      <alignment horizontal="center" vertical="center"/>
    </xf>
    <xf numFmtId="0" fontId="69" fillId="0" borderId="28" xfId="0" applyFont="1" applyBorder="1" applyAlignment="1">
      <alignment horizontal="center" vertical="center"/>
    </xf>
    <xf numFmtId="0" fontId="69" fillId="0" borderId="31" xfId="0" applyFont="1" applyBorder="1" applyAlignment="1">
      <alignment horizontal="center" vertical="center"/>
    </xf>
    <xf numFmtId="0" fontId="69" fillId="0" borderId="32" xfId="0" applyFont="1" applyBorder="1" applyAlignment="1">
      <alignment horizontal="center" vertical="center"/>
    </xf>
    <xf numFmtId="0" fontId="69" fillId="0" borderId="34" xfId="0" applyFont="1" applyBorder="1" applyAlignment="1">
      <alignment horizontal="center" vertical="center"/>
    </xf>
    <xf numFmtId="0" fontId="9" fillId="4" borderId="50" xfId="0" applyFont="1" applyFill="1" applyBorder="1" applyAlignment="1">
      <alignment horizontal="center"/>
    </xf>
    <xf numFmtId="0" fontId="9" fillId="4" borderId="54" xfId="0" applyFont="1" applyFill="1" applyBorder="1" applyAlignment="1">
      <alignment horizontal="center"/>
    </xf>
    <xf numFmtId="0" fontId="34" fillId="0" borderId="51" xfId="0" applyFont="1" applyBorder="1" applyAlignment="1">
      <alignment horizontal="center"/>
    </xf>
    <xf numFmtId="0" fontId="34" fillId="0" borderId="52" xfId="0" applyFont="1" applyBorder="1" applyAlignment="1">
      <alignment horizontal="center"/>
    </xf>
    <xf numFmtId="0" fontId="9" fillId="4" borderId="40" xfId="0" applyFont="1" applyFill="1" applyBorder="1" applyAlignment="1">
      <alignment horizontal="center"/>
    </xf>
    <xf numFmtId="0" fontId="9" fillId="4" borderId="41" xfId="0" applyFont="1" applyFill="1" applyBorder="1" applyAlignment="1">
      <alignment horizontal="center"/>
    </xf>
    <xf numFmtId="0" fontId="34" fillId="0" borderId="41" xfId="0" applyFont="1" applyBorder="1" applyAlignment="1">
      <alignment horizontal="center"/>
    </xf>
    <xf numFmtId="0" fontId="34" fillId="0" borderId="66" xfId="0" applyFont="1" applyBorder="1" applyAlignment="1">
      <alignment horizontal="center"/>
    </xf>
    <xf numFmtId="0" fontId="9" fillId="4" borderId="13" xfId="0" applyFont="1" applyFill="1" applyBorder="1" applyAlignment="1">
      <alignment horizontal="center"/>
    </xf>
    <xf numFmtId="0" fontId="34" fillId="0" borderId="16" xfId="0" applyFont="1" applyBorder="1" applyAlignment="1">
      <alignment horizontal="center"/>
    </xf>
    <xf numFmtId="0" fontId="9" fillId="4" borderId="80" xfId="0" applyFont="1" applyFill="1" applyBorder="1" applyAlignment="1">
      <alignment horizontal="center" wrapText="1"/>
    </xf>
    <xf numFmtId="0" fontId="9" fillId="4" borderId="82" xfId="0" applyFont="1" applyFill="1" applyBorder="1" applyAlignment="1">
      <alignment horizontal="center" wrapText="1"/>
    </xf>
    <xf numFmtId="0" fontId="9" fillId="4" borderId="42" xfId="0" applyFont="1" applyFill="1" applyBorder="1" applyAlignment="1">
      <alignment horizontal="center"/>
    </xf>
    <xf numFmtId="0" fontId="9" fillId="8" borderId="40" xfId="0" applyFont="1" applyFill="1" applyBorder="1" applyAlignment="1">
      <alignment horizontal="center"/>
    </xf>
    <xf numFmtId="0" fontId="9" fillId="8" borderId="41" xfId="0" applyFont="1" applyFill="1" applyBorder="1" applyAlignment="1">
      <alignment horizontal="center"/>
    </xf>
    <xf numFmtId="0" fontId="9" fillId="8" borderId="42" xfId="0" applyFont="1" applyFill="1" applyBorder="1" applyAlignment="1">
      <alignment horizontal="center"/>
    </xf>
    <xf numFmtId="0" fontId="32" fillId="10" borderId="63" xfId="4" applyNumberFormat="1" applyBorder="1" applyAlignment="1" applyProtection="1">
      <alignment horizontal="center"/>
      <protection locked="0"/>
    </xf>
    <xf numFmtId="0" fontId="32" fillId="10" borderId="68" xfId="4" applyNumberFormat="1" applyBorder="1" applyAlignment="1" applyProtection="1">
      <alignment horizontal="center"/>
      <protection locked="0"/>
    </xf>
    <xf numFmtId="171" fontId="32" fillId="10" borderId="64" xfId="4" applyNumberFormat="1" applyBorder="1" applyAlignment="1" applyProtection="1">
      <alignment horizontal="center"/>
      <protection locked="0"/>
    </xf>
    <xf numFmtId="171" fontId="32" fillId="10" borderId="69" xfId="4" applyNumberFormat="1" applyBorder="1" applyAlignment="1" applyProtection="1">
      <alignment horizontal="center"/>
      <protection locked="0"/>
    </xf>
    <xf numFmtId="0" fontId="60" fillId="8" borderId="80" xfId="0" applyFont="1" applyFill="1" applyBorder="1" applyAlignment="1">
      <alignment horizontal="center" vertical="center" wrapText="1"/>
    </xf>
    <xf numFmtId="0" fontId="60" fillId="8" borderId="81" xfId="0" applyFont="1" applyFill="1" applyBorder="1" applyAlignment="1">
      <alignment horizontal="center" vertical="center" wrapText="1"/>
    </xf>
    <xf numFmtId="0" fontId="60" fillId="8" borderId="82" xfId="0" applyFont="1" applyFill="1" applyBorder="1" applyAlignment="1">
      <alignment horizontal="center" vertical="center" wrapText="1"/>
    </xf>
    <xf numFmtId="0" fontId="60" fillId="8" borderId="4" xfId="0" applyFont="1" applyFill="1" applyBorder="1" applyAlignment="1">
      <alignment horizontal="center" vertical="center" wrapText="1"/>
    </xf>
    <xf numFmtId="0" fontId="60" fillId="8" borderId="5" xfId="0" applyFont="1" applyFill="1" applyBorder="1" applyAlignment="1">
      <alignment horizontal="center" vertical="center" wrapText="1"/>
    </xf>
    <xf numFmtId="0" fontId="60" fillId="8" borderId="12" xfId="0" applyFont="1" applyFill="1" applyBorder="1" applyAlignment="1">
      <alignment horizontal="center" vertical="center" wrapText="1"/>
    </xf>
    <xf numFmtId="0" fontId="37" fillId="4" borderId="5" xfId="0" applyFont="1" applyFill="1" applyBorder="1" applyAlignment="1">
      <alignment horizontal="center"/>
    </xf>
    <xf numFmtId="0" fontId="50" fillId="12" borderId="0" xfId="0" applyFont="1" applyFill="1" applyAlignment="1">
      <alignment horizontal="center" vertical="center" wrapText="1"/>
    </xf>
    <xf numFmtId="0" fontId="30" fillId="0" borderId="0" xfId="0" applyFont="1" applyAlignment="1">
      <alignment horizontal="left" vertical="center" wrapText="1"/>
    </xf>
    <xf numFmtId="0" fontId="26" fillId="0" borderId="25" xfId="0" applyFont="1" applyBorder="1" applyAlignment="1">
      <alignment horizontal="center" vertical="center"/>
    </xf>
    <xf numFmtId="0" fontId="21" fillId="0" borderId="23" xfId="0" applyFont="1" applyBorder="1" applyAlignment="1">
      <alignment horizontal="center" vertical="center"/>
    </xf>
    <xf numFmtId="0" fontId="21" fillId="0" borderId="21" xfId="0" applyFont="1" applyBorder="1" applyAlignment="1">
      <alignment horizontal="center" vertical="center"/>
    </xf>
    <xf numFmtId="0" fontId="61" fillId="15" borderId="80" xfId="0" applyFont="1" applyFill="1" applyBorder="1" applyAlignment="1">
      <alignment horizontal="center"/>
    </xf>
    <xf numFmtId="0" fontId="61" fillId="15" borderId="81" xfId="0" applyFont="1" applyFill="1" applyBorder="1" applyAlignment="1">
      <alignment horizontal="center"/>
    </xf>
    <xf numFmtId="0" fontId="61" fillId="15" borderId="82" xfId="0" applyFont="1" applyFill="1" applyBorder="1" applyAlignment="1">
      <alignment horizontal="center"/>
    </xf>
    <xf numFmtId="0" fontId="48" fillId="18" borderId="20" xfId="0" applyFont="1" applyFill="1" applyBorder="1" applyAlignment="1">
      <alignment horizontal="left" wrapText="1"/>
    </xf>
    <xf numFmtId="0" fontId="48" fillId="18" borderId="27" xfId="0" applyFont="1" applyFill="1" applyBorder="1" applyAlignment="1">
      <alignment horizontal="left" wrapText="1"/>
    </xf>
    <xf numFmtId="0" fontId="48" fillId="18" borderId="30" xfId="0" applyFont="1" applyFill="1" applyBorder="1" applyAlignment="1">
      <alignment horizontal="left" wrapText="1"/>
    </xf>
    <xf numFmtId="0" fontId="48" fillId="18" borderId="28" xfId="0" applyFont="1" applyFill="1" applyBorder="1" applyAlignment="1">
      <alignment horizontal="left" wrapText="1"/>
    </xf>
    <xf numFmtId="0" fontId="48" fillId="18" borderId="0" xfId="0" applyFont="1" applyFill="1" applyAlignment="1">
      <alignment horizontal="left" wrapText="1"/>
    </xf>
    <xf numFmtId="0" fontId="48" fillId="18" borderId="31" xfId="0" applyFont="1" applyFill="1" applyBorder="1" applyAlignment="1">
      <alignment horizontal="left" wrapText="1"/>
    </xf>
    <xf numFmtId="0" fontId="48" fillId="18" borderId="32" xfId="0" applyFont="1" applyFill="1" applyBorder="1" applyAlignment="1">
      <alignment horizontal="left" wrapText="1"/>
    </xf>
    <xf numFmtId="0" fontId="48" fillId="18" borderId="33" xfId="0" applyFont="1" applyFill="1" applyBorder="1" applyAlignment="1">
      <alignment horizontal="left" wrapText="1"/>
    </xf>
    <xf numFmtId="0" fontId="48" fillId="18" borderId="34" xfId="0" applyFont="1" applyFill="1" applyBorder="1" applyAlignment="1">
      <alignment horizontal="left" wrapText="1"/>
    </xf>
    <xf numFmtId="0" fontId="0" fillId="6" borderId="91" xfId="0" applyFill="1" applyBorder="1" applyAlignment="1">
      <alignment horizontal="left"/>
    </xf>
    <xf numFmtId="0" fontId="0" fillId="6" borderId="92" xfId="0" applyFill="1" applyBorder="1" applyAlignment="1">
      <alignment horizontal="left"/>
    </xf>
    <xf numFmtId="0" fontId="29" fillId="4" borderId="0" xfId="0" applyFont="1" applyFill="1" applyAlignment="1">
      <alignment horizontal="center" vertical="center" wrapText="1"/>
    </xf>
    <xf numFmtId="0" fontId="29" fillId="4" borderId="79" xfId="0" applyFont="1" applyFill="1" applyBorder="1" applyAlignment="1">
      <alignment horizontal="center" vertical="center" wrapText="1"/>
    </xf>
    <xf numFmtId="0" fontId="29" fillId="4" borderId="14" xfId="0" applyFont="1" applyFill="1" applyBorder="1" applyAlignment="1">
      <alignment horizontal="center" vertical="center" wrapText="1"/>
    </xf>
    <xf numFmtId="0" fontId="31" fillId="4" borderId="45" xfId="0" applyFont="1" applyFill="1" applyBorder="1" applyAlignment="1">
      <alignment wrapText="1"/>
    </xf>
    <xf numFmtId="0" fontId="19" fillId="0" borderId="5" xfId="0" applyFont="1" applyBorder="1" applyAlignment="1">
      <alignment wrapText="1"/>
    </xf>
    <xf numFmtId="0" fontId="40" fillId="12" borderId="10" xfId="0" applyFont="1" applyFill="1" applyBorder="1" applyAlignment="1">
      <alignment vertical="center" wrapText="1"/>
    </xf>
    <xf numFmtId="0" fontId="41" fillId="12" borderId="11" xfId="0" applyFont="1" applyFill="1" applyBorder="1" applyAlignment="1">
      <alignment wrapText="1"/>
    </xf>
    <xf numFmtId="0" fontId="41" fillId="12" borderId="8" xfId="0" applyFont="1" applyFill="1" applyBorder="1" applyAlignment="1">
      <alignment wrapText="1"/>
    </xf>
    <xf numFmtId="0" fontId="41" fillId="12" borderId="1" xfId="0" applyFont="1" applyFill="1" applyBorder="1" applyAlignment="1">
      <alignment wrapText="1"/>
    </xf>
    <xf numFmtId="0" fontId="41" fillId="12" borderId="0" xfId="0" applyFont="1" applyFill="1" applyAlignment="1">
      <alignment wrapText="1"/>
    </xf>
    <xf numFmtId="0" fontId="41" fillId="12" borderId="2" xfId="0" applyFont="1" applyFill="1" applyBorder="1" applyAlignment="1">
      <alignment wrapText="1"/>
    </xf>
    <xf numFmtId="0" fontId="41" fillId="12" borderId="4" xfId="0" applyFont="1" applyFill="1" applyBorder="1" applyAlignment="1">
      <alignment wrapText="1"/>
    </xf>
    <xf numFmtId="0" fontId="41" fillId="12" borderId="5" xfId="0" applyFont="1" applyFill="1" applyBorder="1" applyAlignment="1">
      <alignment wrapText="1"/>
    </xf>
    <xf numFmtId="0" fontId="41" fillId="12" borderId="12" xfId="0" applyFont="1" applyFill="1" applyBorder="1" applyAlignment="1">
      <alignment wrapText="1"/>
    </xf>
    <xf numFmtId="0" fontId="29" fillId="4" borderId="10" xfId="0" applyFont="1" applyFill="1" applyBorder="1" applyAlignment="1">
      <alignment horizontal="center" vertical="center"/>
    </xf>
    <xf numFmtId="0" fontId="29" fillId="4" borderId="42" xfId="0" applyFont="1" applyFill="1" applyBorder="1" applyAlignment="1">
      <alignment horizontal="center" vertical="center"/>
    </xf>
    <xf numFmtId="0" fontId="29" fillId="4" borderId="43" xfId="0" applyFont="1" applyFill="1" applyBorder="1" applyAlignment="1">
      <alignment horizontal="center" vertical="center"/>
    </xf>
    <xf numFmtId="0" fontId="0" fillId="0" borderId="16" xfId="0" applyBorder="1" applyAlignment="1">
      <alignment horizontal="center"/>
    </xf>
    <xf numFmtId="0" fontId="9" fillId="4" borderId="0" xfId="0" applyFont="1" applyFill="1" applyAlignment="1">
      <alignment horizontal="center"/>
    </xf>
    <xf numFmtId="0" fontId="0" fillId="0" borderId="0" xfId="0" applyAlignment="1">
      <alignment horizontal="center"/>
    </xf>
    <xf numFmtId="0" fontId="9" fillId="4" borderId="5" xfId="0" applyFont="1" applyFill="1" applyBorder="1" applyAlignment="1">
      <alignment horizontal="center"/>
    </xf>
    <xf numFmtId="0" fontId="32" fillId="10" borderId="90" xfId="4" applyNumberFormat="1" applyBorder="1" applyAlignment="1" applyProtection="1">
      <alignment horizontal="center"/>
      <protection locked="0"/>
    </xf>
    <xf numFmtId="0" fontId="32" fillId="10" borderId="26" xfId="4" applyNumberFormat="1" applyBorder="1" applyAlignment="1" applyProtection="1">
      <alignment horizontal="center"/>
      <protection locked="0"/>
    </xf>
    <xf numFmtId="171" fontId="32" fillId="10" borderId="92" xfId="4" applyNumberFormat="1" applyBorder="1" applyAlignment="1" applyProtection="1">
      <alignment horizontal="center"/>
      <protection locked="0"/>
    </xf>
    <xf numFmtId="171" fontId="32" fillId="10" borderId="93" xfId="4" applyNumberFormat="1" applyBorder="1" applyAlignment="1" applyProtection="1">
      <alignment horizontal="center"/>
      <protection locked="0"/>
    </xf>
    <xf numFmtId="0" fontId="9" fillId="4" borderId="5" xfId="0" applyFont="1" applyFill="1" applyBorder="1" applyAlignment="1">
      <alignment horizontal="center" vertical="center"/>
    </xf>
    <xf numFmtId="0" fontId="9" fillId="4" borderId="0" xfId="0" applyFont="1" applyFill="1" applyAlignment="1">
      <alignment horizontal="center" vertical="center"/>
    </xf>
    <xf numFmtId="0" fontId="9" fillId="4" borderId="65" xfId="0" applyFont="1" applyFill="1" applyBorder="1" applyAlignment="1">
      <alignment horizontal="center" vertical="center"/>
    </xf>
    <xf numFmtId="0" fontId="9" fillId="4" borderId="66" xfId="0" applyFont="1" applyFill="1" applyBorder="1" applyAlignment="1">
      <alignment horizontal="center" vertical="center"/>
    </xf>
    <xf numFmtId="0" fontId="43" fillId="14" borderId="20" xfId="0" applyFont="1" applyFill="1" applyBorder="1" applyAlignment="1">
      <alignment horizontal="left" vertical="center" wrapText="1"/>
    </xf>
    <xf numFmtId="0" fontId="45" fillId="14" borderId="27" xfId="0" applyFont="1" applyFill="1" applyBorder="1" applyAlignment="1">
      <alignment horizontal="left" vertical="center" wrapText="1"/>
    </xf>
    <xf numFmtId="0" fontId="45" fillId="14" borderId="28" xfId="0" applyFont="1" applyFill="1" applyBorder="1" applyAlignment="1">
      <alignment horizontal="left" vertical="center" wrapText="1"/>
    </xf>
    <xf numFmtId="0" fontId="45" fillId="14" borderId="0" xfId="0" applyFont="1" applyFill="1" applyAlignment="1">
      <alignment horizontal="left" vertical="center" wrapText="1"/>
    </xf>
    <xf numFmtId="0" fontId="45" fillId="14" borderId="32" xfId="0" applyFont="1" applyFill="1" applyBorder="1" applyAlignment="1">
      <alignment horizontal="left" vertical="center" wrapText="1"/>
    </xf>
    <xf numFmtId="0" fontId="45" fillId="14" borderId="33" xfId="0" applyFont="1" applyFill="1" applyBorder="1" applyAlignment="1">
      <alignment horizontal="left" vertical="center" wrapText="1"/>
    </xf>
    <xf numFmtId="0" fontId="52" fillId="18" borderId="27" xfId="0" applyFont="1" applyFill="1" applyBorder="1" applyAlignment="1">
      <alignment horizontal="center" vertical="center" wrapText="1"/>
    </xf>
    <xf numFmtId="0" fontId="52" fillId="18" borderId="30" xfId="0" applyFont="1" applyFill="1" applyBorder="1" applyAlignment="1">
      <alignment horizontal="center" vertical="center" wrapText="1"/>
    </xf>
    <xf numFmtId="0" fontId="52" fillId="18" borderId="0" xfId="0" applyFont="1" applyFill="1" applyAlignment="1">
      <alignment horizontal="center" vertical="center" wrapText="1"/>
    </xf>
    <xf numFmtId="0" fontId="52" fillId="18" borderId="31" xfId="0" applyFont="1" applyFill="1" applyBorder="1" applyAlignment="1">
      <alignment horizontal="center" vertical="center" wrapText="1"/>
    </xf>
    <xf numFmtId="0" fontId="52" fillId="18" borderId="33" xfId="0" applyFont="1" applyFill="1" applyBorder="1" applyAlignment="1">
      <alignment horizontal="center" vertical="center" wrapText="1"/>
    </xf>
    <xf numFmtId="0" fontId="52" fillId="18" borderId="34" xfId="0" applyFont="1" applyFill="1" applyBorder="1" applyAlignment="1">
      <alignment horizontal="center" vertical="center" wrapText="1"/>
    </xf>
    <xf numFmtId="0" fontId="55" fillId="4" borderId="0" xfId="0" applyFont="1" applyFill="1" applyAlignment="1">
      <alignment horizontal="center"/>
    </xf>
    <xf numFmtId="0" fontId="57" fillId="17" borderId="40" xfId="0" applyFont="1" applyFill="1" applyBorder="1" applyAlignment="1">
      <alignment horizontal="center"/>
    </xf>
    <xf numFmtId="0" fontId="57" fillId="17" borderId="42" xfId="0" applyFont="1" applyFill="1" applyBorder="1" applyAlignment="1">
      <alignment horizontal="center"/>
    </xf>
    <xf numFmtId="0" fontId="57" fillId="17" borderId="28" xfId="0" applyFont="1" applyFill="1" applyBorder="1" applyAlignment="1">
      <alignment horizontal="left" wrapText="1"/>
    </xf>
    <xf numFmtId="0" fontId="57" fillId="17" borderId="0" xfId="0" applyFont="1" applyFill="1" applyAlignment="1">
      <alignment horizontal="center" vertical="center" wrapText="1"/>
    </xf>
    <xf numFmtId="0" fontId="59" fillId="16" borderId="75" xfId="0" applyFont="1" applyFill="1" applyBorder="1" applyAlignment="1">
      <alignment horizontal="center" vertical="center" wrapText="1"/>
    </xf>
    <xf numFmtId="0" fontId="59" fillId="16" borderId="76" xfId="0" applyFont="1" applyFill="1" applyBorder="1" applyAlignment="1">
      <alignment horizontal="center" vertical="center" wrapText="1"/>
    </xf>
    <xf numFmtId="0" fontId="59" fillId="16" borderId="77" xfId="0" applyFont="1" applyFill="1" applyBorder="1" applyAlignment="1">
      <alignment horizontal="center" vertical="center" wrapText="1"/>
    </xf>
  </cellXfs>
  <cellStyles count="7">
    <cellStyle name="Calculation" xfId="5" builtinId="22"/>
    <cellStyle name="Comma" xfId="3" builtinId="3"/>
    <cellStyle name="Currency" xfId="1" builtinId="4"/>
    <cellStyle name="Input" xfId="4" builtinId="20"/>
    <cellStyle name="Normal" xfId="0" builtinId="0"/>
    <cellStyle name="Normal 10" xfId="6" xr:uid="{819529C2-B69C-594C-B3B3-622E1BAB4F69}"/>
    <cellStyle name="Percent" xfId="2" builtinId="5"/>
  </cellStyles>
  <dxfs count="2">
    <dxf>
      <font>
        <strike val="0"/>
        <condense val="0"/>
        <extend val="0"/>
        <color indexed="12"/>
      </font>
      <fill>
        <patternFill>
          <bgColor indexed="13"/>
        </patternFill>
      </fill>
      <border>
        <left style="thin">
          <color indexed="10"/>
        </left>
        <right style="thin">
          <color indexed="10"/>
        </right>
        <top style="thin">
          <color indexed="10"/>
        </top>
        <bottom style="thin">
          <color indexed="10"/>
        </bottom>
      </border>
    </dxf>
    <dxf>
      <font>
        <b/>
        <i val="0"/>
        <strike val="0"/>
        <condense val="0"/>
        <extend val="0"/>
        <color indexed="18"/>
      </font>
      <fill>
        <patternFill>
          <bgColor indexed="13"/>
        </patternFill>
      </fill>
      <border>
        <left style="thin">
          <color indexed="64"/>
        </left>
        <right style="thin">
          <color indexed="64"/>
        </right>
        <top style="thin">
          <color indexed="64"/>
        </top>
        <bottom style="thin">
          <color indexed="64"/>
        </bottom>
      </border>
    </dxf>
  </dxfs>
  <tableStyles count="0" defaultTableStyle="TableStyleMedium9" defaultPivotStyle="PivotStyleMedium4"/>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Cumulative Project Cash/Tax Benefits</a:t>
            </a:r>
          </a:p>
        </c:rich>
      </c:tx>
      <c:layout>
        <c:manualLayout>
          <c:xMode val="edge"/>
          <c:yMode val="edge"/>
          <c:x val="0.37723349033430897"/>
          <c:y val="1.2250744937075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11218736276642463"/>
          <c:y val="0.13148033650376501"/>
          <c:w val="0.86124768936956808"/>
          <c:h val="0.78448275862068895"/>
        </c:manualLayout>
      </c:layout>
      <c:lineChart>
        <c:grouping val="standard"/>
        <c:varyColors val="0"/>
        <c:ser>
          <c:idx val="0"/>
          <c:order val="0"/>
          <c:spPr>
            <a:ln w="31750" cap="rnd">
              <a:solidFill>
                <a:schemeClr val="accent6"/>
              </a:solidFill>
              <a:round/>
            </a:ln>
            <a:effectLst/>
          </c:spPr>
          <c:marker>
            <c:symbol val="none"/>
          </c:marker>
          <c:dLbls>
            <c:delete val="1"/>
          </c:dLbls>
          <c:cat>
            <c:numRef>
              <c:f>Unstructured!$C$110:$AB$110</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Unstructured!$C$88:$AB$88</c:f>
              <c:numCache>
                <c:formatCode>"$"#,##0_);\("$"#,##0\)</c:formatCode>
                <c:ptCount val="26"/>
                <c:pt idx="0">
                  <c:v>-574682.63235239836</c:v>
                </c:pt>
                <c:pt idx="1">
                  <c:v>-376870.83821030468</c:v>
                </c:pt>
                <c:pt idx="2">
                  <c:v>-323331.04355195374</c:v>
                </c:pt>
                <c:pt idx="3">
                  <c:v>-282453.98364538403</c:v>
                </c:pt>
                <c:pt idx="4">
                  <c:v>-249000.89735624311</c:v>
                </c:pt>
                <c:pt idx="5">
                  <c:v>-215117.58361607356</c:v>
                </c:pt>
                <c:pt idx="6">
                  <c:v>-186679.88012662515</c:v>
                </c:pt>
                <c:pt idx="7">
                  <c:v>-163679.08174375488</c:v>
                </c:pt>
                <c:pt idx="8">
                  <c:v>-140221.93711759796</c:v>
                </c:pt>
                <c:pt idx="9">
                  <c:v>-116299.39225906054</c:v>
                </c:pt>
                <c:pt idx="10">
                  <c:v>-91902.213548865315</c:v>
                </c:pt>
                <c:pt idx="11">
                  <c:v>-67020.984173758727</c:v>
                </c:pt>
                <c:pt idx="12">
                  <c:v>-41646.100492014724</c:v>
                </c:pt>
                <c:pt idx="13">
                  <c:v>-15767.768326832749</c:v>
                </c:pt>
                <c:pt idx="14">
                  <c:v>10624.000813800802</c:v>
                </c:pt>
                <c:pt idx="15">
                  <c:v>37539.393592246386</c:v>
                </c:pt>
                <c:pt idx="16">
                  <c:v>64988.798772828362</c:v>
                </c:pt>
                <c:pt idx="17">
                  <c:v>92982.811231452477</c:v>
                </c:pt>
                <c:pt idx="18">
                  <c:v>121532.23604477142</c:v>
                </c:pt>
                <c:pt idx="19">
                  <c:v>150648.09266047631</c:v>
                </c:pt>
                <c:pt idx="20">
                  <c:v>180341.619150324</c:v>
                </c:pt>
                <c:pt idx="21">
                  <c:v>210624.27654754117</c:v>
                </c:pt>
                <c:pt idx="22">
                  <c:v>241507.7532702795</c:v>
                </c:pt>
                <c:pt idx="23">
                  <c:v>273003.96963282872</c:v>
                </c:pt>
                <c:pt idx="24">
                  <c:v>305125.08244632906</c:v>
                </c:pt>
                <c:pt idx="25">
                  <c:v>424085.88456361776</c:v>
                </c:pt>
              </c:numCache>
            </c:numRef>
          </c:val>
          <c:smooth val="0"/>
          <c:extLst>
            <c:ext xmlns:c16="http://schemas.microsoft.com/office/drawing/2014/chart" uri="{C3380CC4-5D6E-409C-BE32-E72D297353CC}">
              <c16:uniqueId val="{00000000-4765-F144-A209-AAB54303274B}"/>
            </c:ext>
          </c:extLst>
        </c:ser>
        <c:dLbls>
          <c:dLblPos val="ctr"/>
          <c:showLegendKey val="0"/>
          <c:showVal val="1"/>
          <c:showCatName val="0"/>
          <c:showSerName val="0"/>
          <c:showPercent val="0"/>
          <c:showBubbleSize val="0"/>
        </c:dLbls>
        <c:smooth val="0"/>
        <c:axId val="-1953494984"/>
        <c:axId val="-1951841704"/>
      </c:lineChart>
      <c:catAx>
        <c:axId val="-1953494984"/>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Years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0" spcFirstLastPara="1" vertOverflow="ellipsis"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841704"/>
        <c:crosses val="autoZero"/>
        <c:auto val="1"/>
        <c:lblAlgn val="ctr"/>
        <c:lblOffset val="100"/>
        <c:noMultiLvlLbl val="0"/>
      </c:catAx>
      <c:valAx>
        <c:axId val="-195184170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0" spcFirstLastPara="1" vertOverflow="ellipsis"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3494984"/>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alignWithMargins="0"/>
    <c:pageMargins b="0.750000000000004" l="0.70000000000000095" r="0.70000000000000095" t="0.750000000000004"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Initial Capital Stack</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4EC-6D4B-80FF-663DB5A61AE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4EC-6D4B-80FF-663DB5A61AE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Unstructured!$C$133:$C$134</c:f>
              <c:strCache>
                <c:ptCount val="2"/>
                <c:pt idx="0">
                  <c:v>Equity</c:v>
                </c:pt>
                <c:pt idx="1">
                  <c:v>Debt</c:v>
                </c:pt>
              </c:strCache>
            </c:strRef>
          </c:cat>
          <c:val>
            <c:numRef>
              <c:f>Unstructured!$D$133:$D$134</c:f>
              <c:numCache>
                <c:formatCode>"$"#,##0</c:formatCode>
                <c:ptCount val="2"/>
                <c:pt idx="0">
                  <c:v>574682.63235239836</c:v>
                </c:pt>
                <c:pt idx="1">
                  <c:v>0</c:v>
                </c:pt>
              </c:numCache>
            </c:numRef>
          </c:val>
          <c:extLst>
            <c:ext xmlns:c16="http://schemas.microsoft.com/office/drawing/2014/chart" uri="{C3380CC4-5D6E-409C-BE32-E72D297353CC}">
              <c16:uniqueId val="{00000000-9A3D-5E45-B95A-9FF0E9F2E2A8}"/>
            </c:ext>
          </c:extLst>
        </c:ser>
        <c:dLbls>
          <c:showLegendKey val="0"/>
          <c:showVal val="0"/>
          <c:showCatName val="1"/>
          <c:showSerName val="0"/>
          <c:showPercent val="1"/>
          <c:showBubbleSize val="0"/>
          <c:showLeaderLines val="1"/>
        </c:dLbls>
      </c:pie3DChart>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Unstructured!$C$143</c:f>
              <c:strCache>
                <c:ptCount val="1"/>
                <c:pt idx="0">
                  <c:v>Construction Loan Costs</c:v>
                </c:pt>
              </c:strCache>
            </c:strRef>
          </c:tx>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E7C-6D44-8D07-765604E5941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E7C-6D44-8D07-765604E5941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E7C-6D44-8D07-765604E5941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Unstructured!$C$144:$C$146</c:f>
              <c:strCache>
                <c:ptCount val="3"/>
                <c:pt idx="0">
                  <c:v>Loan Principal</c:v>
                </c:pt>
                <c:pt idx="1">
                  <c:v>Interest</c:v>
                </c:pt>
                <c:pt idx="2">
                  <c:v>Fees</c:v>
                </c:pt>
              </c:strCache>
            </c:strRef>
          </c:cat>
          <c:val>
            <c:numRef>
              <c:f>Unstructured!$D$144:$D$146</c:f>
              <c:numCache>
                <c:formatCode>"$"#,##0</c:formatCode>
                <c:ptCount val="3"/>
                <c:pt idx="0">
                  <c:v>0</c:v>
                </c:pt>
                <c:pt idx="1">
                  <c:v>0</c:v>
                </c:pt>
                <c:pt idx="2">
                  <c:v>0</c:v>
                </c:pt>
              </c:numCache>
            </c:numRef>
          </c:val>
          <c:extLst>
            <c:ext xmlns:c16="http://schemas.microsoft.com/office/drawing/2014/chart" uri="{C3380CC4-5D6E-409C-BE32-E72D297353CC}">
              <c16:uniqueId val="{00000000-DBF5-714B-A164-F0F1B0ACD4CA}"/>
            </c:ext>
          </c:extLst>
        </c:ser>
        <c:dLbls>
          <c:showLegendKey val="0"/>
          <c:showVal val="0"/>
          <c:showCatName val="1"/>
          <c:showSerName val="0"/>
          <c:showPercent val="1"/>
          <c:showBubbleSize val="0"/>
          <c:showLeaderLines val="0"/>
        </c:dLbls>
      </c:pie3DChart>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Estimated PPA Price vs. Utility Price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9.7939726958590614E-2"/>
          <c:y val="0.18618388962441643"/>
          <c:w val="0.80054815989727901"/>
          <c:h val="0.70296808584767612"/>
        </c:manualLayout>
      </c:layout>
      <c:lineChart>
        <c:grouping val="standard"/>
        <c:varyColors val="0"/>
        <c:ser>
          <c:idx val="0"/>
          <c:order val="0"/>
          <c:tx>
            <c:strRef>
              <c:f>'Customer Analysis'!$B$91</c:f>
              <c:strCache>
                <c:ptCount val="1"/>
                <c:pt idx="0">
                  <c:v>Current Utility Price</c:v>
                </c:pt>
              </c:strCache>
            </c:strRef>
          </c:tx>
          <c:spPr>
            <a:ln w="31750" cap="rnd">
              <a:solidFill>
                <a:schemeClr val="accent1"/>
              </a:solidFill>
              <a:round/>
            </a:ln>
            <a:effectLst/>
          </c:spPr>
          <c:marker>
            <c:symbol val="none"/>
          </c:marker>
          <c:dLbls>
            <c:delete val="1"/>
          </c:dLbls>
          <c:val>
            <c:numRef>
              <c:f>'Customer Analysis'!$D$91:$AB$91</c:f>
              <c:numCache>
                <c:formatCode>"$"#,##0.00_);\("$"#,##0.00\)</c:formatCode>
                <c:ptCount val="25"/>
                <c:pt idx="0">
                  <c:v>7.3648296020305801E-2</c:v>
                </c:pt>
                <c:pt idx="1">
                  <c:v>7.5489503420813439E-2</c:v>
                </c:pt>
                <c:pt idx="2">
                  <c:v>7.7376741006333766E-2</c:v>
                </c:pt>
                <c:pt idx="3">
                  <c:v>7.9311159531492106E-2</c:v>
                </c:pt>
                <c:pt idx="4">
                  <c:v>8.1293938519779396E-2</c:v>
                </c:pt>
                <c:pt idx="5">
                  <c:v>8.3326286982773876E-2</c:v>
                </c:pt>
                <c:pt idx="6">
                  <c:v>8.5409444157343209E-2</c:v>
                </c:pt>
                <c:pt idx="7">
                  <c:v>8.7544680261276778E-2</c:v>
                </c:pt>
                <c:pt idx="8">
                  <c:v>8.9733297267808695E-2</c:v>
                </c:pt>
                <c:pt idx="9">
                  <c:v>9.1976629699503903E-2</c:v>
                </c:pt>
                <c:pt idx="10">
                  <c:v>9.4276045441991488E-2</c:v>
                </c:pt>
                <c:pt idx="11">
                  <c:v>9.6632946578041265E-2</c:v>
                </c:pt>
                <c:pt idx="12">
                  <c:v>9.9048770242492284E-2</c:v>
                </c:pt>
                <c:pt idx="13">
                  <c:v>0.10152498949855458</c:v>
                </c:pt>
                <c:pt idx="14">
                  <c:v>0.10406311423601844</c:v>
                </c:pt>
                <c:pt idx="15">
                  <c:v>0.10666469209191889</c:v>
                </c:pt>
                <c:pt idx="16">
                  <c:v>0.10933130939421686</c:v>
                </c:pt>
                <c:pt idx="17">
                  <c:v>0.11206459212907227</c:v>
                </c:pt>
                <c:pt idx="18">
                  <c:v>0.11486620693229907</c:v>
                </c:pt>
                <c:pt idx="19">
                  <c:v>0.11773786210560654</c:v>
                </c:pt>
                <c:pt idx="20">
                  <c:v>0.12068130865824669</c:v>
                </c:pt>
                <c:pt idx="21">
                  <c:v>0.12369834137470286</c:v>
                </c:pt>
                <c:pt idx="22">
                  <c:v>0.12679079990907041</c:v>
                </c:pt>
                <c:pt idx="23">
                  <c:v>0.12996056990679716</c:v>
                </c:pt>
                <c:pt idx="24">
                  <c:v>0.13320958415446707</c:v>
                </c:pt>
              </c:numCache>
            </c:numRef>
          </c:val>
          <c:smooth val="0"/>
          <c:extLst>
            <c:ext xmlns:c16="http://schemas.microsoft.com/office/drawing/2014/chart" uri="{C3380CC4-5D6E-409C-BE32-E72D297353CC}">
              <c16:uniqueId val="{00000000-B233-7647-B3F7-61DC3510AD9A}"/>
            </c:ext>
          </c:extLst>
        </c:ser>
        <c:ser>
          <c:idx val="1"/>
          <c:order val="1"/>
          <c:tx>
            <c:strRef>
              <c:f>'Customer Analysis'!$B$92</c:f>
              <c:strCache>
                <c:ptCount val="1"/>
                <c:pt idx="0">
                  <c:v>Est. PPA Price</c:v>
                </c:pt>
              </c:strCache>
            </c:strRef>
          </c:tx>
          <c:spPr>
            <a:ln w="31750" cap="rnd">
              <a:solidFill>
                <a:schemeClr val="accent2"/>
              </a:solidFill>
              <a:round/>
            </a:ln>
            <a:effectLst/>
          </c:spPr>
          <c:marker>
            <c:symbol val="none"/>
          </c:marker>
          <c:dLbls>
            <c:delete val="1"/>
          </c:dLbls>
          <c:val>
            <c:numRef>
              <c:f>'Customer Analysis'!$D$92:$AB$92</c:f>
              <c:numCache>
                <c:formatCode>"$"#,##0.00_);\("$"#,##0.00\)</c:formatCode>
                <c:ptCount val="25"/>
                <c:pt idx="0">
                  <c:v>7.3031580167629145E-2</c:v>
                </c:pt>
                <c:pt idx="1">
                  <c:v>7.4857369671819871E-2</c:v>
                </c:pt>
                <c:pt idx="2">
                  <c:v>7.6728803913615362E-2</c:v>
                </c:pt>
                <c:pt idx="3">
                  <c:v>7.8647024011455735E-2</c:v>
                </c:pt>
                <c:pt idx="4">
                  <c:v>8.0613199611742126E-2</c:v>
                </c:pt>
                <c:pt idx="5">
                  <c:v>8.2628529602035677E-2</c:v>
                </c:pt>
                <c:pt idx="6">
                  <c:v>8.4694242842086556E-2</c:v>
                </c:pt>
                <c:pt idx="7">
                  <c:v>8.6811598913138707E-2</c:v>
                </c:pt>
                <c:pt idx="8">
                  <c:v>8.898188888596717E-2</c:v>
                </c:pt>
                <c:pt idx="9">
                  <c:v>9.1206436108116337E-2</c:v>
                </c:pt>
                <c:pt idx="10">
                  <c:v>9.3486597010819239E-2</c:v>
                </c:pt>
                <c:pt idx="11">
                  <c:v>9.5823761936089713E-2</c:v>
                </c:pt>
                <c:pt idx="12">
                  <c:v>9.8219355984491941E-2</c:v>
                </c:pt>
                <c:pt idx="13">
                  <c:v>0.10067483988410424</c:v>
                </c:pt>
                <c:pt idx="14">
                  <c:v>0.10319171088120684</c:v>
                </c:pt>
                <c:pt idx="15">
                  <c:v>0.105771503653237</c:v>
                </c:pt>
                <c:pt idx="16">
                  <c:v>0.10841579124456791</c:v>
                </c:pt>
                <c:pt idx="17">
                  <c:v>0.1111261860256821</c:v>
                </c:pt>
                <c:pt idx="18">
                  <c:v>0.11390434067632414</c:v>
                </c:pt>
                <c:pt idx="19">
                  <c:v>0.11675194919323223</c:v>
                </c:pt>
                <c:pt idx="20">
                  <c:v>0.11967074792306302</c:v>
                </c:pt>
                <c:pt idx="21">
                  <c:v>0.12266251662113958</c:v>
                </c:pt>
                <c:pt idx="22">
                  <c:v>0.12572907953666806</c:v>
                </c:pt>
                <c:pt idx="23">
                  <c:v>0.12887230652508475</c:v>
                </c:pt>
                <c:pt idx="24">
                  <c:v>0.13209411418821185</c:v>
                </c:pt>
              </c:numCache>
            </c:numRef>
          </c:val>
          <c:smooth val="0"/>
          <c:extLst>
            <c:ext xmlns:c16="http://schemas.microsoft.com/office/drawing/2014/chart" uri="{C3380CC4-5D6E-409C-BE32-E72D297353CC}">
              <c16:uniqueId val="{00000001-B233-7647-B3F7-61DC3510AD9A}"/>
            </c:ext>
          </c:extLst>
        </c:ser>
        <c:dLbls>
          <c:dLblPos val="ctr"/>
          <c:showLegendKey val="0"/>
          <c:showVal val="1"/>
          <c:showCatName val="0"/>
          <c:showSerName val="0"/>
          <c:showPercent val="0"/>
          <c:showBubbleSize val="0"/>
        </c:dLbls>
        <c:smooth val="0"/>
        <c:axId val="-1967724328"/>
        <c:axId val="-1967711112"/>
      </c:lineChart>
      <c:catAx>
        <c:axId val="-1967724328"/>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600" b="1" i="0" u="none" strike="noStrike" kern="1200" cap="all" baseline="0">
                <a:solidFill>
                  <a:schemeClr val="dk1">
                    <a:lumMod val="75000"/>
                    <a:lumOff val="25000"/>
                  </a:schemeClr>
                </a:solidFill>
                <a:latin typeface="+mn-lt"/>
                <a:ea typeface="+mn-ea"/>
                <a:cs typeface="+mn-cs"/>
              </a:defRPr>
            </a:pPr>
            <a:endParaRPr lang="en-US"/>
          </a:p>
        </c:txPr>
        <c:crossAx val="-1967711112"/>
        <c:crosses val="autoZero"/>
        <c:auto val="1"/>
        <c:lblAlgn val="ctr"/>
        <c:lblOffset val="100"/>
        <c:noMultiLvlLbl val="0"/>
      </c:catAx>
      <c:valAx>
        <c:axId val="-196771111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_);\(&quot;$&quot;#,##0.0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67724328"/>
        <c:crosses val="autoZero"/>
        <c:crossBetween val="between"/>
      </c:valAx>
      <c:spPr>
        <a:noFill/>
        <a:ln>
          <a:noFill/>
        </a:ln>
        <a:effectLst/>
      </c:spPr>
    </c:plotArea>
    <c:legend>
      <c:legendPos val="b"/>
      <c:layout>
        <c:manualLayout>
          <c:xMode val="edge"/>
          <c:yMode val="edge"/>
          <c:x val="0.26703978549443907"/>
          <c:y val="0.70851717650337942"/>
          <c:w val="0.68519628391774767"/>
          <c:h val="0.1014113999024458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 NPV of Customer Savings - 25 Yr. PPA</a:t>
            </a:r>
          </a:p>
        </c:rich>
      </c:tx>
      <c:layout>
        <c:manualLayout>
          <c:xMode val="edge"/>
          <c:yMode val="edge"/>
          <c:x val="0.16584349883725699"/>
          <c:y val="2.777777777777780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stacked"/>
        <c:varyColors val="0"/>
        <c:ser>
          <c:idx val="0"/>
          <c:order val="0"/>
          <c:tx>
            <c:strRef>
              <c:f>'Customer Analysis'!$B$81</c:f>
              <c:strCache>
                <c:ptCount val="1"/>
                <c:pt idx="0">
                  <c:v>NPV of Customer Savings over 25 Year Term</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'Customer Analysis'!$D$81</c:f>
              <c:numCache>
                <c:formatCode>"$"#,##0_);\("$"#,##0\)</c:formatCode>
                <c:ptCount val="1"/>
                <c:pt idx="0">
                  <c:v>4743.6681167956131</c:v>
                </c:pt>
              </c:numCache>
            </c:numRef>
          </c:val>
          <c:extLst>
            <c:ext xmlns:c16="http://schemas.microsoft.com/office/drawing/2014/chart" uri="{C3380CC4-5D6E-409C-BE32-E72D297353CC}">
              <c16:uniqueId val="{00000000-EAC6-3946-801D-D0FE1859239A}"/>
            </c:ext>
          </c:extLst>
        </c:ser>
        <c:dLbls>
          <c:dLblPos val="ctr"/>
          <c:showLegendKey val="0"/>
          <c:showVal val="1"/>
          <c:showCatName val="0"/>
          <c:showSerName val="0"/>
          <c:showPercent val="0"/>
          <c:showBubbleSize val="0"/>
        </c:dLbls>
        <c:gapWidth val="150"/>
        <c:overlap val="100"/>
        <c:axId val="-1952558792"/>
        <c:axId val="-1952555800"/>
      </c:barChart>
      <c:catAx>
        <c:axId val="-1952558792"/>
        <c:scaling>
          <c:orientation val="minMax"/>
        </c:scaling>
        <c:delete val="1"/>
        <c:axPos val="b"/>
        <c:majorTickMark val="none"/>
        <c:minorTickMark val="none"/>
        <c:tickLblPos val="nextTo"/>
        <c:crossAx val="-1952555800"/>
        <c:crosses val="autoZero"/>
        <c:auto val="1"/>
        <c:lblAlgn val="ctr"/>
        <c:lblOffset val="100"/>
        <c:noMultiLvlLbl val="0"/>
      </c:catAx>
      <c:valAx>
        <c:axId val="-19525558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255879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 Annual Customer Savings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stacked"/>
        <c:varyColors val="0"/>
        <c:ser>
          <c:idx val="0"/>
          <c:order val="0"/>
          <c:tx>
            <c:strRef>
              <c:f>'Customer Analysis'!$B$80</c:f>
              <c:strCache>
                <c:ptCount val="1"/>
                <c:pt idx="0">
                  <c:v>Customer Savings</c:v>
                </c:pt>
              </c:strCache>
            </c:strRef>
          </c:tx>
          <c:spPr>
            <a:solidFill>
              <a:schemeClr val="accent1">
                <a:alpha val="85000"/>
              </a:schemeClr>
            </a:solidFill>
            <a:ln w="9525" cap="flat" cmpd="sng" algn="ctr">
              <a:solidFill>
                <a:schemeClr val="lt1">
                  <a:alpha val="50000"/>
                </a:schemeClr>
              </a:solidFill>
              <a:round/>
            </a:ln>
            <a:effectLst/>
          </c:spPr>
          <c:invertIfNegative val="0"/>
          <c:dLbls>
            <c:delete val="1"/>
          </c:dLbls>
          <c:val>
            <c:numRef>
              <c:f>'Customer Analysis'!$D$80:$AB$80</c:f>
              <c:numCache>
                <c:formatCode>"$"#,##0_);\("$"#,##0\)</c:formatCode>
                <c:ptCount val="25"/>
                <c:pt idx="0">
                  <c:v>307.53993293280655</c:v>
                </c:pt>
                <c:pt idx="1">
                  <c:v>313.65228909985308</c:v>
                </c:pt>
                <c:pt idx="2">
                  <c:v>319.88612834570813</c:v>
                </c:pt>
                <c:pt idx="3">
                  <c:v>326.24386514658545</c:v>
                </c:pt>
                <c:pt idx="4">
                  <c:v>332.72796196636773</c:v>
                </c:pt>
                <c:pt idx="5">
                  <c:v>339.34093021044828</c:v>
                </c:pt>
                <c:pt idx="6">
                  <c:v>346.08533119838103</c:v>
                </c:pt>
                <c:pt idx="7">
                  <c:v>352.96377715594281</c:v>
                </c:pt>
                <c:pt idx="8">
                  <c:v>359.97893222692801</c:v>
                </c:pt>
                <c:pt idx="9">
                  <c:v>367.13351350493758</c:v>
                </c:pt>
                <c:pt idx="10">
                  <c:v>374.43029208583903</c:v>
                </c:pt>
                <c:pt idx="11">
                  <c:v>381.87209414104291</c:v>
                </c:pt>
                <c:pt idx="12">
                  <c:v>389.46180201209791</c:v>
                </c:pt>
                <c:pt idx="13">
                  <c:v>397.20235532708466</c:v>
                </c:pt>
                <c:pt idx="14">
                  <c:v>405.09675213921582</c:v>
                </c:pt>
                <c:pt idx="15">
                  <c:v>413.1480500879843</c:v>
                </c:pt>
                <c:pt idx="16">
                  <c:v>421.35936758348544</c:v>
                </c:pt>
                <c:pt idx="17">
                  <c:v>429.73388501420413</c:v>
                </c:pt>
                <c:pt idx="18">
                  <c:v>438.27484597885632</c:v>
                </c:pt>
                <c:pt idx="19">
                  <c:v>446.98555854269944</c:v>
                </c:pt>
                <c:pt idx="20">
                  <c:v>455.86939651873399</c:v>
                </c:pt>
                <c:pt idx="21">
                  <c:v>464.92980077455286</c:v>
                </c:pt>
                <c:pt idx="22">
                  <c:v>474.17028056494019</c:v>
                </c:pt>
                <c:pt idx="23">
                  <c:v>483.59441489117307</c:v>
                </c:pt>
                <c:pt idx="24">
                  <c:v>493.20585388712789</c:v>
                </c:pt>
              </c:numCache>
            </c:numRef>
          </c:val>
          <c:extLst>
            <c:ext xmlns:c16="http://schemas.microsoft.com/office/drawing/2014/chart" uri="{C3380CC4-5D6E-409C-BE32-E72D297353CC}">
              <c16:uniqueId val="{00000000-6A97-1F47-91EC-E32DA55195C8}"/>
            </c:ext>
          </c:extLst>
        </c:ser>
        <c:dLbls>
          <c:dLblPos val="ctr"/>
          <c:showLegendKey val="0"/>
          <c:showVal val="1"/>
          <c:showCatName val="0"/>
          <c:showSerName val="0"/>
          <c:showPercent val="0"/>
          <c:showBubbleSize val="0"/>
        </c:dLbls>
        <c:gapWidth val="150"/>
        <c:overlap val="100"/>
        <c:axId val="-1968000072"/>
        <c:axId val="-1967997080"/>
      </c:barChart>
      <c:catAx>
        <c:axId val="-1968000072"/>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67997080"/>
        <c:crosses val="autoZero"/>
        <c:auto val="1"/>
        <c:lblAlgn val="ctr"/>
        <c:lblOffset val="100"/>
        <c:noMultiLvlLbl val="0"/>
      </c:catAx>
      <c:valAx>
        <c:axId val="-1967997080"/>
        <c:scaling>
          <c:orientation val="minMax"/>
          <c:min val="0"/>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6800007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Utility Purchases &amp; Solar Purchases (kWh)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'Customer Analysis'!$B$94</c:f>
              <c:strCache>
                <c:ptCount val="1"/>
                <c:pt idx="0">
                  <c:v>Utility Purchases</c:v>
                </c:pt>
              </c:strCache>
            </c:strRef>
          </c:tx>
          <c:spPr>
            <a:ln w="31750" cap="rnd">
              <a:solidFill>
                <a:schemeClr val="accent1"/>
              </a:solidFill>
              <a:round/>
            </a:ln>
            <a:effectLst/>
          </c:spPr>
          <c:marker>
            <c:symbol val="none"/>
          </c:marker>
          <c:dLbls>
            <c:delete val="1"/>
          </c:dLbls>
          <c:val>
            <c:numRef>
              <c:f>'Customer Analysis'!$D$94:$AB$94</c:f>
              <c:numCache>
                <c:formatCode>#,##0.0_);\(#,##0.0\)</c:formatCode>
                <c:ptCount val="25"/>
                <c:pt idx="0">
                  <c:v>3236359.8613524409</c:v>
                </c:pt>
                <c:pt idx="1">
                  <c:v>3238853.2295024409</c:v>
                </c:pt>
                <c:pt idx="2">
                  <c:v>3241334.1308116913</c:v>
                </c:pt>
                <c:pt idx="3">
                  <c:v>3243802.6276143948</c:v>
                </c:pt>
                <c:pt idx="4">
                  <c:v>3246258.7819330851</c:v>
                </c:pt>
                <c:pt idx="5">
                  <c:v>3248702.6554801818</c:v>
                </c:pt>
                <c:pt idx="6">
                  <c:v>3251134.309659543</c:v>
                </c:pt>
                <c:pt idx="7">
                  <c:v>3253553.8055680078</c:v>
                </c:pt>
                <c:pt idx="8">
                  <c:v>3255961.2039969298</c:v>
                </c:pt>
                <c:pt idx="9">
                  <c:v>3258356.5654337076</c:v>
                </c:pt>
                <c:pt idx="10">
                  <c:v>3260739.9500633013</c:v>
                </c:pt>
                <c:pt idx="11">
                  <c:v>3263111.4177697469</c:v>
                </c:pt>
                <c:pt idx="12">
                  <c:v>3265471.0281376601</c:v>
                </c:pt>
                <c:pt idx="13">
                  <c:v>3267818.8404537342</c:v>
                </c:pt>
                <c:pt idx="14">
                  <c:v>3270154.9137082277</c:v>
                </c:pt>
                <c:pt idx="15">
                  <c:v>3272479.3065964486</c:v>
                </c:pt>
                <c:pt idx="16">
                  <c:v>3274792.0775202289</c:v>
                </c:pt>
                <c:pt idx="17">
                  <c:v>3277093.2845893898</c:v>
                </c:pt>
                <c:pt idx="18">
                  <c:v>3279382.9856232051</c:v>
                </c:pt>
                <c:pt idx="19">
                  <c:v>3281661.2381518511</c:v>
                </c:pt>
                <c:pt idx="20">
                  <c:v>3283928.0994178541</c:v>
                </c:pt>
                <c:pt idx="21">
                  <c:v>3286183.6263775271</c:v>
                </c:pt>
                <c:pt idx="22">
                  <c:v>3288427.8757024016</c:v>
                </c:pt>
                <c:pt idx="23">
                  <c:v>3290660.9037806517</c:v>
                </c:pt>
                <c:pt idx="24">
                  <c:v>3292882.766718511</c:v>
                </c:pt>
              </c:numCache>
            </c:numRef>
          </c:val>
          <c:smooth val="0"/>
          <c:extLst>
            <c:ext xmlns:c16="http://schemas.microsoft.com/office/drawing/2014/chart" uri="{C3380CC4-5D6E-409C-BE32-E72D297353CC}">
              <c16:uniqueId val="{00000000-59A0-AE41-A6E8-C95419CDB28A}"/>
            </c:ext>
          </c:extLst>
        </c:ser>
        <c:ser>
          <c:idx val="1"/>
          <c:order val="1"/>
          <c:tx>
            <c:strRef>
              <c:f>'Customer Analysis'!$B$95</c:f>
              <c:strCache>
                <c:ptCount val="1"/>
                <c:pt idx="0">
                  <c:v>Solar Purchases</c:v>
                </c:pt>
              </c:strCache>
            </c:strRef>
          </c:tx>
          <c:spPr>
            <a:ln w="31750" cap="rnd">
              <a:solidFill>
                <a:schemeClr val="accent2"/>
              </a:solidFill>
              <a:round/>
            </a:ln>
            <a:effectLst/>
          </c:spPr>
          <c:marker>
            <c:symbol val="none"/>
          </c:marker>
          <c:dLbls>
            <c:delete val="1"/>
          </c:dLbls>
          <c:val>
            <c:numRef>
              <c:f>'Customer Analysis'!$D$95:$AB$95</c:f>
              <c:numCache>
                <c:formatCode>#,##0.0_);\(#,##0.0\)</c:formatCode>
                <c:ptCount val="25"/>
                <c:pt idx="0">
                  <c:v>498673.62999999925</c:v>
                </c:pt>
                <c:pt idx="1">
                  <c:v>496180.26184999925</c:v>
                </c:pt>
                <c:pt idx="2">
                  <c:v>493699.36054074927</c:v>
                </c:pt>
                <c:pt idx="3">
                  <c:v>491230.8637380455</c:v>
                </c:pt>
                <c:pt idx="4">
                  <c:v>488774.70941935526</c:v>
                </c:pt>
                <c:pt idx="5">
                  <c:v>486330.83587225847</c:v>
                </c:pt>
                <c:pt idx="6">
                  <c:v>483899.18169289717</c:v>
                </c:pt>
                <c:pt idx="7">
                  <c:v>481479.68578443269</c:v>
                </c:pt>
                <c:pt idx="8">
                  <c:v>479072.28735551052</c:v>
                </c:pt>
                <c:pt idx="9">
                  <c:v>476676.92591873294</c:v>
                </c:pt>
                <c:pt idx="10">
                  <c:v>474293.54128913931</c:v>
                </c:pt>
                <c:pt idx="11">
                  <c:v>471922.07358269359</c:v>
                </c:pt>
                <c:pt idx="12">
                  <c:v>469562.46321478009</c:v>
                </c:pt>
                <c:pt idx="13">
                  <c:v>467214.65089870617</c:v>
                </c:pt>
                <c:pt idx="14">
                  <c:v>464878.57764421264</c:v>
                </c:pt>
                <c:pt idx="15">
                  <c:v>462554.18475599156</c:v>
                </c:pt>
                <c:pt idx="16">
                  <c:v>460241.41383221158</c:v>
                </c:pt>
                <c:pt idx="17">
                  <c:v>457940.20676305052</c:v>
                </c:pt>
                <c:pt idx="18">
                  <c:v>455650.50572923524</c:v>
                </c:pt>
                <c:pt idx="19">
                  <c:v>453372.25320058904</c:v>
                </c:pt>
                <c:pt idx="20">
                  <c:v>451105.39193458611</c:v>
                </c:pt>
                <c:pt idx="21">
                  <c:v>448849.86497491319</c:v>
                </c:pt>
                <c:pt idx="22">
                  <c:v>446605.61565003864</c:v>
                </c:pt>
                <c:pt idx="23">
                  <c:v>444372.58757178846</c:v>
                </c:pt>
                <c:pt idx="24">
                  <c:v>442150.72463392949</c:v>
                </c:pt>
              </c:numCache>
            </c:numRef>
          </c:val>
          <c:smooth val="0"/>
          <c:extLst>
            <c:ext xmlns:c16="http://schemas.microsoft.com/office/drawing/2014/chart" uri="{C3380CC4-5D6E-409C-BE32-E72D297353CC}">
              <c16:uniqueId val="{00000001-59A0-AE41-A6E8-C95419CDB28A}"/>
            </c:ext>
          </c:extLst>
        </c:ser>
        <c:dLbls>
          <c:dLblPos val="ctr"/>
          <c:showLegendKey val="0"/>
          <c:showVal val="1"/>
          <c:showCatName val="0"/>
          <c:showSerName val="0"/>
          <c:showPercent val="0"/>
          <c:showBubbleSize val="0"/>
        </c:dLbls>
        <c:smooth val="0"/>
        <c:axId val="-1952524552"/>
        <c:axId val="-1952521576"/>
      </c:lineChart>
      <c:catAx>
        <c:axId val="-1952524552"/>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2521576"/>
        <c:crosses val="autoZero"/>
        <c:auto val="1"/>
        <c:lblAlgn val="ctr"/>
        <c:lblOffset val="100"/>
        <c:noMultiLvlLbl val="0"/>
      </c:catAx>
      <c:valAx>
        <c:axId val="-195252157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_);\(#,##0.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252455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Solar Fraction - 1st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746-804B-9A0D-0B6373F2808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0-7409-3E44-83C4-3EE5B2427798}"/>
              </c:ext>
            </c:extLst>
          </c:dPt>
          <c:dLbls>
            <c:dLbl>
              <c:idx val="1"/>
              <c:layout>
                <c:manualLayout>
                  <c:x val="2.1031797254851291E-2"/>
                  <c:y val="8.286719160104984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7409-3E44-83C4-3EE5B2427798}"/>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'Customer Analysis'!$B$94:$B$95</c:f>
              <c:strCache>
                <c:ptCount val="2"/>
                <c:pt idx="0">
                  <c:v>Utility Purchases</c:v>
                </c:pt>
                <c:pt idx="1">
                  <c:v>Solar Purchases</c:v>
                </c:pt>
              </c:strCache>
            </c:strRef>
          </c:cat>
          <c:val>
            <c:numRef>
              <c:f>'Customer Analysis'!$D$94:$D$95</c:f>
              <c:numCache>
                <c:formatCode>#,##0.0_);\(#,##0.0\)</c:formatCode>
                <c:ptCount val="2"/>
                <c:pt idx="0">
                  <c:v>3236359.8613524409</c:v>
                </c:pt>
                <c:pt idx="1">
                  <c:v>498673.62999999925</c:v>
                </c:pt>
              </c:numCache>
            </c:numRef>
          </c:val>
          <c:extLst>
            <c:ext xmlns:c16="http://schemas.microsoft.com/office/drawing/2014/chart" uri="{C3380CC4-5D6E-409C-BE32-E72D297353CC}">
              <c16:uniqueId val="{00000000-0A98-924B-AB78-B16BE6768B48}"/>
            </c:ext>
          </c:extLst>
        </c:ser>
        <c:dLbls>
          <c:dLblPos val="ctr"/>
          <c:showLegendKey val="0"/>
          <c:showVal val="0"/>
          <c:showCatName val="1"/>
          <c:showSerName val="0"/>
          <c:showPercent val="1"/>
          <c:showBubbleSize val="0"/>
          <c:showLeaderLines val="0"/>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Source of Investor Return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271"/>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8CB-2C46-B888-709A591BC87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25FB-2645-8D86-8B77F015A2F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5FB-2645-8D86-8B77F015A2F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0-25FB-2645-8D86-8B77F015A2F4}"/>
              </c:ext>
            </c:extLst>
          </c:dPt>
          <c:dLbls>
            <c:dLbl>
              <c:idx val="1"/>
              <c:layout>
                <c:manualLayout>
                  <c:x val="8.0064760926623374E-2"/>
                  <c:y val="-0.2049852139523284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5FB-2645-8D86-8B77F015A2F4}"/>
                </c:ext>
              </c:extLst>
            </c:dLbl>
            <c:dLbl>
              <c:idx val="2"/>
              <c:layout>
                <c:manualLayout>
                  <c:x val="0.13500627638936433"/>
                  <c:y val="-7.769373285352905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5FB-2645-8D86-8B77F015A2F4}"/>
                </c:ext>
              </c:extLst>
            </c:dLbl>
            <c:dLbl>
              <c:idx val="3"/>
              <c:layout>
                <c:manualLayout>
                  <c:x val="7.452099737532808E-2"/>
                  <c:y val="-0.2034250187052410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25FB-2645-8D86-8B77F015A2F4}"/>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Unstructured!$C$137:$C$140</c:f>
              <c:strCache>
                <c:ptCount val="4"/>
                <c:pt idx="0">
                  <c:v>Cash</c:v>
                </c:pt>
                <c:pt idx="1">
                  <c:v>Federal ITC</c:v>
                </c:pt>
                <c:pt idx="2">
                  <c:v>Net Fed. Dep.</c:v>
                </c:pt>
                <c:pt idx="3">
                  <c:v>Net State Dep.</c:v>
                </c:pt>
              </c:strCache>
            </c:strRef>
          </c:cat>
          <c:val>
            <c:numRef>
              <c:f>Unstructured!$D$137:$D$140</c:f>
              <c:numCache>
                <c:formatCode>0.00%</c:formatCode>
                <c:ptCount val="4"/>
                <c:pt idx="0">
                  <c:v>0.6312925282223818</c:v>
                </c:pt>
                <c:pt idx="1">
                  <c:v>0.26759298902819678</c:v>
                </c:pt>
                <c:pt idx="2">
                  <c:v>9.2422378138753161E-2</c:v>
                </c:pt>
                <c:pt idx="3">
                  <c:v>8.6921046106684524E-3</c:v>
                </c:pt>
              </c:numCache>
            </c:numRef>
          </c:val>
          <c:extLst>
            <c:ext xmlns:c16="http://schemas.microsoft.com/office/drawing/2014/chart" uri="{C3380CC4-5D6E-409C-BE32-E72D297353CC}">
              <c16:uniqueId val="{00000001-732C-BF48-B371-0DBA2837696D}"/>
            </c:ext>
          </c:extLst>
        </c:ser>
        <c:dLbls>
          <c:dLblPos val="ctr"/>
          <c:showLegendKey val="0"/>
          <c:showVal val="0"/>
          <c:showCatName val="1"/>
          <c:showSerName val="0"/>
          <c:showPercent val="1"/>
          <c:showBubbleSize val="0"/>
          <c:showLeaderLines val="1"/>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Operating Cash vs. Debt Payments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Unstructured!$C$159</c:f>
              <c:strCache>
                <c:ptCount val="1"/>
                <c:pt idx="0">
                  <c:v>Operating Cash</c:v>
                </c:pt>
              </c:strCache>
            </c:strRef>
          </c:tx>
          <c:spPr>
            <a:ln w="31750" cap="rnd">
              <a:solidFill>
                <a:schemeClr val="accent1"/>
              </a:solidFill>
              <a:round/>
            </a:ln>
            <a:effectLst/>
          </c:spPr>
          <c:marker>
            <c:symbol val="none"/>
          </c:marker>
          <c:dLbls>
            <c:delete val="1"/>
          </c:dLbls>
          <c:val>
            <c:numRef>
              <c:f>Unstructured!$D$159:$AB$159</c:f>
              <c:numCache>
                <c:formatCode>"$"#,##0_);\("$"#,##0\)</c:formatCode>
                <c:ptCount val="25"/>
                <c:pt idx="0">
                  <c:v>26541.028563749642</c:v>
                </c:pt>
                <c:pt idx="1">
                  <c:v>27067.615435204178</c:v>
                </c:pt>
                <c:pt idx="2">
                  <c:v>27604.649899303848</c:v>
                </c:pt>
                <c:pt idx="3">
                  <c:v>28152.339235524014</c:v>
                </c:pt>
                <c:pt idx="4">
                  <c:v>28710.894835690982</c:v>
                </c:pt>
                <c:pt idx="5">
                  <c:v>28437.703489448402</c:v>
                </c:pt>
                <c:pt idx="6">
                  <c:v>23000.798382870264</c:v>
                </c:pt>
                <c:pt idx="7">
                  <c:v>23457.144626156911</c:v>
                </c:pt>
                <c:pt idx="8">
                  <c:v>23922.544858537425</c:v>
                </c:pt>
                <c:pt idx="9">
                  <c:v>24397.178710195214</c:v>
                </c:pt>
                <c:pt idx="10">
                  <c:v>24881.229375106588</c:v>
                </c:pt>
                <c:pt idx="11">
                  <c:v>25374.883681744006</c:v>
                </c:pt>
                <c:pt idx="12">
                  <c:v>25878.332165181975</c:v>
                </c:pt>
                <c:pt idx="13">
                  <c:v>26391.769140633551</c:v>
                </c:pt>
                <c:pt idx="14">
                  <c:v>26915.392778445585</c:v>
                </c:pt>
                <c:pt idx="15">
                  <c:v>27449.40518058198</c:v>
                </c:pt>
                <c:pt idx="16">
                  <c:v>27994.012458624122</c:v>
                </c:pt>
                <c:pt idx="17">
                  <c:v>28549.424813318932</c:v>
                </c:pt>
                <c:pt idx="18">
                  <c:v>29115.856615704892</c:v>
                </c:pt>
                <c:pt idx="19">
                  <c:v>29693.526489847682</c:v>
                </c:pt>
                <c:pt idx="20">
                  <c:v>30282.657397217179</c:v>
                </c:pt>
                <c:pt idx="21">
                  <c:v>30883.476722738327</c:v>
                </c:pt>
                <c:pt idx="22">
                  <c:v>31496.216362549239</c:v>
                </c:pt>
                <c:pt idx="23">
                  <c:v>32121.112813500313</c:v>
                </c:pt>
                <c:pt idx="24">
                  <c:v>118960.80211728869</c:v>
                </c:pt>
              </c:numCache>
            </c:numRef>
          </c:val>
          <c:smooth val="0"/>
          <c:extLst>
            <c:ext xmlns:c16="http://schemas.microsoft.com/office/drawing/2014/chart" uri="{C3380CC4-5D6E-409C-BE32-E72D297353CC}">
              <c16:uniqueId val="{00000000-EA05-EA48-8DFA-4424D63DB35B}"/>
            </c:ext>
          </c:extLst>
        </c:ser>
        <c:ser>
          <c:idx val="1"/>
          <c:order val="1"/>
          <c:tx>
            <c:strRef>
              <c:f>Unstructured!$C$160</c:f>
              <c:strCache>
                <c:ptCount val="1"/>
                <c:pt idx="0">
                  <c:v>Debt Interest</c:v>
                </c:pt>
              </c:strCache>
            </c:strRef>
          </c:tx>
          <c:spPr>
            <a:ln w="31750" cap="rnd">
              <a:solidFill>
                <a:schemeClr val="accent2"/>
              </a:solidFill>
              <a:round/>
            </a:ln>
            <a:effectLst/>
          </c:spPr>
          <c:marker>
            <c:symbol val="none"/>
          </c:marker>
          <c:dLbls>
            <c:delete val="1"/>
          </c:dLbls>
          <c:val>
            <c:numRef>
              <c:f>Unstructured!$D$160:$AB$160</c:f>
              <c:numCache>
                <c:formatCode>"$"#,##0_);\("$"#,##0\)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EA05-EA48-8DFA-4424D63DB35B}"/>
            </c:ext>
          </c:extLst>
        </c:ser>
        <c:ser>
          <c:idx val="2"/>
          <c:order val="2"/>
          <c:tx>
            <c:strRef>
              <c:f>Unstructured!$C$161</c:f>
              <c:strCache>
                <c:ptCount val="1"/>
                <c:pt idx="0">
                  <c:v>Debt Principle</c:v>
                </c:pt>
              </c:strCache>
            </c:strRef>
          </c:tx>
          <c:spPr>
            <a:ln w="31750" cap="rnd">
              <a:solidFill>
                <a:schemeClr val="accent3"/>
              </a:solidFill>
              <a:round/>
            </a:ln>
            <a:effectLst/>
          </c:spPr>
          <c:marker>
            <c:symbol val="none"/>
          </c:marker>
          <c:dLbls>
            <c:delete val="1"/>
          </c:dLbls>
          <c:val>
            <c:numRef>
              <c:f>Unstructured!$D$161:$AB$161</c:f>
              <c:numCache>
                <c:formatCode>"$"#,##0_);\("$"#,##0\)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2-EA05-EA48-8DFA-4424D63DB35B}"/>
            </c:ext>
          </c:extLst>
        </c:ser>
        <c:dLbls>
          <c:dLblPos val="ctr"/>
          <c:showLegendKey val="0"/>
          <c:showVal val="1"/>
          <c:showCatName val="0"/>
          <c:showSerName val="0"/>
          <c:showPercent val="0"/>
          <c:showBubbleSize val="0"/>
        </c:dLbls>
        <c:smooth val="0"/>
        <c:axId val="-1951589416"/>
        <c:axId val="-1951586440"/>
      </c:lineChart>
      <c:catAx>
        <c:axId val="-1951589416"/>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586440"/>
        <c:crosses val="autoZero"/>
        <c:auto val="1"/>
        <c:lblAlgn val="ctr"/>
        <c:lblOffset val="100"/>
        <c:noMultiLvlLbl val="0"/>
      </c:catAx>
      <c:valAx>
        <c:axId val="-195158644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1589416"/>
        <c:crosses val="autoZero"/>
        <c:crossBetween val="between"/>
      </c:valAx>
      <c:spPr>
        <a:noFill/>
        <a:ln>
          <a:noFill/>
        </a:ln>
        <a:effectLst/>
      </c:spPr>
    </c:plotArea>
    <c:legend>
      <c:legendPos val="b"/>
      <c:layout>
        <c:manualLayout>
          <c:xMode val="edge"/>
          <c:yMode val="edge"/>
          <c:x val="0.4200279532680683"/>
          <c:y val="0.55137661817696515"/>
          <c:w val="0.44047139713857159"/>
          <c:h val="9.7114306686240492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Cash &amp; Tax Investor Returns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'Partnership Flip'!$B$97</c:f>
              <c:strCache>
                <c:ptCount val="1"/>
                <c:pt idx="0">
                  <c:v>Tax Equity Partner</c:v>
                </c:pt>
              </c:strCache>
            </c:strRef>
          </c:tx>
          <c:spPr>
            <a:ln w="31750" cap="rnd">
              <a:solidFill>
                <a:schemeClr val="accent1"/>
              </a:solidFill>
              <a:round/>
            </a:ln>
            <a:effectLst/>
          </c:spPr>
          <c:marker>
            <c:symbol val="none"/>
          </c:marker>
          <c:dLbls>
            <c:delete val="1"/>
          </c:dLbls>
          <c:cat>
            <c:numRef>
              <c:f>'Partnership Flip'!$C$96:$AB$96</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Flip'!$C$97:$AB$97</c:f>
              <c:numCache>
                <c:formatCode>_-"$"* #,##0_-;\-"$"* #,##0_-;_-"$"* "-"_-;_-@_-</c:formatCode>
                <c:ptCount val="26"/>
                <c:pt idx="0">
                  <c:v>-258837.05761152023</c:v>
                </c:pt>
                <c:pt idx="1">
                  <c:v>180348.0463621511</c:v>
                </c:pt>
                <c:pt idx="2">
                  <c:v>37049.577970779777</c:v>
                </c:pt>
                <c:pt idx="3">
                  <c:v>24034.972859003588</c:v>
                </c:pt>
                <c:pt idx="4">
                  <c:v>16197.24777917692</c:v>
                </c:pt>
                <c:pt idx="5">
                  <c:v>16125.499915946475</c:v>
                </c:pt>
                <c:pt idx="6">
                  <c:v>1421.8851744724202</c:v>
                </c:pt>
                <c:pt idx="7">
                  <c:v>1150.0399191435133</c:v>
                </c:pt>
                <c:pt idx="8">
                  <c:v>1172.8572313078455</c:v>
                </c:pt>
                <c:pt idx="9">
                  <c:v>1196.1272429268713</c:v>
                </c:pt>
                <c:pt idx="10">
                  <c:v>1219.8589355097608</c:v>
                </c:pt>
                <c:pt idx="11">
                  <c:v>1244.0614687553295</c:v>
                </c:pt>
                <c:pt idx="12">
                  <c:v>1268.7441840872004</c:v>
                </c:pt>
                <c:pt idx="13">
                  <c:v>1293.9166082590989</c:v>
                </c:pt>
                <c:pt idx="14">
                  <c:v>1319.5884570316775</c:v>
                </c:pt>
                <c:pt idx="15">
                  <c:v>1345.7696389222792</c:v>
                </c:pt>
                <c:pt idx="16">
                  <c:v>1372.470259029099</c:v>
                </c:pt>
                <c:pt idx="17">
                  <c:v>1399.7006229312062</c:v>
                </c:pt>
                <c:pt idx="18">
                  <c:v>1427.4712406659467</c:v>
                </c:pt>
                <c:pt idx="19">
                  <c:v>1455.7928307852446</c:v>
                </c:pt>
                <c:pt idx="20">
                  <c:v>1484.6763244923841</c:v>
                </c:pt>
                <c:pt idx="21">
                  <c:v>1514.132869860859</c:v>
                </c:pt>
                <c:pt idx="22">
                  <c:v>1544.1738361369164</c:v>
                </c:pt>
                <c:pt idx="23">
                  <c:v>1574.810818127462</c:v>
                </c:pt>
                <c:pt idx="24">
                  <c:v>1606.0556406750156</c:v>
                </c:pt>
                <c:pt idx="25">
                  <c:v>5948.0401058644347</c:v>
                </c:pt>
              </c:numCache>
            </c:numRef>
          </c:val>
          <c:smooth val="0"/>
          <c:extLst>
            <c:ext xmlns:c16="http://schemas.microsoft.com/office/drawing/2014/chart" uri="{C3380CC4-5D6E-409C-BE32-E72D297353CC}">
              <c16:uniqueId val="{00000000-542F-9E42-88B5-8DA867A34D01}"/>
            </c:ext>
          </c:extLst>
        </c:ser>
        <c:ser>
          <c:idx val="1"/>
          <c:order val="1"/>
          <c:tx>
            <c:strRef>
              <c:f>'Partnership Flip'!$B$98</c:f>
              <c:strCache>
                <c:ptCount val="1"/>
                <c:pt idx="0">
                  <c:v>Developer/Sponsor</c:v>
                </c:pt>
              </c:strCache>
            </c:strRef>
          </c:tx>
          <c:spPr>
            <a:ln w="31750" cap="rnd">
              <a:solidFill>
                <a:schemeClr val="accent2"/>
              </a:solidFill>
              <a:round/>
            </a:ln>
            <a:effectLst/>
          </c:spPr>
          <c:marker>
            <c:symbol val="none"/>
          </c:marker>
          <c:dLbls>
            <c:delete val="1"/>
          </c:dLbls>
          <c:cat>
            <c:numRef>
              <c:f>'Partnership Flip'!$C$96:$AB$96</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Flip'!$C$98:$AB$98</c:f>
              <c:numCache>
                <c:formatCode>_-"$"* #,##0_-;\-"$"* #,##0_-;_-"$"* "-"_-;_-@_-</c:formatCode>
                <c:ptCount val="26"/>
                <c:pt idx="0">
                  <c:v>-315845.57474087813</c:v>
                </c:pt>
                <c:pt idx="1">
                  <c:v>17463.747779942591</c:v>
                </c:pt>
                <c:pt idx="2">
                  <c:v>16490.216687571141</c:v>
                </c:pt>
                <c:pt idx="3">
                  <c:v>16842.087047566136</c:v>
                </c:pt>
                <c:pt idx="4">
                  <c:v>17255.838509964015</c:v>
                </c:pt>
                <c:pt idx="5">
                  <c:v>17757.813824223071</c:v>
                </c:pt>
                <c:pt idx="6">
                  <c:v>27015.818314975983</c:v>
                </c:pt>
                <c:pt idx="7">
                  <c:v>21850.75846372675</c:v>
                </c:pt>
                <c:pt idx="8">
                  <c:v>22284.287394849067</c:v>
                </c:pt>
                <c:pt idx="9">
                  <c:v>22726.417615610553</c:v>
                </c:pt>
                <c:pt idx="10">
                  <c:v>23177.319774685453</c:v>
                </c:pt>
                <c:pt idx="11">
                  <c:v>23637.16790635126</c:v>
                </c:pt>
                <c:pt idx="12">
                  <c:v>24106.139497656804</c:v>
                </c:pt>
                <c:pt idx="13">
                  <c:v>24584.415556922875</c:v>
                </c:pt>
                <c:pt idx="14">
                  <c:v>25072.180683601873</c:v>
                </c:pt>
                <c:pt idx="15">
                  <c:v>25569.623139523304</c:v>
                </c:pt>
                <c:pt idx="16">
                  <c:v>26076.934921552882</c:v>
                </c:pt>
                <c:pt idx="17">
                  <c:v>26594.311835692915</c:v>
                </c:pt>
                <c:pt idx="18">
                  <c:v>27121.953572652987</c:v>
                </c:pt>
                <c:pt idx="19">
                  <c:v>27660.063784919646</c:v>
                </c:pt>
                <c:pt idx="20">
                  <c:v>28208.850165355296</c:v>
                </c:pt>
                <c:pt idx="21">
                  <c:v>28768.52452735632</c:v>
                </c:pt>
                <c:pt idx="22">
                  <c:v>29339.30288660141</c:v>
                </c:pt>
                <c:pt idx="23">
                  <c:v>29921.405544421777</c:v>
                </c:pt>
                <c:pt idx="24">
                  <c:v>30515.057172825298</c:v>
                </c:pt>
                <c:pt idx="25">
                  <c:v>113012.76201142426</c:v>
                </c:pt>
              </c:numCache>
            </c:numRef>
          </c:val>
          <c:smooth val="0"/>
          <c:extLst>
            <c:ext xmlns:c16="http://schemas.microsoft.com/office/drawing/2014/chart" uri="{C3380CC4-5D6E-409C-BE32-E72D297353CC}">
              <c16:uniqueId val="{00000001-542F-9E42-88B5-8DA867A34D01}"/>
            </c:ext>
          </c:extLst>
        </c:ser>
        <c:dLbls>
          <c:dLblPos val="ctr"/>
          <c:showLegendKey val="0"/>
          <c:showVal val="1"/>
          <c:showCatName val="0"/>
          <c:showSerName val="0"/>
          <c:showPercent val="0"/>
          <c:showBubbleSize val="0"/>
        </c:dLbls>
        <c:smooth val="0"/>
        <c:axId val="-1953514200"/>
        <c:axId val="-1951675064"/>
      </c:lineChart>
      <c:catAx>
        <c:axId val="-19535142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675064"/>
        <c:crosses val="autoZero"/>
        <c:auto val="1"/>
        <c:lblAlgn val="ctr"/>
        <c:lblOffset val="100"/>
        <c:noMultiLvlLbl val="0"/>
      </c:catAx>
      <c:valAx>
        <c:axId val="-19516750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_-;\-&quot;$&quot;* #,##0_-;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351420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Cumulative Cash &amp; Tax Investor Returns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'Partnership Flip'!$B$88</c:f>
              <c:strCache>
                <c:ptCount val="1"/>
                <c:pt idx="0">
                  <c:v>Tax Equity Partner</c:v>
                </c:pt>
              </c:strCache>
            </c:strRef>
          </c:tx>
          <c:spPr>
            <a:ln w="31750" cap="rnd">
              <a:solidFill>
                <a:schemeClr val="accent1"/>
              </a:solidFill>
              <a:round/>
            </a:ln>
            <a:effectLst/>
          </c:spPr>
          <c:marker>
            <c:symbol val="none"/>
          </c:marker>
          <c:dLbls>
            <c:delete val="1"/>
          </c:dLbls>
          <c:cat>
            <c:numRef>
              <c:f>'Partnership Flip'!$C$87:$AB$87</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Flip'!$C$88:$AB$88</c:f>
              <c:numCache>
                <c:formatCode>"$"#,##0_);\("$"#,##0\)</c:formatCode>
                <c:ptCount val="26"/>
                <c:pt idx="0">
                  <c:v>-258837.05761152023</c:v>
                </c:pt>
                <c:pt idx="1">
                  <c:v>-78489.011249369127</c:v>
                </c:pt>
                <c:pt idx="2">
                  <c:v>-41439.433278589349</c:v>
                </c:pt>
                <c:pt idx="3">
                  <c:v>-17404.460419585761</c:v>
                </c:pt>
                <c:pt idx="4">
                  <c:v>-1207.2126404088413</c:v>
                </c:pt>
                <c:pt idx="5">
                  <c:v>14918.287275537634</c:v>
                </c:pt>
                <c:pt idx="6">
                  <c:v>16340.172450010054</c:v>
                </c:pt>
                <c:pt idx="7">
                  <c:v>17490.212369153567</c:v>
                </c:pt>
                <c:pt idx="8">
                  <c:v>18663.069600461411</c:v>
                </c:pt>
                <c:pt idx="9">
                  <c:v>19859.196843388283</c:v>
                </c:pt>
                <c:pt idx="10">
                  <c:v>21079.055778898044</c:v>
                </c:pt>
                <c:pt idx="11">
                  <c:v>22323.117247653372</c:v>
                </c:pt>
                <c:pt idx="12">
                  <c:v>23591.861431740574</c:v>
                </c:pt>
                <c:pt idx="13">
                  <c:v>24885.778039999674</c:v>
                </c:pt>
                <c:pt idx="14">
                  <c:v>26205.366497031351</c:v>
                </c:pt>
                <c:pt idx="15">
                  <c:v>27551.136135953631</c:v>
                </c:pt>
                <c:pt idx="16">
                  <c:v>28923.606394982729</c:v>
                </c:pt>
                <c:pt idx="17">
                  <c:v>30323.307017913936</c:v>
                </c:pt>
                <c:pt idx="18">
                  <c:v>31750.778258579881</c:v>
                </c:pt>
                <c:pt idx="19">
                  <c:v>33206.571089365127</c:v>
                </c:pt>
                <c:pt idx="20">
                  <c:v>34691.247413857513</c:v>
                </c:pt>
                <c:pt idx="21">
                  <c:v>36205.380283718368</c:v>
                </c:pt>
                <c:pt idx="22">
                  <c:v>37749.554119855282</c:v>
                </c:pt>
                <c:pt idx="23">
                  <c:v>39324.36493798274</c:v>
                </c:pt>
                <c:pt idx="24">
                  <c:v>40930.420578657759</c:v>
                </c:pt>
                <c:pt idx="25">
                  <c:v>46878.460684522193</c:v>
                </c:pt>
              </c:numCache>
            </c:numRef>
          </c:val>
          <c:smooth val="0"/>
          <c:extLst>
            <c:ext xmlns:c16="http://schemas.microsoft.com/office/drawing/2014/chart" uri="{C3380CC4-5D6E-409C-BE32-E72D297353CC}">
              <c16:uniqueId val="{00000000-4595-BB4F-9E2E-956E91105F12}"/>
            </c:ext>
          </c:extLst>
        </c:ser>
        <c:ser>
          <c:idx val="1"/>
          <c:order val="1"/>
          <c:tx>
            <c:strRef>
              <c:f>'Partnership Flip'!$B$89</c:f>
              <c:strCache>
                <c:ptCount val="1"/>
                <c:pt idx="0">
                  <c:v>Developer/Sponsor</c:v>
                </c:pt>
              </c:strCache>
            </c:strRef>
          </c:tx>
          <c:spPr>
            <a:ln w="31750" cap="rnd">
              <a:solidFill>
                <a:schemeClr val="accent2"/>
              </a:solidFill>
              <a:round/>
            </a:ln>
            <a:effectLst/>
          </c:spPr>
          <c:marker>
            <c:symbol val="none"/>
          </c:marker>
          <c:dLbls>
            <c:delete val="1"/>
          </c:dLbls>
          <c:cat>
            <c:numRef>
              <c:f>'Partnership Flip'!$C$87:$AB$87</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Flip'!$C$89:$AB$89</c:f>
              <c:numCache>
                <c:formatCode>"$"#,##0_);\("$"#,##0\)</c:formatCode>
                <c:ptCount val="26"/>
                <c:pt idx="0">
                  <c:v>-315845.57474087813</c:v>
                </c:pt>
                <c:pt idx="1">
                  <c:v>-298381.82696093555</c:v>
                </c:pt>
                <c:pt idx="2">
                  <c:v>-281891.61027336441</c:v>
                </c:pt>
                <c:pt idx="3">
                  <c:v>-265049.52322579827</c:v>
                </c:pt>
                <c:pt idx="4">
                  <c:v>-247793.68471583427</c:v>
                </c:pt>
                <c:pt idx="5">
                  <c:v>-230035.87089161121</c:v>
                </c:pt>
                <c:pt idx="6">
                  <c:v>-203020.05257663524</c:v>
                </c:pt>
                <c:pt idx="7">
                  <c:v>-181169.29411290848</c:v>
                </c:pt>
                <c:pt idx="8">
                  <c:v>-158885.00671805942</c:v>
                </c:pt>
                <c:pt idx="9">
                  <c:v>-136158.58910244887</c:v>
                </c:pt>
                <c:pt idx="10">
                  <c:v>-112981.26932776341</c:v>
                </c:pt>
                <c:pt idx="11">
                  <c:v>-89344.101421412153</c:v>
                </c:pt>
                <c:pt idx="12">
                  <c:v>-65237.961923755349</c:v>
                </c:pt>
                <c:pt idx="13">
                  <c:v>-40653.546366832474</c:v>
                </c:pt>
                <c:pt idx="14">
                  <c:v>-15581.365683230601</c:v>
                </c:pt>
                <c:pt idx="15">
                  <c:v>9988.2574562927039</c:v>
                </c:pt>
                <c:pt idx="16">
                  <c:v>36065.192377845582</c:v>
                </c:pt>
                <c:pt idx="17">
                  <c:v>62659.504213538501</c:v>
                </c:pt>
                <c:pt idx="18">
                  <c:v>89781.457786191488</c:v>
                </c:pt>
                <c:pt idx="19">
                  <c:v>117441.52157111114</c:v>
                </c:pt>
                <c:pt idx="20">
                  <c:v>145650.37173646642</c:v>
                </c:pt>
                <c:pt idx="21">
                  <c:v>174418.89626382274</c:v>
                </c:pt>
                <c:pt idx="22">
                  <c:v>203758.19915042416</c:v>
                </c:pt>
                <c:pt idx="23">
                  <c:v>233679.60469484594</c:v>
                </c:pt>
                <c:pt idx="24">
                  <c:v>264194.66186767124</c:v>
                </c:pt>
                <c:pt idx="25">
                  <c:v>377207.42387909547</c:v>
                </c:pt>
              </c:numCache>
            </c:numRef>
          </c:val>
          <c:smooth val="0"/>
          <c:extLst>
            <c:ext xmlns:c16="http://schemas.microsoft.com/office/drawing/2014/chart" uri="{C3380CC4-5D6E-409C-BE32-E72D297353CC}">
              <c16:uniqueId val="{00000001-4595-BB4F-9E2E-956E91105F12}"/>
            </c:ext>
          </c:extLst>
        </c:ser>
        <c:dLbls>
          <c:dLblPos val="ctr"/>
          <c:showLegendKey val="0"/>
          <c:showVal val="1"/>
          <c:showCatName val="0"/>
          <c:showSerName val="0"/>
          <c:showPercent val="0"/>
          <c:showBubbleSize val="0"/>
        </c:dLbls>
        <c:smooth val="0"/>
        <c:axId val="-1951624488"/>
        <c:axId val="-1951621480"/>
      </c:lineChart>
      <c:catAx>
        <c:axId val="-19516244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621480"/>
        <c:crosses val="autoZero"/>
        <c:auto val="1"/>
        <c:lblAlgn val="ctr"/>
        <c:lblOffset val="100"/>
        <c:noMultiLvlLbl val="0"/>
      </c:catAx>
      <c:valAx>
        <c:axId val="-195162148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162448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Relative Equity Investment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947-5A43-9F2F-D4DDBAC0C9F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947-5A43-9F2F-D4DDBAC0C9F4}"/>
              </c:ext>
            </c:extLst>
          </c:dPt>
          <c:dLbls>
            <c:dLbl>
              <c:idx val="1"/>
              <c:layout>
                <c:manualLayout>
                  <c:x val="0.17246961752275394"/>
                  <c:y val="8.8433485288023209E-2"/>
                </c:manualLayout>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013888888888887"/>
                      <c:h val="0.17939814814814814"/>
                    </c:manualLayout>
                  </c15:layout>
                </c:ext>
                <c:ext xmlns:c16="http://schemas.microsoft.com/office/drawing/2014/chart" uri="{C3380CC4-5D6E-409C-BE32-E72D297353CC}">
                  <c16:uniqueId val="{00000003-0947-5A43-9F2F-D4DDBAC0C9F4}"/>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'Partnership Flip'!$B$92:$B$93</c:f>
              <c:strCache>
                <c:ptCount val="2"/>
                <c:pt idx="0">
                  <c:v>Tax Equity Partner</c:v>
                </c:pt>
                <c:pt idx="1">
                  <c:v>Developer/Sponsor</c:v>
                </c:pt>
              </c:strCache>
            </c:strRef>
          </c:cat>
          <c:val>
            <c:numRef>
              <c:f>'Partnership Flip'!$C$92:$C$93</c:f>
              <c:numCache>
                <c:formatCode>"$"#,##0_);\("$"#,##0\)</c:formatCode>
                <c:ptCount val="2"/>
                <c:pt idx="0">
                  <c:v>258837.05761152023</c:v>
                </c:pt>
                <c:pt idx="1">
                  <c:v>315845.57474087813</c:v>
                </c:pt>
              </c:numCache>
            </c:numRef>
          </c:val>
          <c:extLst>
            <c:ext xmlns:c16="http://schemas.microsoft.com/office/drawing/2014/chart" uri="{C3380CC4-5D6E-409C-BE32-E72D297353CC}">
              <c16:uniqueId val="{00000004-0947-5A43-9F2F-D4DDBAC0C9F4}"/>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Tax</a:t>
            </a:r>
            <a:r>
              <a:rPr lang="en-US" baseline="0"/>
              <a:t> Benefits and </a:t>
            </a:r>
          </a:p>
          <a:p>
            <a:pPr>
              <a:defRPr/>
            </a:pPr>
            <a:r>
              <a:rPr lang="en-US" baseline="0"/>
              <a:t>Taxable Income by Year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Unstructured!$C$166</c:f>
              <c:strCache>
                <c:ptCount val="1"/>
                <c:pt idx="0">
                  <c:v>Tax Benefits</c:v>
                </c:pt>
              </c:strCache>
            </c:strRef>
          </c:tx>
          <c:spPr>
            <a:solidFill>
              <a:schemeClr val="accent1">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Unstructured!$D$166:$M$166</c:f>
              <c:numCache>
                <c:formatCode>"$"#,##0_);\("$"#,##0\)</c:formatCode>
                <c:ptCount val="10"/>
                <c:pt idx="0">
                  <c:v>191080.25872794702</c:v>
                </c:pt>
                <c:pt idx="1">
                  <c:v>29880.750435563998</c:v>
                </c:pt>
                <c:pt idx="2">
                  <c:v>17928.450261338396</c:v>
                </c:pt>
                <c:pt idx="3">
                  <c:v>10757.070156803038</c:v>
                </c:pt>
                <c:pt idx="4">
                  <c:v>10757.070156803038</c:v>
                </c:pt>
                <c:pt idx="5">
                  <c:v>5378.5350784015191</c:v>
                </c:pt>
                <c:pt idx="6">
                  <c:v>0</c:v>
                </c:pt>
                <c:pt idx="7">
                  <c:v>0</c:v>
                </c:pt>
                <c:pt idx="8">
                  <c:v>0</c:v>
                </c:pt>
                <c:pt idx="9">
                  <c:v>0</c:v>
                </c:pt>
              </c:numCache>
            </c:numRef>
          </c:val>
          <c:extLst>
            <c:ext xmlns:c16="http://schemas.microsoft.com/office/drawing/2014/chart" uri="{C3380CC4-5D6E-409C-BE32-E72D297353CC}">
              <c16:uniqueId val="{00000000-5025-0648-BA03-36E9220F869D}"/>
            </c:ext>
          </c:extLst>
        </c:ser>
        <c:ser>
          <c:idx val="1"/>
          <c:order val="1"/>
          <c:tx>
            <c:strRef>
              <c:f>Unstructured!$C$167</c:f>
              <c:strCache>
                <c:ptCount val="1"/>
                <c:pt idx="0">
                  <c:v>Taxable Inc.</c:v>
                </c:pt>
              </c:strCache>
            </c:strRef>
          </c:tx>
          <c:spPr>
            <a:solidFill>
              <a:schemeClr val="accent2">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Unstructured!$D$167:$M$167</c:f>
              <c:numCache>
                <c:formatCode>"$"#,##0_);\("$"#,##0\)</c:formatCode>
                <c:ptCount val="10"/>
                <c:pt idx="0">
                  <c:v>26541.028563749649</c:v>
                </c:pt>
                <c:pt idx="1">
                  <c:v>27067.61543520417</c:v>
                </c:pt>
                <c:pt idx="2">
                  <c:v>27604.649899303855</c:v>
                </c:pt>
                <c:pt idx="3">
                  <c:v>28152.339235524014</c:v>
                </c:pt>
                <c:pt idx="4">
                  <c:v>28710.894835690982</c:v>
                </c:pt>
                <c:pt idx="5">
                  <c:v>29280.532285568479</c:v>
                </c:pt>
                <c:pt idx="6">
                  <c:v>29861.471448062657</c:v>
                </c:pt>
                <c:pt idx="7">
                  <c:v>30453.936548077781</c:v>
                </c:pt>
                <c:pt idx="8">
                  <c:v>31058.156259055406</c:v>
                </c:pt>
                <c:pt idx="9">
                  <c:v>31674.363791230397</c:v>
                </c:pt>
              </c:numCache>
            </c:numRef>
          </c:val>
          <c:extLst>
            <c:ext xmlns:c16="http://schemas.microsoft.com/office/drawing/2014/chart" uri="{C3380CC4-5D6E-409C-BE32-E72D297353CC}">
              <c16:uniqueId val="{00000001-5025-0648-BA03-36E9220F869D}"/>
            </c:ext>
          </c:extLst>
        </c:ser>
        <c:dLbls>
          <c:showLegendKey val="0"/>
          <c:showVal val="0"/>
          <c:showCatName val="0"/>
          <c:showSerName val="0"/>
          <c:showPercent val="0"/>
          <c:showBubbleSize val="0"/>
        </c:dLbls>
        <c:gapWidth val="65"/>
        <c:axId val="1138864032"/>
        <c:axId val="1138865664"/>
      </c:barChart>
      <c:catAx>
        <c:axId val="11388640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chemeClr val="dk1">
                    <a:lumMod val="75000"/>
                    <a:lumOff val="25000"/>
                  </a:schemeClr>
                </a:solidFill>
                <a:latin typeface="+mn-lt"/>
                <a:ea typeface="+mn-ea"/>
                <a:cs typeface="+mn-cs"/>
              </a:defRPr>
            </a:pPr>
            <a:endParaRPr lang="en-US"/>
          </a:p>
        </c:txPr>
        <c:crossAx val="1138865664"/>
        <c:crosses val="autoZero"/>
        <c:auto val="1"/>
        <c:lblAlgn val="ctr"/>
        <c:lblOffset val="100"/>
        <c:noMultiLvlLbl val="0"/>
      </c:catAx>
      <c:valAx>
        <c:axId val="11388656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b="1"/>
                  <a:t>Dollars</a:t>
                </a:r>
                <a:r>
                  <a:rPr lang="en-US" sz="1400" b="1" baseline="0"/>
                  <a:t> </a:t>
                </a:r>
                <a:endParaRPr lang="en-US" sz="1400" b="1"/>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crossAx val="113886403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Tax Benefits: Origin Year vs. </a:t>
            </a:r>
          </a:p>
          <a:p>
            <a:pPr>
              <a:defRPr/>
            </a:pPr>
            <a:r>
              <a:rPr lang="en-US"/>
              <a:t>Unused Balance of Tax Benefits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Origin Year</c:v>
          </c:tx>
          <c:spPr>
            <a:solidFill>
              <a:schemeClr val="accent1">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Unstructured!$D$166:$M$166</c:f>
              <c:numCache>
                <c:formatCode>"$"#,##0_);\("$"#,##0\)</c:formatCode>
                <c:ptCount val="10"/>
                <c:pt idx="0">
                  <c:v>191080.25872794702</c:v>
                </c:pt>
                <c:pt idx="1">
                  <c:v>29880.750435563998</c:v>
                </c:pt>
                <c:pt idx="2">
                  <c:v>17928.450261338396</c:v>
                </c:pt>
                <c:pt idx="3">
                  <c:v>10757.070156803038</c:v>
                </c:pt>
                <c:pt idx="4">
                  <c:v>10757.070156803038</c:v>
                </c:pt>
                <c:pt idx="5">
                  <c:v>5378.5350784015191</c:v>
                </c:pt>
                <c:pt idx="6">
                  <c:v>0</c:v>
                </c:pt>
                <c:pt idx="7">
                  <c:v>0</c:v>
                </c:pt>
                <c:pt idx="8">
                  <c:v>0</c:v>
                </c:pt>
                <c:pt idx="9">
                  <c:v>0</c:v>
                </c:pt>
              </c:numCache>
            </c:numRef>
          </c:val>
          <c:extLst>
            <c:ext xmlns:c16="http://schemas.microsoft.com/office/drawing/2014/chart" uri="{C3380CC4-5D6E-409C-BE32-E72D297353CC}">
              <c16:uniqueId val="{00000000-A63E-1C47-A864-AE97F6DF68EB}"/>
            </c:ext>
          </c:extLst>
        </c:ser>
        <c:ser>
          <c:idx val="1"/>
          <c:order val="1"/>
          <c:tx>
            <c:v>Unused Balance of Tax Benefits</c:v>
          </c:tx>
          <c:spPr>
            <a:solidFill>
              <a:schemeClr val="accent2">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Unstructured!$D$174:$M$174</c:f>
              <c:numCache>
                <c:formatCode>"$"#,##0_);\("$"#,##0\)</c:formatCode>
                <c:ptCount val="10"/>
                <c:pt idx="0">
                  <c:v>164539.23016419736</c:v>
                </c:pt>
                <c:pt idx="1">
                  <c:v>167352.36516455718</c:v>
                </c:pt>
                <c:pt idx="2">
                  <c:v>157676.16552659171</c:v>
                </c:pt>
                <c:pt idx="3">
                  <c:v>140280.89644787073</c:v>
                </c:pt>
                <c:pt idx="4">
                  <c:v>122327.07176898279</c:v>
                </c:pt>
                <c:pt idx="5">
                  <c:v>98425.074561815825</c:v>
                </c:pt>
                <c:pt idx="6">
                  <c:v>68563.603113753168</c:v>
                </c:pt>
                <c:pt idx="7">
                  <c:v>38109.66656567539</c:v>
                </c:pt>
                <c:pt idx="8">
                  <c:v>7051.5103066199845</c:v>
                </c:pt>
                <c:pt idx="9">
                  <c:v>0</c:v>
                </c:pt>
              </c:numCache>
            </c:numRef>
          </c:val>
          <c:extLst>
            <c:ext xmlns:c16="http://schemas.microsoft.com/office/drawing/2014/chart" uri="{C3380CC4-5D6E-409C-BE32-E72D297353CC}">
              <c16:uniqueId val="{00000001-A63E-1C47-A864-AE97F6DF68EB}"/>
            </c:ext>
          </c:extLst>
        </c:ser>
        <c:dLbls>
          <c:showLegendKey val="0"/>
          <c:showVal val="0"/>
          <c:showCatName val="0"/>
          <c:showSerName val="0"/>
          <c:showPercent val="0"/>
          <c:showBubbleSize val="0"/>
        </c:dLbls>
        <c:gapWidth val="65"/>
        <c:axId val="1182555952"/>
        <c:axId val="1182598800"/>
      </c:barChart>
      <c:catAx>
        <c:axId val="11825559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1" i="0" u="none" strike="noStrike" kern="1200" cap="all" baseline="0">
                <a:solidFill>
                  <a:schemeClr val="dk1">
                    <a:lumMod val="75000"/>
                    <a:lumOff val="25000"/>
                  </a:schemeClr>
                </a:solidFill>
                <a:latin typeface="+mn-lt"/>
                <a:ea typeface="+mn-ea"/>
                <a:cs typeface="+mn-cs"/>
              </a:defRPr>
            </a:pPr>
            <a:endParaRPr lang="en-US"/>
          </a:p>
        </c:txPr>
        <c:crossAx val="1182598800"/>
        <c:crosses val="autoZero"/>
        <c:auto val="1"/>
        <c:lblAlgn val="ctr"/>
        <c:lblOffset val="100"/>
        <c:noMultiLvlLbl val="0"/>
      </c:catAx>
      <c:valAx>
        <c:axId val="11825988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crossAx val="118255595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Estimated PPA Price vs. Utility Price</a:t>
            </a:r>
          </a:p>
        </c:rich>
      </c:tx>
      <c:overlay val="0"/>
    </c:title>
    <c:autoTitleDeleted val="0"/>
    <c:plotArea>
      <c:layout/>
      <c:lineChart>
        <c:grouping val="standard"/>
        <c:varyColors val="0"/>
        <c:ser>
          <c:idx val="0"/>
          <c:order val="0"/>
          <c:tx>
            <c:strRef>
              <c:f>'Customer Analysis'!$B$91</c:f>
              <c:strCache>
                <c:ptCount val="1"/>
                <c:pt idx="0">
                  <c:v>Current Utility Price</c:v>
                </c:pt>
              </c:strCache>
            </c:strRef>
          </c:tx>
          <c:marker>
            <c:symbol val="none"/>
          </c:marker>
          <c:val>
            <c:numRef>
              <c:f>'Customer Analysis'!$D$91:$AB$91</c:f>
              <c:numCache>
                <c:formatCode>"$"#,##0.00_);\("$"#,##0.00\)</c:formatCode>
                <c:ptCount val="25"/>
                <c:pt idx="0">
                  <c:v>7.3648296020305801E-2</c:v>
                </c:pt>
                <c:pt idx="1">
                  <c:v>7.5489503420813439E-2</c:v>
                </c:pt>
                <c:pt idx="2">
                  <c:v>7.7376741006333766E-2</c:v>
                </c:pt>
                <c:pt idx="3">
                  <c:v>7.9311159531492106E-2</c:v>
                </c:pt>
                <c:pt idx="4">
                  <c:v>8.1293938519779396E-2</c:v>
                </c:pt>
                <c:pt idx="5">
                  <c:v>8.3326286982773876E-2</c:v>
                </c:pt>
                <c:pt idx="6">
                  <c:v>8.5409444157343209E-2</c:v>
                </c:pt>
                <c:pt idx="7">
                  <c:v>8.7544680261276778E-2</c:v>
                </c:pt>
                <c:pt idx="8">
                  <c:v>8.9733297267808695E-2</c:v>
                </c:pt>
                <c:pt idx="9">
                  <c:v>9.1976629699503903E-2</c:v>
                </c:pt>
                <c:pt idx="10">
                  <c:v>9.4276045441991488E-2</c:v>
                </c:pt>
                <c:pt idx="11">
                  <c:v>9.6632946578041265E-2</c:v>
                </c:pt>
                <c:pt idx="12">
                  <c:v>9.9048770242492284E-2</c:v>
                </c:pt>
                <c:pt idx="13">
                  <c:v>0.10152498949855458</c:v>
                </c:pt>
                <c:pt idx="14">
                  <c:v>0.10406311423601844</c:v>
                </c:pt>
                <c:pt idx="15">
                  <c:v>0.10666469209191889</c:v>
                </c:pt>
                <c:pt idx="16">
                  <c:v>0.10933130939421686</c:v>
                </c:pt>
                <c:pt idx="17">
                  <c:v>0.11206459212907227</c:v>
                </c:pt>
                <c:pt idx="18">
                  <c:v>0.11486620693229907</c:v>
                </c:pt>
                <c:pt idx="19">
                  <c:v>0.11773786210560654</c:v>
                </c:pt>
                <c:pt idx="20">
                  <c:v>0.12068130865824669</c:v>
                </c:pt>
                <c:pt idx="21">
                  <c:v>0.12369834137470286</c:v>
                </c:pt>
                <c:pt idx="22">
                  <c:v>0.12679079990907041</c:v>
                </c:pt>
                <c:pt idx="23">
                  <c:v>0.12996056990679716</c:v>
                </c:pt>
                <c:pt idx="24">
                  <c:v>0.13320958415446707</c:v>
                </c:pt>
              </c:numCache>
            </c:numRef>
          </c:val>
          <c:smooth val="0"/>
          <c:extLst>
            <c:ext xmlns:c16="http://schemas.microsoft.com/office/drawing/2014/chart" uri="{C3380CC4-5D6E-409C-BE32-E72D297353CC}">
              <c16:uniqueId val="{00000000-FB1B-E348-B24C-EC3C0B8C97D3}"/>
            </c:ext>
          </c:extLst>
        </c:ser>
        <c:ser>
          <c:idx val="1"/>
          <c:order val="1"/>
          <c:tx>
            <c:strRef>
              <c:f>'Customer Analysis'!$B$92</c:f>
              <c:strCache>
                <c:ptCount val="1"/>
                <c:pt idx="0">
                  <c:v>Est. PPA Price</c:v>
                </c:pt>
              </c:strCache>
            </c:strRef>
          </c:tx>
          <c:marker>
            <c:symbol val="none"/>
          </c:marker>
          <c:val>
            <c:numRef>
              <c:f>'Customer Analysis'!$D$92:$AB$92</c:f>
              <c:numCache>
                <c:formatCode>"$"#,##0.00_);\("$"#,##0.00\)</c:formatCode>
                <c:ptCount val="25"/>
                <c:pt idx="0">
                  <c:v>7.3031580167629145E-2</c:v>
                </c:pt>
                <c:pt idx="1">
                  <c:v>7.4857369671819871E-2</c:v>
                </c:pt>
                <c:pt idx="2">
                  <c:v>7.6728803913615362E-2</c:v>
                </c:pt>
                <c:pt idx="3">
                  <c:v>7.8647024011455735E-2</c:v>
                </c:pt>
                <c:pt idx="4">
                  <c:v>8.0613199611742126E-2</c:v>
                </c:pt>
                <c:pt idx="5">
                  <c:v>8.2628529602035677E-2</c:v>
                </c:pt>
                <c:pt idx="6">
                  <c:v>8.4694242842086556E-2</c:v>
                </c:pt>
                <c:pt idx="7">
                  <c:v>8.6811598913138707E-2</c:v>
                </c:pt>
                <c:pt idx="8">
                  <c:v>8.898188888596717E-2</c:v>
                </c:pt>
                <c:pt idx="9">
                  <c:v>9.1206436108116337E-2</c:v>
                </c:pt>
                <c:pt idx="10">
                  <c:v>9.3486597010819239E-2</c:v>
                </c:pt>
                <c:pt idx="11">
                  <c:v>9.5823761936089713E-2</c:v>
                </c:pt>
                <c:pt idx="12">
                  <c:v>9.8219355984491941E-2</c:v>
                </c:pt>
                <c:pt idx="13">
                  <c:v>0.10067483988410424</c:v>
                </c:pt>
                <c:pt idx="14">
                  <c:v>0.10319171088120684</c:v>
                </c:pt>
                <c:pt idx="15">
                  <c:v>0.105771503653237</c:v>
                </c:pt>
                <c:pt idx="16">
                  <c:v>0.10841579124456791</c:v>
                </c:pt>
                <c:pt idx="17">
                  <c:v>0.1111261860256821</c:v>
                </c:pt>
                <c:pt idx="18">
                  <c:v>0.11390434067632414</c:v>
                </c:pt>
                <c:pt idx="19">
                  <c:v>0.11675194919323223</c:v>
                </c:pt>
                <c:pt idx="20">
                  <c:v>0.11967074792306302</c:v>
                </c:pt>
                <c:pt idx="21">
                  <c:v>0.12266251662113958</c:v>
                </c:pt>
                <c:pt idx="22">
                  <c:v>0.12572907953666806</c:v>
                </c:pt>
                <c:pt idx="23">
                  <c:v>0.12887230652508475</c:v>
                </c:pt>
                <c:pt idx="24">
                  <c:v>0.13209411418821185</c:v>
                </c:pt>
              </c:numCache>
            </c:numRef>
          </c:val>
          <c:smooth val="0"/>
          <c:extLst>
            <c:ext xmlns:c16="http://schemas.microsoft.com/office/drawing/2014/chart" uri="{C3380CC4-5D6E-409C-BE32-E72D297353CC}">
              <c16:uniqueId val="{00000001-FB1B-E348-B24C-EC3C0B8C97D3}"/>
            </c:ext>
          </c:extLst>
        </c:ser>
        <c:dLbls>
          <c:showLegendKey val="0"/>
          <c:showVal val="0"/>
          <c:showCatName val="0"/>
          <c:showSerName val="0"/>
          <c:showPercent val="0"/>
          <c:showBubbleSize val="0"/>
        </c:dLbls>
        <c:smooth val="0"/>
        <c:axId val="-1951488424"/>
        <c:axId val="-1951485448"/>
      </c:lineChart>
      <c:catAx>
        <c:axId val="-1951488424"/>
        <c:scaling>
          <c:orientation val="minMax"/>
        </c:scaling>
        <c:delete val="0"/>
        <c:axPos val="b"/>
        <c:majorTickMark val="out"/>
        <c:minorTickMark val="none"/>
        <c:tickLblPos val="nextTo"/>
        <c:crossAx val="-1951485448"/>
        <c:crosses val="autoZero"/>
        <c:auto val="1"/>
        <c:lblAlgn val="ctr"/>
        <c:lblOffset val="100"/>
        <c:noMultiLvlLbl val="0"/>
      </c:catAx>
      <c:valAx>
        <c:axId val="-1951485448"/>
        <c:scaling>
          <c:orientation val="minMax"/>
        </c:scaling>
        <c:delete val="0"/>
        <c:axPos val="l"/>
        <c:majorGridlines/>
        <c:numFmt formatCode="&quot;$&quot;#,##0.00_);\(&quot;$&quot;#,##0.00\)" sourceLinked="1"/>
        <c:majorTickMark val="out"/>
        <c:minorTickMark val="none"/>
        <c:tickLblPos val="nextTo"/>
        <c:crossAx val="-195148842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 Levelized Cost of Electricity for Purchase/Buyout</a:t>
            </a:r>
            <a:r>
              <a:rPr lang="en-US" baseline="0"/>
              <a:t> Options</a:t>
            </a:r>
            <a:r>
              <a:rPr lang="en-US"/>
              <a:t> </a:t>
            </a:r>
          </a:p>
        </c:rich>
      </c:tx>
      <c:overlay val="0"/>
    </c:title>
    <c:autoTitleDeleted val="0"/>
    <c:plotArea>
      <c:layout/>
      <c:barChart>
        <c:barDir val="col"/>
        <c:grouping val="stacked"/>
        <c:varyColors val="0"/>
        <c:ser>
          <c:idx val="0"/>
          <c:order val="0"/>
          <c:invertIfNegative val="0"/>
          <c:cat>
            <c:strRef>
              <c:f>'Customer Analysis'!$B$84:$B$89</c:f>
              <c:strCache>
                <c:ptCount val="6"/>
                <c:pt idx="0">
                  <c:v>Year 1</c:v>
                </c:pt>
                <c:pt idx="1">
                  <c:v>Year 7</c:v>
                </c:pt>
                <c:pt idx="2">
                  <c:v>Year 10</c:v>
                </c:pt>
                <c:pt idx="3">
                  <c:v>Year 15</c:v>
                </c:pt>
                <c:pt idx="4">
                  <c:v>Year 20</c:v>
                </c:pt>
                <c:pt idx="5">
                  <c:v>Year 25</c:v>
                </c:pt>
              </c:strCache>
            </c:strRef>
          </c:cat>
          <c:val>
            <c:numRef>
              <c:f>'Customer Analysis'!$C$84:$C$89</c:f>
              <c:numCache>
                <c:formatCode>"$"#,##0.000_);\("$"#,##0.000\)</c:formatCode>
                <c:ptCount val="6"/>
                <c:pt idx="0">
                  <c:v>5.8557699909813889E-2</c:v>
                </c:pt>
                <c:pt idx="1">
                  <c:v>5.9475790034520498E-2</c:v>
                </c:pt>
                <c:pt idx="2">
                  <c:v>6.8518920764190361E-2</c:v>
                </c:pt>
                <c:pt idx="3">
                  <c:v>8.301014277110555E-2</c:v>
                </c:pt>
                <c:pt idx="4">
                  <c:v>9.6048372880053093E-2</c:v>
                </c:pt>
                <c:pt idx="5">
                  <c:v>0.10964720266672946</c:v>
                </c:pt>
              </c:numCache>
            </c:numRef>
          </c:val>
          <c:extLst>
            <c:ext xmlns:c16="http://schemas.microsoft.com/office/drawing/2014/chart" uri="{C3380CC4-5D6E-409C-BE32-E72D297353CC}">
              <c16:uniqueId val="{00000000-4F29-534A-9293-5D3711D9E33C}"/>
            </c:ext>
          </c:extLst>
        </c:ser>
        <c:dLbls>
          <c:showLegendKey val="0"/>
          <c:showVal val="0"/>
          <c:showCatName val="0"/>
          <c:showSerName val="0"/>
          <c:showPercent val="0"/>
          <c:showBubbleSize val="0"/>
        </c:dLbls>
        <c:gapWidth val="150"/>
        <c:overlap val="100"/>
        <c:axId val="-1951459560"/>
        <c:axId val="-1951456616"/>
      </c:barChart>
      <c:catAx>
        <c:axId val="-1951459560"/>
        <c:scaling>
          <c:orientation val="minMax"/>
        </c:scaling>
        <c:delete val="0"/>
        <c:axPos val="b"/>
        <c:numFmt formatCode="General" sourceLinked="0"/>
        <c:majorTickMark val="out"/>
        <c:minorTickMark val="none"/>
        <c:tickLblPos val="nextTo"/>
        <c:crossAx val="-1951456616"/>
        <c:crosses val="autoZero"/>
        <c:auto val="1"/>
        <c:lblAlgn val="ctr"/>
        <c:lblOffset val="100"/>
        <c:noMultiLvlLbl val="0"/>
      </c:catAx>
      <c:valAx>
        <c:axId val="-1951456616"/>
        <c:scaling>
          <c:orientation val="minMax"/>
        </c:scaling>
        <c:delete val="0"/>
        <c:axPos val="l"/>
        <c:majorGridlines/>
        <c:numFmt formatCode="&quot;$&quot;#,##0.000_);\(&quot;$&quot;#,##0.000\)" sourceLinked="1"/>
        <c:majorTickMark val="out"/>
        <c:minorTickMark val="none"/>
        <c:tickLblPos val="nextTo"/>
        <c:crossAx val="-1951459560"/>
        <c:crosses val="autoZero"/>
        <c:crossBetween val="between"/>
      </c:valAx>
    </c:plotArea>
    <c:plotVisOnly val="1"/>
    <c:dispBlanksAs val="gap"/>
    <c:showDLblsOverMax val="0"/>
  </c:chart>
  <c:printSettings>
    <c:headerFooter/>
    <c:pageMargins b="1" l="0.75" r="0.7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 NPV of Customer Savings - 25 Yr. PPA</a:t>
            </a:r>
          </a:p>
        </c:rich>
      </c:tx>
      <c:layout>
        <c:manualLayout>
          <c:xMode val="edge"/>
          <c:yMode val="edge"/>
          <c:x val="0.16584349883725699"/>
          <c:y val="2.7777777777777801E-2"/>
        </c:manualLayout>
      </c:layout>
      <c:overlay val="0"/>
    </c:title>
    <c:autoTitleDeleted val="0"/>
    <c:plotArea>
      <c:layout/>
      <c:barChart>
        <c:barDir val="col"/>
        <c:grouping val="stacked"/>
        <c:varyColors val="0"/>
        <c:ser>
          <c:idx val="0"/>
          <c:order val="0"/>
          <c:tx>
            <c:strRef>
              <c:f>'Customer Analysis'!$B$81</c:f>
              <c:strCache>
                <c:ptCount val="1"/>
                <c:pt idx="0">
                  <c:v>NPV of Customer Savings over 25 Year Term</c:v>
                </c:pt>
              </c:strCache>
            </c:strRef>
          </c:tx>
          <c:invertIfNegative val="0"/>
          <c:val>
            <c:numRef>
              <c:f>'Customer Analysis'!$D$81</c:f>
              <c:numCache>
                <c:formatCode>"$"#,##0_);\("$"#,##0\)</c:formatCode>
                <c:ptCount val="1"/>
                <c:pt idx="0">
                  <c:v>4743.6681167956131</c:v>
                </c:pt>
              </c:numCache>
            </c:numRef>
          </c:val>
          <c:extLst>
            <c:ext xmlns:c16="http://schemas.microsoft.com/office/drawing/2014/chart" uri="{C3380CC4-5D6E-409C-BE32-E72D297353CC}">
              <c16:uniqueId val="{00000000-30AE-E043-B670-F982737FBB1C}"/>
            </c:ext>
          </c:extLst>
        </c:ser>
        <c:dLbls>
          <c:showLegendKey val="0"/>
          <c:showVal val="0"/>
          <c:showCatName val="0"/>
          <c:showSerName val="0"/>
          <c:showPercent val="0"/>
          <c:showBubbleSize val="0"/>
        </c:dLbls>
        <c:gapWidth val="150"/>
        <c:overlap val="100"/>
        <c:axId val="-1951431288"/>
        <c:axId val="-1951428344"/>
      </c:barChart>
      <c:catAx>
        <c:axId val="-1951431288"/>
        <c:scaling>
          <c:orientation val="minMax"/>
        </c:scaling>
        <c:delete val="0"/>
        <c:axPos val="b"/>
        <c:majorTickMark val="out"/>
        <c:minorTickMark val="none"/>
        <c:tickLblPos val="nextTo"/>
        <c:crossAx val="-1951428344"/>
        <c:crosses val="autoZero"/>
        <c:auto val="1"/>
        <c:lblAlgn val="ctr"/>
        <c:lblOffset val="100"/>
        <c:noMultiLvlLbl val="0"/>
      </c:catAx>
      <c:valAx>
        <c:axId val="-1951428344"/>
        <c:scaling>
          <c:orientation val="minMax"/>
        </c:scaling>
        <c:delete val="0"/>
        <c:axPos val="l"/>
        <c:majorGridlines/>
        <c:numFmt formatCode="&quot;$&quot;#,##0_);\(&quot;$&quot;#,##0\)" sourceLinked="1"/>
        <c:majorTickMark val="out"/>
        <c:minorTickMark val="none"/>
        <c:tickLblPos val="nextTo"/>
        <c:crossAx val="-1951431288"/>
        <c:crosses val="autoZero"/>
        <c:crossBetween val="between"/>
      </c:valAx>
    </c:plotArea>
    <c:plotVisOnly val="1"/>
    <c:dispBlanksAs val="gap"/>
    <c:showDLblsOverMax val="0"/>
  </c:chart>
  <c:printSettings>
    <c:headerFooter/>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a:t>
            </a:r>
            <a:r>
              <a:rPr lang="en-US" baseline="0"/>
              <a:t> Annual </a:t>
            </a:r>
            <a:r>
              <a:rPr lang="en-US"/>
              <a:t>Customer Savings</a:t>
            </a:r>
          </a:p>
        </c:rich>
      </c:tx>
      <c:overlay val="0"/>
    </c:title>
    <c:autoTitleDeleted val="0"/>
    <c:plotArea>
      <c:layout/>
      <c:barChart>
        <c:barDir val="col"/>
        <c:grouping val="stacked"/>
        <c:varyColors val="0"/>
        <c:ser>
          <c:idx val="0"/>
          <c:order val="0"/>
          <c:tx>
            <c:strRef>
              <c:f>'Customer Analysis'!$B$80</c:f>
              <c:strCache>
                <c:ptCount val="1"/>
                <c:pt idx="0">
                  <c:v>Customer Savings</c:v>
                </c:pt>
              </c:strCache>
            </c:strRef>
          </c:tx>
          <c:invertIfNegative val="0"/>
          <c:val>
            <c:numRef>
              <c:f>'Customer Analysis'!$D$80:$AB$80</c:f>
              <c:numCache>
                <c:formatCode>"$"#,##0_);\("$"#,##0\)</c:formatCode>
                <c:ptCount val="25"/>
                <c:pt idx="0">
                  <c:v>307.53993293280655</c:v>
                </c:pt>
                <c:pt idx="1">
                  <c:v>313.65228909985308</c:v>
                </c:pt>
                <c:pt idx="2">
                  <c:v>319.88612834570813</c:v>
                </c:pt>
                <c:pt idx="3">
                  <c:v>326.24386514658545</c:v>
                </c:pt>
                <c:pt idx="4">
                  <c:v>332.72796196636773</c:v>
                </c:pt>
                <c:pt idx="5">
                  <c:v>339.34093021044828</c:v>
                </c:pt>
                <c:pt idx="6">
                  <c:v>346.08533119838103</c:v>
                </c:pt>
                <c:pt idx="7">
                  <c:v>352.96377715594281</c:v>
                </c:pt>
                <c:pt idx="8">
                  <c:v>359.97893222692801</c:v>
                </c:pt>
                <c:pt idx="9">
                  <c:v>367.13351350493758</c:v>
                </c:pt>
                <c:pt idx="10">
                  <c:v>374.43029208583903</c:v>
                </c:pt>
                <c:pt idx="11">
                  <c:v>381.87209414104291</c:v>
                </c:pt>
                <c:pt idx="12">
                  <c:v>389.46180201209791</c:v>
                </c:pt>
                <c:pt idx="13">
                  <c:v>397.20235532708466</c:v>
                </c:pt>
                <c:pt idx="14">
                  <c:v>405.09675213921582</c:v>
                </c:pt>
                <c:pt idx="15">
                  <c:v>413.1480500879843</c:v>
                </c:pt>
                <c:pt idx="16">
                  <c:v>421.35936758348544</c:v>
                </c:pt>
                <c:pt idx="17">
                  <c:v>429.73388501420413</c:v>
                </c:pt>
                <c:pt idx="18">
                  <c:v>438.27484597885632</c:v>
                </c:pt>
                <c:pt idx="19">
                  <c:v>446.98555854269944</c:v>
                </c:pt>
                <c:pt idx="20">
                  <c:v>455.86939651873399</c:v>
                </c:pt>
                <c:pt idx="21">
                  <c:v>464.92980077455286</c:v>
                </c:pt>
                <c:pt idx="22">
                  <c:v>474.17028056494019</c:v>
                </c:pt>
                <c:pt idx="23">
                  <c:v>483.59441489117307</c:v>
                </c:pt>
                <c:pt idx="24">
                  <c:v>493.20585388712789</c:v>
                </c:pt>
              </c:numCache>
            </c:numRef>
          </c:val>
          <c:extLst>
            <c:ext xmlns:c16="http://schemas.microsoft.com/office/drawing/2014/chart" uri="{C3380CC4-5D6E-409C-BE32-E72D297353CC}">
              <c16:uniqueId val="{00000000-E0A1-C642-805B-6FF5221A7E72}"/>
            </c:ext>
          </c:extLst>
        </c:ser>
        <c:dLbls>
          <c:showLegendKey val="0"/>
          <c:showVal val="0"/>
          <c:showCatName val="0"/>
          <c:showSerName val="0"/>
          <c:showPercent val="0"/>
          <c:showBubbleSize val="0"/>
        </c:dLbls>
        <c:gapWidth val="150"/>
        <c:overlap val="100"/>
        <c:axId val="-1952421960"/>
        <c:axId val="-1952424920"/>
      </c:barChart>
      <c:catAx>
        <c:axId val="-1952421960"/>
        <c:scaling>
          <c:orientation val="minMax"/>
        </c:scaling>
        <c:delete val="0"/>
        <c:axPos val="b"/>
        <c:majorTickMark val="out"/>
        <c:minorTickMark val="none"/>
        <c:tickLblPos val="nextTo"/>
        <c:crossAx val="-1952424920"/>
        <c:crosses val="autoZero"/>
        <c:auto val="1"/>
        <c:lblAlgn val="ctr"/>
        <c:lblOffset val="100"/>
        <c:noMultiLvlLbl val="0"/>
      </c:catAx>
      <c:valAx>
        <c:axId val="-1952424920"/>
        <c:scaling>
          <c:orientation val="minMax"/>
        </c:scaling>
        <c:delete val="0"/>
        <c:axPos val="l"/>
        <c:majorGridlines/>
        <c:numFmt formatCode="&quot;$&quot;#,##0_);\(&quot;$&quot;#,##0\)" sourceLinked="1"/>
        <c:majorTickMark val="out"/>
        <c:minorTickMark val="none"/>
        <c:tickLblPos val="nextTo"/>
        <c:crossAx val="-1952421960"/>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Utility Purchases &amp; Solar Purchases (kWh)</a:t>
            </a:r>
          </a:p>
        </c:rich>
      </c:tx>
      <c:overlay val="0"/>
    </c:title>
    <c:autoTitleDeleted val="0"/>
    <c:plotArea>
      <c:layout/>
      <c:lineChart>
        <c:grouping val="standard"/>
        <c:varyColors val="0"/>
        <c:ser>
          <c:idx val="0"/>
          <c:order val="0"/>
          <c:tx>
            <c:strRef>
              <c:f>'Customer Analysis'!$B$94</c:f>
              <c:strCache>
                <c:ptCount val="1"/>
                <c:pt idx="0">
                  <c:v>Utility Purchases</c:v>
                </c:pt>
              </c:strCache>
            </c:strRef>
          </c:tx>
          <c:marker>
            <c:symbol val="none"/>
          </c:marker>
          <c:val>
            <c:numRef>
              <c:f>'Customer Analysis'!$D$94:$AB$94</c:f>
              <c:numCache>
                <c:formatCode>#,##0.0_);\(#,##0.0\)</c:formatCode>
                <c:ptCount val="25"/>
                <c:pt idx="0">
                  <c:v>3236359.8613524409</c:v>
                </c:pt>
                <c:pt idx="1">
                  <c:v>3238853.2295024409</c:v>
                </c:pt>
                <c:pt idx="2">
                  <c:v>3241334.1308116913</c:v>
                </c:pt>
                <c:pt idx="3">
                  <c:v>3243802.6276143948</c:v>
                </c:pt>
                <c:pt idx="4">
                  <c:v>3246258.7819330851</c:v>
                </c:pt>
                <c:pt idx="5">
                  <c:v>3248702.6554801818</c:v>
                </c:pt>
                <c:pt idx="6">
                  <c:v>3251134.309659543</c:v>
                </c:pt>
                <c:pt idx="7">
                  <c:v>3253553.8055680078</c:v>
                </c:pt>
                <c:pt idx="8">
                  <c:v>3255961.2039969298</c:v>
                </c:pt>
                <c:pt idx="9">
                  <c:v>3258356.5654337076</c:v>
                </c:pt>
                <c:pt idx="10">
                  <c:v>3260739.9500633013</c:v>
                </c:pt>
                <c:pt idx="11">
                  <c:v>3263111.4177697469</c:v>
                </c:pt>
                <c:pt idx="12">
                  <c:v>3265471.0281376601</c:v>
                </c:pt>
                <c:pt idx="13">
                  <c:v>3267818.8404537342</c:v>
                </c:pt>
                <c:pt idx="14">
                  <c:v>3270154.9137082277</c:v>
                </c:pt>
                <c:pt idx="15">
                  <c:v>3272479.3065964486</c:v>
                </c:pt>
                <c:pt idx="16">
                  <c:v>3274792.0775202289</c:v>
                </c:pt>
                <c:pt idx="17">
                  <c:v>3277093.2845893898</c:v>
                </c:pt>
                <c:pt idx="18">
                  <c:v>3279382.9856232051</c:v>
                </c:pt>
                <c:pt idx="19">
                  <c:v>3281661.2381518511</c:v>
                </c:pt>
                <c:pt idx="20">
                  <c:v>3283928.0994178541</c:v>
                </c:pt>
                <c:pt idx="21">
                  <c:v>3286183.6263775271</c:v>
                </c:pt>
                <c:pt idx="22">
                  <c:v>3288427.8757024016</c:v>
                </c:pt>
                <c:pt idx="23">
                  <c:v>3290660.9037806517</c:v>
                </c:pt>
                <c:pt idx="24">
                  <c:v>3292882.766718511</c:v>
                </c:pt>
              </c:numCache>
            </c:numRef>
          </c:val>
          <c:smooth val="0"/>
          <c:extLst>
            <c:ext xmlns:c16="http://schemas.microsoft.com/office/drawing/2014/chart" uri="{C3380CC4-5D6E-409C-BE32-E72D297353CC}">
              <c16:uniqueId val="{00000000-B985-0946-B0B9-D1C44A2FEE22}"/>
            </c:ext>
          </c:extLst>
        </c:ser>
        <c:ser>
          <c:idx val="1"/>
          <c:order val="1"/>
          <c:tx>
            <c:strRef>
              <c:f>'Customer Analysis'!$B$95</c:f>
              <c:strCache>
                <c:ptCount val="1"/>
                <c:pt idx="0">
                  <c:v>Solar Purchases</c:v>
                </c:pt>
              </c:strCache>
            </c:strRef>
          </c:tx>
          <c:marker>
            <c:symbol val="none"/>
          </c:marker>
          <c:val>
            <c:numRef>
              <c:f>'Customer Analysis'!$D$95:$AB$95</c:f>
              <c:numCache>
                <c:formatCode>#,##0.0_);\(#,##0.0\)</c:formatCode>
                <c:ptCount val="25"/>
                <c:pt idx="0">
                  <c:v>498673.62999999925</c:v>
                </c:pt>
                <c:pt idx="1">
                  <c:v>496180.26184999925</c:v>
                </c:pt>
                <c:pt idx="2">
                  <c:v>493699.36054074927</c:v>
                </c:pt>
                <c:pt idx="3">
                  <c:v>491230.8637380455</c:v>
                </c:pt>
                <c:pt idx="4">
                  <c:v>488774.70941935526</c:v>
                </c:pt>
                <c:pt idx="5">
                  <c:v>486330.83587225847</c:v>
                </c:pt>
                <c:pt idx="6">
                  <c:v>483899.18169289717</c:v>
                </c:pt>
                <c:pt idx="7">
                  <c:v>481479.68578443269</c:v>
                </c:pt>
                <c:pt idx="8">
                  <c:v>479072.28735551052</c:v>
                </c:pt>
                <c:pt idx="9">
                  <c:v>476676.92591873294</c:v>
                </c:pt>
                <c:pt idx="10">
                  <c:v>474293.54128913931</c:v>
                </c:pt>
                <c:pt idx="11">
                  <c:v>471922.07358269359</c:v>
                </c:pt>
                <c:pt idx="12">
                  <c:v>469562.46321478009</c:v>
                </c:pt>
                <c:pt idx="13">
                  <c:v>467214.65089870617</c:v>
                </c:pt>
                <c:pt idx="14">
                  <c:v>464878.57764421264</c:v>
                </c:pt>
                <c:pt idx="15">
                  <c:v>462554.18475599156</c:v>
                </c:pt>
                <c:pt idx="16">
                  <c:v>460241.41383221158</c:v>
                </c:pt>
                <c:pt idx="17">
                  <c:v>457940.20676305052</c:v>
                </c:pt>
                <c:pt idx="18">
                  <c:v>455650.50572923524</c:v>
                </c:pt>
                <c:pt idx="19">
                  <c:v>453372.25320058904</c:v>
                </c:pt>
                <c:pt idx="20">
                  <c:v>451105.39193458611</c:v>
                </c:pt>
                <c:pt idx="21">
                  <c:v>448849.86497491319</c:v>
                </c:pt>
                <c:pt idx="22">
                  <c:v>446605.61565003864</c:v>
                </c:pt>
                <c:pt idx="23">
                  <c:v>444372.58757178846</c:v>
                </c:pt>
                <c:pt idx="24">
                  <c:v>442150.72463392949</c:v>
                </c:pt>
              </c:numCache>
            </c:numRef>
          </c:val>
          <c:smooth val="0"/>
          <c:extLst>
            <c:ext xmlns:c16="http://schemas.microsoft.com/office/drawing/2014/chart" uri="{C3380CC4-5D6E-409C-BE32-E72D297353CC}">
              <c16:uniqueId val="{00000001-B985-0946-B0B9-D1C44A2FEE22}"/>
            </c:ext>
          </c:extLst>
        </c:ser>
        <c:dLbls>
          <c:showLegendKey val="0"/>
          <c:showVal val="0"/>
          <c:showCatName val="0"/>
          <c:showSerName val="0"/>
          <c:showPercent val="0"/>
          <c:showBubbleSize val="0"/>
        </c:dLbls>
        <c:smooth val="0"/>
        <c:axId val="-2092171384"/>
        <c:axId val="-2092565032"/>
      </c:lineChart>
      <c:catAx>
        <c:axId val="-2092171384"/>
        <c:scaling>
          <c:orientation val="minMax"/>
        </c:scaling>
        <c:delete val="0"/>
        <c:axPos val="b"/>
        <c:majorTickMark val="out"/>
        <c:minorTickMark val="none"/>
        <c:tickLblPos val="nextTo"/>
        <c:crossAx val="-2092565032"/>
        <c:crosses val="autoZero"/>
        <c:auto val="1"/>
        <c:lblAlgn val="ctr"/>
        <c:lblOffset val="100"/>
        <c:noMultiLvlLbl val="0"/>
      </c:catAx>
      <c:valAx>
        <c:axId val="-2092565032"/>
        <c:scaling>
          <c:orientation val="minMax"/>
        </c:scaling>
        <c:delete val="0"/>
        <c:axPos val="l"/>
        <c:majorGridlines/>
        <c:numFmt formatCode="#,##0.0_);\(#,##0.0\)" sourceLinked="1"/>
        <c:majorTickMark val="out"/>
        <c:minorTickMark val="none"/>
        <c:tickLblPos val="nextTo"/>
        <c:crossAx val="-209217138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Solar Fraction - 1st Year</a:t>
            </a:r>
          </a:p>
        </c:rich>
      </c:tx>
      <c:overlay val="0"/>
    </c:title>
    <c:autoTitleDeleted val="0"/>
    <c:view3D>
      <c:rotX val="30"/>
      <c:rotY val="0"/>
      <c:rAngAx val="0"/>
    </c:view3D>
    <c:floor>
      <c:thickness val="0"/>
    </c:floor>
    <c:sideWall>
      <c:thickness val="0"/>
    </c:sideWall>
    <c:backWall>
      <c:thickness val="0"/>
    </c:backWall>
    <c:plotArea>
      <c:layout/>
      <c:pie3DChart>
        <c:varyColors val="1"/>
        <c:ser>
          <c:idx val="0"/>
          <c:order val="0"/>
          <c:explosion val="25"/>
          <c:dLbls>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extLst>
          </c:dLbls>
          <c:cat>
            <c:strRef>
              <c:f>'Customer Analysis'!$B$94:$B$95</c:f>
              <c:strCache>
                <c:ptCount val="2"/>
                <c:pt idx="0">
                  <c:v>Utility Purchases</c:v>
                </c:pt>
                <c:pt idx="1">
                  <c:v>Solar Purchases</c:v>
                </c:pt>
              </c:strCache>
            </c:strRef>
          </c:cat>
          <c:val>
            <c:numRef>
              <c:f>'Customer Analysis'!$D$94:$D$95</c:f>
              <c:numCache>
                <c:formatCode>#,##0.0_);\(#,##0.0\)</c:formatCode>
                <c:ptCount val="2"/>
                <c:pt idx="0">
                  <c:v>3236359.8613524409</c:v>
                </c:pt>
                <c:pt idx="1">
                  <c:v>498673.62999999925</c:v>
                </c:pt>
              </c:numCache>
            </c:numRef>
          </c:val>
          <c:extLst>
            <c:ext xmlns:c16="http://schemas.microsoft.com/office/drawing/2014/chart" uri="{C3380CC4-5D6E-409C-BE32-E72D297353CC}">
              <c16:uniqueId val="{00000000-7A38-5D4E-9086-0EADE28140A0}"/>
            </c:ext>
          </c:extLst>
        </c:ser>
        <c:dLbls>
          <c:showLegendKey val="0"/>
          <c:showVal val="0"/>
          <c:showCatName val="1"/>
          <c:showSerName val="0"/>
          <c:showPercent val="1"/>
          <c:showBubbleSize val="0"/>
          <c:showLeaderLines val="0"/>
        </c:dLbls>
      </c:pie3DChart>
    </c:plotArea>
    <c:plotVisOnly val="1"/>
    <c:dispBlanksAs val="gap"/>
    <c:showDLblsOverMax val="0"/>
  </c:chart>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15.xml"/><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7" Type="http://schemas.openxmlformats.org/officeDocument/2006/relationships/image" Target="../media/image1.png"/><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editAs="oneCell">
    <xdr:from>
      <xdr:col>0</xdr:col>
      <xdr:colOff>144021</xdr:colOff>
      <xdr:row>0</xdr:row>
      <xdr:rowOff>0</xdr:rowOff>
    </xdr:from>
    <xdr:to>
      <xdr:col>4</xdr:col>
      <xdr:colOff>4333711</xdr:colOff>
      <xdr:row>12</xdr:row>
      <xdr:rowOff>54594</xdr:rowOff>
    </xdr:to>
    <xdr:pic>
      <xdr:nvPicPr>
        <xdr:cNvPr id="2" name="Picture 1">
          <a:extLst>
            <a:ext uri="{FF2B5EF4-FFF2-40B4-BE49-F238E27FC236}">
              <a16:creationId xmlns:a16="http://schemas.microsoft.com/office/drawing/2014/main" id="{45D5A197-8A06-B84A-A11C-C20C94B6695D}"/>
            </a:ext>
          </a:extLst>
        </xdr:cNvPr>
        <xdr:cNvPicPr>
          <a:picLocks noChangeAspect="1"/>
        </xdr:cNvPicPr>
      </xdr:nvPicPr>
      <xdr:blipFill>
        <a:blip xmlns:r="http://schemas.openxmlformats.org/officeDocument/2006/relationships" r:embed="rId1"/>
        <a:stretch>
          <a:fillRect/>
        </a:stretch>
      </xdr:blipFill>
      <xdr:spPr>
        <a:xfrm>
          <a:off x="144021" y="0"/>
          <a:ext cx="9335154" cy="28826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17</xdr:col>
      <xdr:colOff>330200</xdr:colOff>
      <xdr:row>13</xdr:row>
      <xdr:rowOff>101600</xdr:rowOff>
    </xdr:from>
    <xdr:to>
      <xdr:col>27</xdr:col>
      <xdr:colOff>241300</xdr:colOff>
      <xdr:row>25</xdr:row>
      <xdr:rowOff>114300</xdr:rowOff>
    </xdr:to>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254000</xdr:colOff>
      <xdr:row>27</xdr:row>
      <xdr:rowOff>25400</xdr:rowOff>
    </xdr:from>
    <xdr:to>
      <xdr:col>33</xdr:col>
      <xdr:colOff>381000</xdr:colOff>
      <xdr:row>40</xdr:row>
      <xdr:rowOff>114300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88900</xdr:colOff>
      <xdr:row>13</xdr:row>
      <xdr:rowOff>127000</xdr:rowOff>
    </xdr:from>
    <xdr:to>
      <xdr:col>42</xdr:col>
      <xdr:colOff>254000</xdr:colOff>
      <xdr:row>26</xdr:row>
      <xdr:rowOff>114300</xdr:rowOff>
    </xdr:to>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457200</xdr:colOff>
      <xdr:row>44</xdr:row>
      <xdr:rowOff>0</xdr:rowOff>
    </xdr:from>
    <xdr:to>
      <xdr:col>43</xdr:col>
      <xdr:colOff>469900</xdr:colOff>
      <xdr:row>57</xdr:row>
      <xdr:rowOff>190500</xdr:rowOff>
    </xdr:to>
    <xdr:graphicFrame macro="">
      <xdr:nvGraphicFramePr>
        <xdr:cNvPr id="14" name="Chart 13">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139700</xdr:colOff>
      <xdr:row>43</xdr:row>
      <xdr:rowOff>190500</xdr:rowOff>
    </xdr:from>
    <xdr:to>
      <xdr:col>35</xdr:col>
      <xdr:colOff>76200</xdr:colOff>
      <xdr:row>58</xdr:row>
      <xdr:rowOff>12700</xdr:rowOff>
    </xdr:to>
    <xdr:graphicFrame macro="">
      <xdr:nvGraphicFramePr>
        <xdr:cNvPr id="19" name="Chart 18">
          <a:extLst>
            <a:ext uri="{FF2B5EF4-FFF2-40B4-BE49-F238E27FC236}">
              <a16:creationId xmlns:a16="http://schemas.microsoft.com/office/drawing/2014/main" id="{00000000-0008-0000-01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469900</xdr:colOff>
      <xdr:row>74</xdr:row>
      <xdr:rowOff>25400</xdr:rowOff>
    </xdr:from>
    <xdr:to>
      <xdr:col>43</xdr:col>
      <xdr:colOff>508000</xdr:colOff>
      <xdr:row>101</xdr:row>
      <xdr:rowOff>127000</xdr:rowOff>
    </xdr:to>
    <xdr:graphicFrame macro="">
      <xdr:nvGraphicFramePr>
        <xdr:cNvPr id="20" name="Chart 19">
          <a:extLst>
            <a:ext uri="{FF2B5EF4-FFF2-40B4-BE49-F238E27FC236}">
              <a16:creationId xmlns:a16="http://schemas.microsoft.com/office/drawing/2014/main" id="{00000000-0008-0000-01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35</xdr:col>
      <xdr:colOff>482600</xdr:colOff>
      <xdr:row>58</xdr:row>
      <xdr:rowOff>127000</xdr:rowOff>
    </xdr:from>
    <xdr:to>
      <xdr:col>43</xdr:col>
      <xdr:colOff>482600</xdr:colOff>
      <xdr:row>72</xdr:row>
      <xdr:rowOff>165100</xdr:rowOff>
    </xdr:to>
    <xdr:graphicFrame macro="">
      <xdr:nvGraphicFramePr>
        <xdr:cNvPr id="23" name="Chart 22">
          <a:extLst>
            <a:ext uri="{FF2B5EF4-FFF2-40B4-BE49-F238E27FC236}">
              <a16:creationId xmlns:a16="http://schemas.microsoft.com/office/drawing/2014/main" id="{00000000-0008-0000-01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127000</xdr:colOff>
      <xdr:row>58</xdr:row>
      <xdr:rowOff>152400</xdr:rowOff>
    </xdr:from>
    <xdr:to>
      <xdr:col>35</xdr:col>
      <xdr:colOff>152400</xdr:colOff>
      <xdr:row>73</xdr:row>
      <xdr:rowOff>12700</xdr:rowOff>
    </xdr:to>
    <xdr:graphicFrame macro="">
      <xdr:nvGraphicFramePr>
        <xdr:cNvPr id="24" name="Chart 23">
          <a:extLst>
            <a:ext uri="{FF2B5EF4-FFF2-40B4-BE49-F238E27FC236}">
              <a16:creationId xmlns:a16="http://schemas.microsoft.com/office/drawing/2014/main" id="{00000000-0008-0000-01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228600</xdr:colOff>
      <xdr:row>13</xdr:row>
      <xdr:rowOff>127000</xdr:rowOff>
    </xdr:from>
    <xdr:to>
      <xdr:col>33</xdr:col>
      <xdr:colOff>431800</xdr:colOff>
      <xdr:row>26</xdr:row>
      <xdr:rowOff>88900</xdr:rowOff>
    </xdr:to>
    <xdr:graphicFrame macro="">
      <xdr:nvGraphicFramePr>
        <xdr:cNvPr id="25" name="Chart 24">
          <a:extLst>
            <a:ext uri="{FF2B5EF4-FFF2-40B4-BE49-F238E27FC236}">
              <a16:creationId xmlns:a16="http://schemas.microsoft.com/office/drawing/2014/main" id="{00000000-0008-0000-01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334433</xdr:colOff>
      <xdr:row>26</xdr:row>
      <xdr:rowOff>46567</xdr:rowOff>
    </xdr:from>
    <xdr:to>
      <xdr:col>27</xdr:col>
      <xdr:colOff>270932</xdr:colOff>
      <xdr:row>40</xdr:row>
      <xdr:rowOff>110067</xdr:rowOff>
    </xdr:to>
    <xdr:graphicFrame macro="">
      <xdr:nvGraphicFramePr>
        <xdr:cNvPr id="15" name="Chart 14">
          <a:extLst>
            <a:ext uri="{FF2B5EF4-FFF2-40B4-BE49-F238E27FC236}">
              <a16:creationId xmlns:a16="http://schemas.microsoft.com/office/drawing/2014/main" id="{00000000-0008-0000-01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266700</xdr:colOff>
      <xdr:row>71</xdr:row>
      <xdr:rowOff>50799</xdr:rowOff>
    </xdr:from>
    <xdr:to>
      <xdr:col>21</xdr:col>
      <xdr:colOff>126999</xdr:colOff>
      <xdr:row>91</xdr:row>
      <xdr:rowOff>120252</xdr:rowOff>
    </xdr:to>
    <xdr:graphicFrame macro="">
      <xdr:nvGraphicFramePr>
        <xdr:cNvPr id="17" name="Chart 16">
          <a:extLst>
            <a:ext uri="{FF2B5EF4-FFF2-40B4-BE49-F238E27FC236}">
              <a16:creationId xmlns:a16="http://schemas.microsoft.com/office/drawing/2014/main" id="{88D37F03-69BE-1347-BFD0-15558DEB7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254000</xdr:colOff>
      <xdr:row>92</xdr:row>
      <xdr:rowOff>127001</xdr:rowOff>
    </xdr:from>
    <xdr:to>
      <xdr:col>21</xdr:col>
      <xdr:colOff>126999</xdr:colOff>
      <xdr:row>112</xdr:row>
      <xdr:rowOff>127000</xdr:rowOff>
    </xdr:to>
    <xdr:graphicFrame macro="">
      <xdr:nvGraphicFramePr>
        <xdr:cNvPr id="18" name="Chart 17">
          <a:extLst>
            <a:ext uri="{FF2B5EF4-FFF2-40B4-BE49-F238E27FC236}">
              <a16:creationId xmlns:a16="http://schemas.microsoft.com/office/drawing/2014/main" id="{2527659C-14A0-6B4A-B863-8F3562BE7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76200</xdr:colOff>
      <xdr:row>51</xdr:row>
      <xdr:rowOff>76200</xdr:rowOff>
    </xdr:from>
    <xdr:to>
      <xdr:col>20</xdr:col>
      <xdr:colOff>1054100</xdr:colOff>
      <xdr:row>66</xdr:row>
      <xdr:rowOff>12700</xdr:rowOff>
    </xdr:to>
    <xdr:graphicFrame macro="">
      <xdr:nvGraphicFramePr>
        <xdr:cNvPr id="21" name="Chart 20">
          <a:extLst>
            <a:ext uri="{FF2B5EF4-FFF2-40B4-BE49-F238E27FC236}">
              <a16:creationId xmlns:a16="http://schemas.microsoft.com/office/drawing/2014/main" id="{5D80AC24-FA28-DB45-A6AD-B3F10678E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9</xdr:col>
      <xdr:colOff>0</xdr:colOff>
      <xdr:row>3</xdr:row>
      <xdr:rowOff>0</xdr:rowOff>
    </xdr:from>
    <xdr:to>
      <xdr:col>9</xdr:col>
      <xdr:colOff>304800</xdr:colOff>
      <xdr:row>4</xdr:row>
      <xdr:rowOff>50800</xdr:rowOff>
    </xdr:to>
    <xdr:sp macro="" textlink="">
      <xdr:nvSpPr>
        <xdr:cNvPr id="1163" name="&lt;5B8D24DF-1703-4EFC-8415-6B0243EB6610&gt;" descr="SDC-logo-color-horizontal.jpg">
          <a:extLst>
            <a:ext uri="{FF2B5EF4-FFF2-40B4-BE49-F238E27FC236}">
              <a16:creationId xmlns:a16="http://schemas.microsoft.com/office/drawing/2014/main" id="{007B91D5-7D58-FA16-6671-A727FA505BE1}"/>
            </a:ext>
          </a:extLst>
        </xdr:cNvPr>
        <xdr:cNvSpPr>
          <a:spLocks noChangeAspect="1" noChangeArrowheads="1"/>
        </xdr:cNvSpPr>
      </xdr:nvSpPr>
      <xdr:spPr bwMode="auto">
        <a:xfrm>
          <a:off x="9931400" y="68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291955</xdr:colOff>
      <xdr:row>0</xdr:row>
      <xdr:rowOff>131381</xdr:rowOff>
    </xdr:from>
    <xdr:to>
      <xdr:col>6</xdr:col>
      <xdr:colOff>677772</xdr:colOff>
      <xdr:row>8</xdr:row>
      <xdr:rowOff>237798</xdr:rowOff>
    </xdr:to>
    <xdr:pic>
      <xdr:nvPicPr>
        <xdr:cNvPr id="2" name="Picture 1">
          <a:extLst>
            <a:ext uri="{FF2B5EF4-FFF2-40B4-BE49-F238E27FC236}">
              <a16:creationId xmlns:a16="http://schemas.microsoft.com/office/drawing/2014/main" id="{DDDE453D-AC90-F486-7557-CCDA3253610C}"/>
            </a:ext>
          </a:extLst>
        </xdr:cNvPr>
        <xdr:cNvPicPr>
          <a:picLocks noChangeAspect="1"/>
        </xdr:cNvPicPr>
      </xdr:nvPicPr>
      <xdr:blipFill>
        <a:blip xmlns:r="http://schemas.openxmlformats.org/officeDocument/2006/relationships" r:embed="rId14"/>
        <a:stretch>
          <a:fillRect/>
        </a:stretch>
      </xdr:blipFill>
      <xdr:spPr>
        <a:xfrm>
          <a:off x="291955" y="131381"/>
          <a:ext cx="6210300" cy="1917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804333</xdr:colOff>
      <xdr:row>175</xdr:row>
      <xdr:rowOff>165101</xdr:rowOff>
    </xdr:from>
    <xdr:to>
      <xdr:col>13</xdr:col>
      <xdr:colOff>397933</xdr:colOff>
      <xdr:row>192</xdr:row>
      <xdr:rowOff>29633</xdr:rowOff>
    </xdr:to>
    <xdr:graphicFrame macro="">
      <xdr:nvGraphicFramePr>
        <xdr:cNvPr id="2" name="Chart 1">
          <a:extLst>
            <a:ext uri="{FF2B5EF4-FFF2-40B4-BE49-F238E27FC236}">
              <a16:creationId xmlns:a16="http://schemas.microsoft.com/office/drawing/2014/main" id="{48660CC9-19ED-AF43-B3C2-C5EA1415E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148167</xdr:colOff>
      <xdr:row>175</xdr:row>
      <xdr:rowOff>165100</xdr:rowOff>
    </xdr:from>
    <xdr:to>
      <xdr:col>7</xdr:col>
      <xdr:colOff>461433</xdr:colOff>
      <xdr:row>192</xdr:row>
      <xdr:rowOff>29633</xdr:rowOff>
    </xdr:to>
    <xdr:graphicFrame macro="">
      <xdr:nvGraphicFramePr>
        <xdr:cNvPr id="3" name="Chart 2">
          <a:extLst>
            <a:ext uri="{FF2B5EF4-FFF2-40B4-BE49-F238E27FC236}">
              <a16:creationId xmlns:a16="http://schemas.microsoft.com/office/drawing/2014/main" id="{778A5E61-EA32-454E-95E5-25197EC0E0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258722</xdr:colOff>
      <xdr:row>1</xdr:row>
      <xdr:rowOff>203200</xdr:rowOff>
    </xdr:from>
    <xdr:to>
      <xdr:col>6</xdr:col>
      <xdr:colOff>167083</xdr:colOff>
      <xdr:row>9</xdr:row>
      <xdr:rowOff>91440</xdr:rowOff>
    </xdr:to>
    <xdr:pic>
      <xdr:nvPicPr>
        <xdr:cNvPr id="4" name="Picture 3">
          <a:extLst>
            <a:ext uri="{FF2B5EF4-FFF2-40B4-BE49-F238E27FC236}">
              <a16:creationId xmlns:a16="http://schemas.microsoft.com/office/drawing/2014/main" id="{4E662140-73BA-FD4F-AAE9-D97E2BD923BC}"/>
            </a:ext>
          </a:extLst>
        </xdr:cNvPr>
        <xdr:cNvPicPr>
          <a:picLocks noChangeAspect="1"/>
        </xdr:cNvPicPr>
      </xdr:nvPicPr>
      <xdr:blipFill>
        <a:blip xmlns:r="http://schemas.openxmlformats.org/officeDocument/2006/relationships" r:embed="rId3"/>
        <a:stretch>
          <a:fillRect/>
        </a:stretch>
      </xdr:blipFill>
      <xdr:spPr>
        <a:xfrm>
          <a:off x="258722" y="368300"/>
          <a:ext cx="6281221" cy="19558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381000</xdr:colOff>
      <xdr:row>1</xdr:row>
      <xdr:rowOff>0</xdr:rowOff>
    </xdr:from>
    <xdr:to>
      <xdr:col>6</xdr:col>
      <xdr:colOff>119117</xdr:colOff>
      <xdr:row>8</xdr:row>
      <xdr:rowOff>119117</xdr:rowOff>
    </xdr:to>
    <xdr:pic>
      <xdr:nvPicPr>
        <xdr:cNvPr id="2" name="Picture 1">
          <a:extLst>
            <a:ext uri="{FF2B5EF4-FFF2-40B4-BE49-F238E27FC236}">
              <a16:creationId xmlns:a16="http://schemas.microsoft.com/office/drawing/2014/main" id="{1EF9309A-85D4-884F-8736-BE8C24F6AE8E}"/>
            </a:ext>
          </a:extLst>
        </xdr:cNvPr>
        <xdr:cNvPicPr>
          <a:picLocks noChangeAspect="1"/>
        </xdr:cNvPicPr>
      </xdr:nvPicPr>
      <xdr:blipFill>
        <a:blip xmlns:r="http://schemas.openxmlformats.org/officeDocument/2006/relationships" r:embed="rId1"/>
        <a:stretch>
          <a:fillRect/>
        </a:stretch>
      </xdr:blipFill>
      <xdr:spPr>
        <a:xfrm>
          <a:off x="381000" y="165100"/>
          <a:ext cx="6215117" cy="19352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279400</xdr:colOff>
      <xdr:row>97</xdr:row>
      <xdr:rowOff>50800</xdr:rowOff>
    </xdr:from>
    <xdr:to>
      <xdr:col>11</xdr:col>
      <xdr:colOff>241300</xdr:colOff>
      <xdr:row>114</xdr:row>
      <xdr:rowOff>0</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203200</xdr:colOff>
      <xdr:row>132</xdr:row>
      <xdr:rowOff>38100</xdr:rowOff>
    </xdr:from>
    <xdr:to>
      <xdr:col>3</xdr:col>
      <xdr:colOff>876300</xdr:colOff>
      <xdr:row>147</xdr:row>
      <xdr:rowOff>114300</xdr:rowOff>
    </xdr:to>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279400</xdr:colOff>
      <xdr:row>97</xdr:row>
      <xdr:rowOff>38100</xdr:rowOff>
    </xdr:from>
    <xdr:to>
      <xdr:col>3</xdr:col>
      <xdr:colOff>952500</xdr:colOff>
      <xdr:row>113</xdr:row>
      <xdr:rowOff>127000</xdr:rowOff>
    </xdr:to>
    <xdr:graphicFrame macro="">
      <xdr:nvGraphicFramePr>
        <xdr:cNvPr id="8" name="Chart 7">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292100</xdr:colOff>
      <xdr:row>132</xdr:row>
      <xdr:rowOff>50800</xdr:rowOff>
    </xdr:from>
    <xdr:to>
      <xdr:col>11</xdr:col>
      <xdr:colOff>279400</xdr:colOff>
      <xdr:row>147</xdr:row>
      <xdr:rowOff>127000</xdr:rowOff>
    </xdr:to>
    <xdr:graphicFrame macro="">
      <xdr:nvGraphicFramePr>
        <xdr:cNvPr id="9" name="Chart 8">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279400</xdr:colOff>
      <xdr:row>114</xdr:row>
      <xdr:rowOff>127000</xdr:rowOff>
    </xdr:from>
    <xdr:to>
      <xdr:col>11</xdr:col>
      <xdr:colOff>241300</xdr:colOff>
      <xdr:row>131</xdr:row>
      <xdr:rowOff>63500</xdr:rowOff>
    </xdr:to>
    <xdr:graphicFrame macro="">
      <xdr:nvGraphicFramePr>
        <xdr:cNvPr id="10" name="Chart 9">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114</xdr:row>
      <xdr:rowOff>114300</xdr:rowOff>
    </xdr:from>
    <xdr:to>
      <xdr:col>3</xdr:col>
      <xdr:colOff>901700</xdr:colOff>
      <xdr:row>131</xdr:row>
      <xdr:rowOff>50800</xdr:rowOff>
    </xdr:to>
    <xdr:graphicFrame macro="">
      <xdr:nvGraphicFramePr>
        <xdr:cNvPr id="11" name="Chart 10">
          <a:extLst>
            <a:ext uri="{FF2B5EF4-FFF2-40B4-BE49-F238E27FC236}">
              <a16:creationId xmlns:a16="http://schemas.microsoft.com/office/drawing/2014/main" id="{00000000-0008-0000-04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330200</xdr:colOff>
      <xdr:row>1</xdr:row>
      <xdr:rowOff>127000</xdr:rowOff>
    </xdr:from>
    <xdr:to>
      <xdr:col>6</xdr:col>
      <xdr:colOff>589017</xdr:colOff>
      <xdr:row>8</xdr:row>
      <xdr:rowOff>144517</xdr:rowOff>
    </xdr:to>
    <xdr:pic>
      <xdr:nvPicPr>
        <xdr:cNvPr id="2" name="Picture 1">
          <a:extLst>
            <a:ext uri="{FF2B5EF4-FFF2-40B4-BE49-F238E27FC236}">
              <a16:creationId xmlns:a16="http://schemas.microsoft.com/office/drawing/2014/main" id="{4C37B2F6-BF50-7840-AED7-565B8BA58292}"/>
            </a:ext>
          </a:extLst>
        </xdr:cNvPr>
        <xdr:cNvPicPr>
          <a:picLocks noChangeAspect="1"/>
        </xdr:cNvPicPr>
      </xdr:nvPicPr>
      <xdr:blipFill>
        <a:blip xmlns:r="http://schemas.openxmlformats.org/officeDocument/2006/relationships" r:embed="rId7"/>
        <a:stretch>
          <a:fillRect/>
        </a:stretch>
      </xdr:blipFill>
      <xdr:spPr>
        <a:xfrm>
          <a:off x="330200" y="292100"/>
          <a:ext cx="6215117" cy="193521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hristopher Lord" id="{519DF7C7-6BF0-F944-AFDB-C310B9D4A02F}" userId="Christopher Lord" providerId="None"/>
  <person displayName="Christopher J. Lord" id="{5D687077-3476-FE43-9263-D797783F4196}" userId="S::cjlord@capironinc.com::63240993-293e-47ac-a92a-8904d5d4693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27" dT="2022-09-11T19:46:33.29" personId="{5D687077-3476-FE43-9263-D797783F4196}" id="{A92A1366-BDEA-2D4B-884F-16D6CF07D3F1}">
    <text xml:space="preserve">Note: If the Dashboard cell H34 provides that Owner is a “Non-Taxpayer” then the model will assume the debt is a “tax-exempt” borrowing. That does not impact any of the calculations, except the ITC Dollar Value calculation in cell H50, which is reduced by the lesser of 15% or the proportion of the debt to total capital, in accordance with the Inflation Reduction Act. </text>
  </threadedComment>
  <threadedComment ref="J27" dT="2020-03-30T12:27:09.70" personId="{5D687077-3476-FE43-9263-D797783F4196}" id="{BFDE949E-48CA-5A43-B8A7-09F1A752D19F}">
    <text xml:space="preserve">Be sure to confirm value in cell K34 below.
</text>
  </threadedComment>
  <threadedComment ref="B33" dT="2020-03-28T13:48:52.54" personId="{5D687077-3476-FE43-9263-D797783F4196}" id="{BEC34F8C-F5CD-E343-8A69-19D80822D78C}">
    <text>Note that in this model, the Aggregate Roof Upgrade &amp; Warranty cost is deducted from the Basis for calculating  Depreciation and the ITC, as most roof improvements are not deemed integral to the production of solar energy.</text>
  </threadedComment>
  <threadedComment ref="B36" dT="2020-03-28T13:46:24.47" personId="{5D687077-3476-FE43-9263-D797783F4196}" id="{F6E13B5B-7C14-214F-AF7F-B72D51A0D2A7}">
    <text xml:space="preserve">Note that in this model, if Site Purchase or Lease” (cell J33) is “Yes” in K33, then Cell E34 will have the Site Purchase Price in it. Note that the purchase cost of land is not eligible for depreciation, and this amount is also not includable in Basis for calculating the ITC. </text>
  </threadedComment>
  <threadedComment ref="G36" personId="{519DF7C7-6BF0-F944-AFDB-C310B9D4A02F}" id="{8F614B15-DEB1-1E4D-9279-EF735ACDF320}">
    <text>If MACRS is selected, this model assumes MACRS is also available for State depreciation. 
If Bonus Depr. is seledted, this model assumes that it DOES NOTapply.</text>
  </threadedComment>
  <threadedComment ref="G42" dT="2022-09-11T20:06:53.61" personId="{5D687077-3476-FE43-9263-D797783F4196}" id="{A066F2E2-4E6E-7644-BC0B-7FDCA95C932D}">
    <text>Remember that if your owner is a “Non-Taxpayer” in cell H34 above, then your discount for the ITC Cash Sale in cell H42 ought to be zero because the owner should be eligible for a direct payment option from IRS (in lieu of tax credit) equal to 100% of the ITC. (Discount only applies if a Taxpayer sells the ITC to another party. (And don’t forget to turn on Cash Sale!)</text>
  </threadedComment>
  <threadedComment ref="B44" personId="{519DF7C7-6BF0-F944-AFDB-C310B9D4A02F}" id="{1D80BE7D-7140-1D47-8A0E-6EC140DE3BB8}">
    <text>Escalation could be historical 10 or 20 year average utility escalation</text>
  </threadedComment>
  <threadedComment ref="G48" dT="2020-12-07T17:07:07.68" personId="{5D687077-3476-FE43-9263-D797783F4196}" id="{AC6D762D-B642-CB4E-ACF5-51683E814E2B}">
    <text xml:space="preserve">Intended only for finer adjustment of ITC Costs than provided in cell D37. Otherwise leave at 0%.  </text>
  </threadedComment>
  <threadedComment ref="B51" personId="{519DF7C7-6BF0-F944-AFDB-C310B9D4A02F}" id="{7324684E-6B5B-0046-AF95-533F400A27CA}">
    <text xml:space="preserve">Formula subtracts Roof Upgrade and Warranty Costs and Site (land) Purchase Price before multiplying by 85% to reduce by half the value of the  ITC.
</text>
  </threadedComment>
  <threadedComment ref="G66" dT="2020-04-06T14:34:55.91" personId="{5D687077-3476-FE43-9263-D797783F4196}" id="{73096742-37DA-3E44-A5E7-5082AA673479}">
    <text xml:space="preserve">Cash-On-Cash Premium calculated as percent of Tax Equity’s investment. </text>
  </threadedComment>
  <threadedComment ref="G67" personId="{519DF7C7-6BF0-F944-AFDB-C310B9D4A02F}" id="{17C4E8CB-2E8A-0C4C-8CCE-DB1234AF02FB}">
    <text xml:space="preserve">Management Incentive Fee set as percentage of remaining cash flow after payment of Cash-On-Cash premium. 
</text>
  </threadedComment>
</ThreadedComments>
</file>

<file path=xl/threadedComments/threadedComment2.xml><?xml version="1.0" encoding="utf-8"?>
<ThreadedComments xmlns="http://schemas.microsoft.com/office/spreadsheetml/2018/threadedcomments" xmlns:x="http://schemas.openxmlformats.org/spreadsheetml/2006/main">
  <threadedComment ref="B29" personId="{519DF7C7-6BF0-F944-AFDB-C310B9D4A02F}" id="{50DC0BC5-04EA-8B41-8F4D-A83DE1237317}">
    <text xml:space="preserve">Configured to calculate sales tax on both Electricity Sales, and SREC Sales.
</text>
  </threadedComment>
  <threadedComment ref="B56" dT="2022-09-07T18:16:05.66" personId="{5D687077-3476-FE43-9263-D797783F4196}" id="{DDE8B421-2708-E446-B95D-111DE76C69D4}">
    <text xml:space="preserve">Assumes State Tax Payments are deductible in calculating Federal Taxable Income. </text>
  </threadedComment>
  <threadedComment ref="B72" dT="2022-09-07T18:15:15.07" personId="{5D687077-3476-FE43-9263-D797783F4196}" id="{6A14BF4E-9C01-6B46-95ED-413D91E44811}">
    <text xml:space="preserve">Assumes State Tax Payments are deductible in calculating Federal Taxable Income. </text>
  </threadedComment>
</ThreadedComments>
</file>

<file path=xl/threadedComments/threadedComment3.xml><?xml version="1.0" encoding="utf-8"?>
<ThreadedComments xmlns="http://schemas.microsoft.com/office/spreadsheetml/2018/threadedcomments" xmlns:x="http://schemas.openxmlformats.org/spreadsheetml/2006/main">
  <threadedComment ref="B37" personId="{519DF7C7-6BF0-F944-AFDB-C310B9D4A02F}" id="{86B75019-B5B8-6E4B-B94D-969917D403EB}">
    <text xml:space="preserve">
Note: Cash-on-Cash Premium Rate is expressed per Annum as % of the Tax Equity’s original Investment.</text>
  </threadedComment>
  <threadedComment ref="B40" dT="2020-04-06T14:36:37.00" personId="{5D687077-3476-FE43-9263-D797783F4196}" id="{1A329D52-A7D8-1E44-866A-371B1D59D1A4}">
    <text xml:space="preserve">Management Incentive Fee set as percentage of remaining cash flow after payment of Cash-On-Cash premium. </text>
  </threadedComment>
</ThreadedComments>
</file>

<file path=xl/threadedComments/threadedComment4.xml><?xml version="1.0" encoding="utf-8"?>
<ThreadedComments xmlns="http://schemas.microsoft.com/office/spreadsheetml/2018/threadedcomments" xmlns:x="http://schemas.openxmlformats.org/spreadsheetml/2006/main">
  <threadedComment ref="B31" dT="2020-04-07T00:13:16.84" personId="{5D687077-3476-FE43-9263-D797783F4196}" id="{96177D7A-4E4D-2145-8C7C-474A353FE214}">
    <text xml:space="preserve">Each cell represents the NPV for the year (Row 17, Column of the cell) as indicated for future payments starting in the next year to the end of 2020. No NPV for the last year as it would have no future payments to discount back.
</text>
  </threadedComment>
  <threadedComment ref="B33" dT="2020-04-07T00:04:08.64" personId="{5D687077-3476-FE43-9263-D797783F4196}" id="{0573F71F-AA3E-5F4D-8041-C16734E39ECE}">
    <text xml:space="preserve">Calculated as greater of NPV of (1) remaining cash and tax benefits flow due to Equity, and (2) a terminal value calculated as a percent of the original Purchase Price.
</text>
  </threadedComment>
  <threadedComment ref="B51" dT="2020-04-06T23:23:01.48" personId="{5D687077-3476-FE43-9263-D797783F4196}" id="{4899C918-87D9-D84D-99F9-C0D3BB847A0E}">
    <text xml:space="preserve">Historical cost of PPA purchases from Placed in Service (start of Year 1) through to the current (buyout) year. </text>
  </threadedComment>
  <threadedComment ref="B52" dT="2020-04-06T23:23:32.26" personId="{5D687077-3476-FE43-9263-D797783F4196}" id="{33545CE2-84A7-5F46-A075-908759B7568C}">
    <text xml:space="preserve">NPV of future operating costs incurred as a result of owning and operating the Solar System.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N54"/>
  <sheetViews>
    <sheetView showGridLines="0" topLeftCell="A3" zoomScaleNormal="100" workbookViewId="0">
      <selection activeCell="E26" sqref="E26"/>
    </sheetView>
  </sheetViews>
  <sheetFormatPr baseColWidth="10" defaultColWidth="11" defaultRowHeight="13" x14ac:dyDescent="0.15"/>
  <cols>
    <col min="2" max="2" width="18" customWidth="1"/>
    <col min="3" max="3" width="22.1640625" customWidth="1"/>
    <col min="4" max="4" width="16.33203125" customWidth="1"/>
    <col min="5" max="5" width="96.6640625" customWidth="1"/>
    <col min="8" max="14" width="14.83203125" style="453" customWidth="1"/>
  </cols>
  <sheetData>
    <row r="2" spans="2:14" ht="56" customHeight="1" x14ac:dyDescent="0.15">
      <c r="D2" s="34"/>
      <c r="E2" s="3"/>
      <c r="F2" s="3"/>
      <c r="G2" s="3"/>
      <c r="H2"/>
      <c r="I2"/>
      <c r="J2"/>
      <c r="K2"/>
      <c r="L2"/>
      <c r="M2"/>
      <c r="N2"/>
    </row>
    <row r="3" spans="2:14" ht="18" x14ac:dyDescent="0.2">
      <c r="D3" s="3"/>
      <c r="F3" s="457" t="s">
        <v>149</v>
      </c>
      <c r="H3"/>
      <c r="I3"/>
      <c r="J3"/>
      <c r="K3"/>
      <c r="L3"/>
      <c r="M3"/>
      <c r="N3"/>
    </row>
    <row r="4" spans="2:14" ht="14" thickBot="1" x14ac:dyDescent="0.2">
      <c r="D4" s="3"/>
      <c r="G4" s="3"/>
      <c r="H4"/>
      <c r="I4"/>
      <c r="J4"/>
      <c r="K4"/>
      <c r="L4"/>
      <c r="M4"/>
      <c r="N4"/>
    </row>
    <row r="5" spans="2:14" ht="20" customHeight="1" x14ac:dyDescent="0.25">
      <c r="D5" s="13"/>
      <c r="F5" s="474" t="s">
        <v>0</v>
      </c>
      <c r="G5" s="475"/>
      <c r="H5" s="475"/>
      <c r="I5" s="475"/>
      <c r="J5" s="476"/>
      <c r="K5"/>
      <c r="L5"/>
      <c r="M5"/>
      <c r="N5"/>
    </row>
    <row r="6" spans="2:14" ht="14" customHeight="1" x14ac:dyDescent="0.15">
      <c r="F6" s="477" t="s">
        <v>463</v>
      </c>
      <c r="G6" s="478"/>
      <c r="H6" s="478"/>
      <c r="I6" s="478"/>
      <c r="J6" s="479"/>
      <c r="K6"/>
      <c r="L6"/>
      <c r="M6"/>
      <c r="N6"/>
    </row>
    <row r="7" spans="2:14" ht="15" customHeight="1" x14ac:dyDescent="0.15">
      <c r="F7" s="477"/>
      <c r="G7" s="478"/>
      <c r="H7" s="478"/>
      <c r="I7" s="478"/>
      <c r="J7" s="479"/>
      <c r="K7"/>
      <c r="L7"/>
      <c r="M7"/>
      <c r="N7"/>
    </row>
    <row r="8" spans="2:14" ht="14" customHeight="1" x14ac:dyDescent="0.15">
      <c r="F8" s="477"/>
      <c r="G8" s="478"/>
      <c r="H8" s="478"/>
      <c r="I8" s="478"/>
      <c r="J8" s="479"/>
      <c r="K8"/>
      <c r="L8"/>
      <c r="M8"/>
      <c r="N8"/>
    </row>
    <row r="9" spans="2:14" ht="14" customHeight="1" x14ac:dyDescent="0.15">
      <c r="D9" s="3"/>
      <c r="F9" s="477"/>
      <c r="G9" s="478"/>
      <c r="H9" s="478"/>
      <c r="I9" s="478"/>
      <c r="J9" s="479"/>
      <c r="K9"/>
      <c r="L9"/>
      <c r="M9"/>
      <c r="N9"/>
    </row>
    <row r="10" spans="2:14" ht="14" customHeight="1" x14ac:dyDescent="0.15">
      <c r="D10" s="3"/>
      <c r="F10" s="477"/>
      <c r="G10" s="478"/>
      <c r="H10" s="478"/>
      <c r="I10" s="478"/>
      <c r="J10" s="479"/>
      <c r="K10"/>
      <c r="L10"/>
      <c r="M10"/>
      <c r="N10"/>
    </row>
    <row r="11" spans="2:14" ht="14" customHeight="1" x14ac:dyDescent="0.15">
      <c r="D11" s="3"/>
      <c r="F11" s="477"/>
      <c r="G11" s="478"/>
      <c r="H11" s="478"/>
      <c r="I11" s="478"/>
      <c r="J11" s="479"/>
      <c r="K11"/>
      <c r="L11"/>
      <c r="M11"/>
      <c r="N11"/>
    </row>
    <row r="12" spans="2:14" ht="14" customHeight="1" x14ac:dyDescent="0.15">
      <c r="D12" s="3"/>
      <c r="F12" s="477"/>
      <c r="G12" s="478"/>
      <c r="H12" s="478"/>
      <c r="I12" s="478"/>
      <c r="J12" s="479"/>
      <c r="K12"/>
      <c r="L12"/>
      <c r="M12"/>
      <c r="N12"/>
    </row>
    <row r="13" spans="2:14" ht="14" customHeight="1" x14ac:dyDescent="0.15">
      <c r="D13" s="3"/>
      <c r="F13" s="477"/>
      <c r="G13" s="478"/>
      <c r="H13" s="478"/>
      <c r="I13" s="478"/>
      <c r="J13" s="479"/>
      <c r="K13"/>
      <c r="L13"/>
      <c r="M13"/>
      <c r="N13"/>
    </row>
    <row r="14" spans="2:14" ht="14" customHeight="1" thickBot="1" x14ac:dyDescent="0.2">
      <c r="D14" s="3"/>
      <c r="F14" s="477"/>
      <c r="G14" s="478"/>
      <c r="H14" s="478"/>
      <c r="I14" s="478"/>
      <c r="J14" s="479"/>
      <c r="K14"/>
      <c r="L14"/>
      <c r="M14"/>
      <c r="N14"/>
    </row>
    <row r="15" spans="2:14" ht="14" customHeight="1" x14ac:dyDescent="0.15">
      <c r="B15" s="37" t="s">
        <v>215</v>
      </c>
      <c r="C15" s="38"/>
      <c r="D15" s="3"/>
      <c r="F15" s="477"/>
      <c r="G15" s="478"/>
      <c r="H15" s="478"/>
      <c r="I15" s="478"/>
      <c r="J15" s="479"/>
      <c r="K15"/>
      <c r="L15"/>
      <c r="M15"/>
      <c r="N15"/>
    </row>
    <row r="16" spans="2:14" ht="14" customHeight="1" thickBot="1" x14ac:dyDescent="0.2">
      <c r="B16" s="39" t="s">
        <v>217</v>
      </c>
      <c r="C16" s="40"/>
      <c r="D16" s="3"/>
      <c r="F16" s="477"/>
      <c r="G16" s="478"/>
      <c r="H16" s="478"/>
      <c r="I16" s="478"/>
      <c r="J16" s="479"/>
      <c r="K16"/>
      <c r="L16"/>
      <c r="M16"/>
      <c r="N16"/>
    </row>
    <row r="17" spans="2:14" ht="14" customHeight="1" x14ac:dyDescent="0.15">
      <c r="D17" s="3"/>
      <c r="E17" s="456"/>
      <c r="F17" s="477"/>
      <c r="G17" s="478"/>
      <c r="H17" s="478"/>
      <c r="I17" s="478"/>
      <c r="J17" s="479"/>
      <c r="K17"/>
      <c r="L17"/>
      <c r="M17"/>
      <c r="N17"/>
    </row>
    <row r="18" spans="2:14" ht="14" customHeight="1" x14ac:dyDescent="0.15">
      <c r="B18" s="473" t="s">
        <v>464</v>
      </c>
      <c r="C18" s="473"/>
      <c r="D18" s="473"/>
      <c r="E18" s="456"/>
      <c r="F18" s="477"/>
      <c r="G18" s="478"/>
      <c r="H18" s="478"/>
      <c r="I18" s="478"/>
      <c r="J18" s="479"/>
      <c r="K18"/>
      <c r="L18"/>
      <c r="M18"/>
      <c r="N18"/>
    </row>
    <row r="19" spans="2:14" ht="14" customHeight="1" thickBot="1" x14ac:dyDescent="0.25">
      <c r="B19" s="473"/>
      <c r="C19" s="473"/>
      <c r="D19" s="473"/>
      <c r="E19" s="31"/>
      <c r="F19" s="480"/>
      <c r="G19" s="481"/>
      <c r="H19" s="481"/>
      <c r="I19" s="481"/>
      <c r="J19" s="482"/>
      <c r="K19"/>
      <c r="L19"/>
      <c r="M19"/>
      <c r="N19"/>
    </row>
    <row r="20" spans="2:14" ht="14" customHeight="1" x14ac:dyDescent="0.15">
      <c r="B20" s="473"/>
      <c r="C20" s="473"/>
      <c r="D20" s="473"/>
      <c r="E20" s="456"/>
      <c r="F20" s="63"/>
      <c r="G20" s="3"/>
      <c r="H20"/>
      <c r="I20"/>
      <c r="J20"/>
      <c r="K20"/>
      <c r="L20"/>
      <c r="M20"/>
      <c r="N20"/>
    </row>
    <row r="21" spans="2:14" ht="14" customHeight="1" x14ac:dyDescent="0.15">
      <c r="B21" s="473"/>
      <c r="C21" s="473"/>
      <c r="D21" s="473"/>
      <c r="E21" s="456"/>
      <c r="F21" s="63"/>
      <c r="G21" s="3"/>
      <c r="H21"/>
      <c r="I21"/>
      <c r="J21"/>
      <c r="K21"/>
      <c r="L21"/>
      <c r="M21"/>
      <c r="N21"/>
    </row>
    <row r="22" spans="2:14" ht="14" customHeight="1" x14ac:dyDescent="0.15">
      <c r="D22" s="3"/>
      <c r="E22" s="63"/>
      <c r="F22" s="63"/>
      <c r="G22" s="3"/>
      <c r="H22"/>
      <c r="I22"/>
      <c r="J22"/>
      <c r="K22"/>
      <c r="L22"/>
      <c r="M22"/>
      <c r="N22"/>
    </row>
    <row r="23" spans="2:14" ht="18" x14ac:dyDescent="0.2">
      <c r="E23" s="31" t="s">
        <v>407</v>
      </c>
      <c r="F23" s="3"/>
      <c r="G23" s="3"/>
      <c r="H23"/>
      <c r="I23"/>
      <c r="J23"/>
      <c r="K23"/>
      <c r="L23"/>
      <c r="M23"/>
      <c r="N23"/>
    </row>
    <row r="24" spans="2:14" ht="15" thickBot="1" x14ac:dyDescent="0.25">
      <c r="D24" s="8"/>
      <c r="E24" s="8"/>
      <c r="F24" s="8"/>
      <c r="G24" s="8"/>
      <c r="H24" s="454"/>
      <c r="I24" s="455"/>
      <c r="J24" s="455"/>
    </row>
    <row r="25" spans="2:14" ht="21" thickTop="1" x14ac:dyDescent="0.25">
      <c r="E25" s="21" t="s">
        <v>274</v>
      </c>
    </row>
    <row r="26" spans="2:14" ht="19" x14ac:dyDescent="0.25">
      <c r="E26" s="21"/>
    </row>
    <row r="27" spans="2:14" ht="17" x14ac:dyDescent="0.2">
      <c r="E27" s="22" t="s">
        <v>21</v>
      </c>
    </row>
    <row r="28" spans="2:14" ht="113" customHeight="1" x14ac:dyDescent="0.2">
      <c r="E28" s="23" t="s">
        <v>406</v>
      </c>
    </row>
    <row r="29" spans="2:14" ht="17" thickBot="1" x14ac:dyDescent="0.25">
      <c r="E29" s="23"/>
    </row>
    <row r="30" spans="2:14" ht="17" x14ac:dyDescent="0.2">
      <c r="B30" s="483" t="s">
        <v>22</v>
      </c>
      <c r="C30" s="24" t="s">
        <v>86</v>
      </c>
      <c r="E30" s="22" t="s">
        <v>87</v>
      </c>
    </row>
    <row r="31" spans="2:14" ht="17" x14ac:dyDescent="0.2">
      <c r="B31" s="484"/>
      <c r="C31" s="25" t="s">
        <v>205</v>
      </c>
      <c r="E31" s="23" t="s">
        <v>125</v>
      </c>
    </row>
    <row r="32" spans="2:14" ht="17" thickBot="1" x14ac:dyDescent="0.25">
      <c r="B32" s="485"/>
      <c r="C32" s="41" t="s">
        <v>131</v>
      </c>
      <c r="E32" s="22"/>
    </row>
    <row r="33" spans="5:5" ht="68" x14ac:dyDescent="0.2">
      <c r="E33" s="23" t="s">
        <v>465</v>
      </c>
    </row>
    <row r="34" spans="5:5" ht="16" x14ac:dyDescent="0.2">
      <c r="E34" s="23"/>
    </row>
    <row r="35" spans="5:5" ht="17" x14ac:dyDescent="0.2">
      <c r="E35" s="22" t="s">
        <v>365</v>
      </c>
    </row>
    <row r="36" spans="5:5" ht="85" x14ac:dyDescent="0.2">
      <c r="E36" s="23" t="s">
        <v>370</v>
      </c>
    </row>
    <row r="37" spans="5:5" ht="16" x14ac:dyDescent="0.2">
      <c r="E37" s="23"/>
    </row>
    <row r="38" spans="5:5" ht="17" x14ac:dyDescent="0.2">
      <c r="E38" s="22" t="s">
        <v>73</v>
      </c>
    </row>
    <row r="39" spans="5:5" ht="51" x14ac:dyDescent="0.2">
      <c r="E39" s="23" t="s">
        <v>273</v>
      </c>
    </row>
    <row r="40" spans="5:5" ht="16" x14ac:dyDescent="0.2">
      <c r="E40" s="23"/>
    </row>
    <row r="41" spans="5:5" ht="17" x14ac:dyDescent="0.2">
      <c r="E41" s="22" t="s">
        <v>76</v>
      </c>
    </row>
    <row r="42" spans="5:5" ht="68" x14ac:dyDescent="0.2">
      <c r="E42" s="23" t="s">
        <v>366</v>
      </c>
    </row>
    <row r="43" spans="5:5" ht="16" x14ac:dyDescent="0.2">
      <c r="E43" s="23"/>
    </row>
    <row r="44" spans="5:5" ht="17" x14ac:dyDescent="0.2">
      <c r="E44" s="22" t="s">
        <v>160</v>
      </c>
    </row>
    <row r="45" spans="5:5" ht="51" x14ac:dyDescent="0.2">
      <c r="E45" s="23" t="s">
        <v>367</v>
      </c>
    </row>
    <row r="46" spans="5:5" ht="16" x14ac:dyDescent="0.2">
      <c r="E46" s="23"/>
    </row>
    <row r="47" spans="5:5" ht="17" x14ac:dyDescent="0.2">
      <c r="E47" s="22" t="s">
        <v>156</v>
      </c>
    </row>
    <row r="48" spans="5:5" ht="103" customHeight="1" x14ac:dyDescent="0.2">
      <c r="E48" s="23" t="s">
        <v>466</v>
      </c>
    </row>
    <row r="49" spans="5:5" ht="16" x14ac:dyDescent="0.2">
      <c r="E49" s="23"/>
    </row>
    <row r="50" spans="5:5" ht="17" x14ac:dyDescent="0.2">
      <c r="E50" s="22" t="s">
        <v>368</v>
      </c>
    </row>
    <row r="51" spans="5:5" ht="102" x14ac:dyDescent="0.2">
      <c r="E51" s="23" t="s">
        <v>467</v>
      </c>
    </row>
    <row r="54" spans="5:5" ht="17" x14ac:dyDescent="0.2">
      <c r="E54" s="22" t="s">
        <v>369</v>
      </c>
    </row>
  </sheetData>
  <mergeCells count="4">
    <mergeCell ref="B18:D21"/>
    <mergeCell ref="F5:J5"/>
    <mergeCell ref="F6:J19"/>
    <mergeCell ref="B30:B32"/>
  </mergeCells>
  <phoneticPr fontId="8" type="noConversion"/>
  <pageMargins left="0.75" right="0.75" top="1" bottom="1" header="0.5" footer="0.5"/>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R213"/>
  <sheetViews>
    <sheetView showGridLines="0" tabSelected="1" topLeftCell="A20" zoomScale="75" zoomScaleNormal="75" workbookViewId="0">
      <selection activeCell="P30" sqref="P30"/>
    </sheetView>
  </sheetViews>
  <sheetFormatPr baseColWidth="10" defaultColWidth="8.6640625" defaultRowHeight="13" x14ac:dyDescent="0.15"/>
  <cols>
    <col min="1" max="1" width="8.6640625" style="3"/>
    <col min="2" max="3" width="16.1640625" style="3" customWidth="1"/>
    <col min="4" max="5" width="13.33203125" style="3" customWidth="1"/>
    <col min="6" max="6" width="8.83203125" style="3" customWidth="1"/>
    <col min="7" max="7" width="31.6640625" style="3" customWidth="1"/>
    <col min="8" max="8" width="13.33203125" style="3" customWidth="1"/>
    <col min="9" max="9" width="8.83203125" style="3" customWidth="1"/>
    <col min="10" max="10" width="33.33203125" style="3" customWidth="1"/>
    <col min="11" max="11" width="13.33203125" style="3" customWidth="1"/>
    <col min="12" max="13" width="5.83203125" style="3" customWidth="1"/>
    <col min="14" max="16" width="16.1640625" style="3" customWidth="1"/>
    <col min="17" max="17" width="8.83203125" style="3" customWidth="1"/>
    <col min="18" max="21" width="16.1640625" style="3" customWidth="1"/>
    <col min="22" max="23" width="5.83203125" style="3" customWidth="1"/>
    <col min="24" max="24" width="29.83203125" style="3" customWidth="1"/>
    <col min="25" max="27" width="13.33203125" style="3" customWidth="1"/>
    <col min="28" max="16384" width="8.6640625" style="3"/>
  </cols>
  <sheetData>
    <row r="1" spans="1:44" x14ac:dyDescent="0.15">
      <c r="A1" s="336"/>
    </row>
    <row r="2" spans="1:44" ht="20" thickBot="1" x14ac:dyDescent="0.3">
      <c r="H2" s="28" t="s">
        <v>149</v>
      </c>
    </row>
    <row r="3" spans="1:44" ht="21" customHeight="1" x14ac:dyDescent="0.25">
      <c r="H3" s="31" t="s">
        <v>407</v>
      </c>
      <c r="I3" s="31"/>
      <c r="L3" s="29"/>
      <c r="M3" s="29"/>
      <c r="N3" s="29"/>
      <c r="P3" s="490" t="s">
        <v>0</v>
      </c>
      <c r="Q3" s="491"/>
      <c r="R3" s="491"/>
      <c r="S3" s="491"/>
      <c r="T3" s="491"/>
      <c r="U3" s="491"/>
      <c r="V3" s="491"/>
      <c r="W3" s="491"/>
      <c r="X3" s="492"/>
    </row>
    <row r="4" spans="1:44" ht="20" customHeight="1" x14ac:dyDescent="0.25">
      <c r="A4" s="13"/>
      <c r="H4" s="32" t="s">
        <v>27</v>
      </c>
      <c r="I4" s="32"/>
      <c r="P4" s="493" t="s">
        <v>312</v>
      </c>
      <c r="Q4" s="494"/>
      <c r="R4" s="494"/>
      <c r="S4" s="494"/>
      <c r="T4" s="494"/>
      <c r="U4" s="494"/>
      <c r="V4" s="494"/>
      <c r="W4" s="494"/>
      <c r="X4" s="495"/>
    </row>
    <row r="5" spans="1:44" ht="26" customHeight="1" thickBot="1" x14ac:dyDescent="0.3">
      <c r="A5"/>
      <c r="I5" s="174"/>
      <c r="J5"/>
      <c r="K5"/>
      <c r="L5" s="473" t="s">
        <v>462</v>
      </c>
      <c r="M5" s="473"/>
      <c r="N5" s="473"/>
      <c r="P5" s="493"/>
      <c r="Q5" s="494"/>
      <c r="R5" s="494"/>
      <c r="S5" s="494"/>
      <c r="T5" s="494"/>
      <c r="U5" s="494"/>
      <c r="V5" s="494"/>
      <c r="W5" s="494"/>
      <c r="X5" s="495"/>
    </row>
    <row r="6" spans="1:44" ht="16" customHeight="1" x14ac:dyDescent="0.15">
      <c r="A6"/>
      <c r="H6" s="507" t="s">
        <v>199</v>
      </c>
      <c r="I6" s="508"/>
      <c r="J6" s="450" t="s">
        <v>314</v>
      </c>
      <c r="K6"/>
      <c r="L6" s="473"/>
      <c r="M6" s="473"/>
      <c r="N6" s="473"/>
      <c r="P6" s="493"/>
      <c r="Q6" s="494"/>
      <c r="R6" s="494"/>
      <c r="S6" s="494"/>
      <c r="T6" s="494"/>
      <c r="U6" s="494"/>
      <c r="V6" s="494"/>
      <c r="W6" s="494"/>
      <c r="X6" s="495"/>
    </row>
    <row r="7" spans="1:44" ht="15" customHeight="1" x14ac:dyDescent="0.2">
      <c r="A7"/>
      <c r="H7" s="509"/>
      <c r="I7" s="510"/>
      <c r="J7" s="451" t="s">
        <v>245</v>
      </c>
      <c r="K7" s="14"/>
      <c r="L7" s="473"/>
      <c r="M7" s="473"/>
      <c r="N7" s="473"/>
      <c r="P7" s="493"/>
      <c r="Q7" s="494"/>
      <c r="R7" s="494"/>
      <c r="S7" s="494"/>
      <c r="T7" s="494"/>
      <c r="U7" s="494"/>
      <c r="V7" s="494"/>
      <c r="W7" s="494"/>
      <c r="X7" s="495"/>
    </row>
    <row r="8" spans="1:44" ht="13" customHeight="1" thickBot="1" x14ac:dyDescent="0.25">
      <c r="H8" s="511"/>
      <c r="I8" s="512"/>
      <c r="J8" s="452" t="s">
        <v>219</v>
      </c>
      <c r="K8"/>
      <c r="L8" s="473"/>
      <c r="M8" s="473"/>
      <c r="N8" s="473"/>
      <c r="P8" s="493"/>
      <c r="Q8" s="494"/>
      <c r="R8" s="494"/>
      <c r="S8" s="494"/>
      <c r="T8" s="494"/>
      <c r="U8" s="494"/>
      <c r="V8" s="494"/>
      <c r="W8" s="494"/>
      <c r="X8" s="495"/>
    </row>
    <row r="9" spans="1:44" ht="22" customHeight="1" thickBot="1" x14ac:dyDescent="0.25">
      <c r="L9" s="473"/>
      <c r="M9" s="473"/>
      <c r="N9" s="473"/>
      <c r="P9" s="493"/>
      <c r="Q9" s="494"/>
      <c r="R9" s="494"/>
      <c r="S9" s="494"/>
      <c r="T9" s="494"/>
      <c r="U9" s="494"/>
      <c r="V9" s="494"/>
      <c r="W9" s="494"/>
      <c r="X9" s="495"/>
      <c r="Y9" s="2"/>
      <c r="Z9" s="2"/>
      <c r="AA9" s="2"/>
    </row>
    <row r="10" spans="1:44" ht="15" customHeight="1" thickBot="1" x14ac:dyDescent="0.25">
      <c r="H10" s="486" t="s">
        <v>214</v>
      </c>
      <c r="I10" s="487"/>
      <c r="J10" s="458"/>
      <c r="K10"/>
      <c r="L10" s="473"/>
      <c r="M10" s="473"/>
      <c r="N10" s="473"/>
      <c r="P10" s="496"/>
      <c r="Q10" s="497"/>
      <c r="R10" s="497"/>
      <c r="S10" s="497"/>
      <c r="T10" s="497"/>
      <c r="U10" s="497"/>
      <c r="V10" s="497"/>
      <c r="W10" s="497"/>
      <c r="X10" s="498"/>
      <c r="Y10" s="2"/>
      <c r="Z10" s="2"/>
      <c r="AA10" s="2"/>
    </row>
    <row r="11" spans="1:44" customFormat="1" ht="13" customHeight="1" thickBot="1" x14ac:dyDescent="0.25">
      <c r="B11" s="468">
        <v>5</v>
      </c>
      <c r="C11" s="3"/>
      <c r="D11" s="3"/>
      <c r="E11" s="3"/>
      <c r="F11" s="3"/>
      <c r="G11" s="3"/>
      <c r="H11" s="488" t="s">
        <v>216</v>
      </c>
      <c r="I11" s="489"/>
      <c r="J11" s="459"/>
      <c r="M11" s="3"/>
      <c r="N11" s="3"/>
      <c r="O11" s="3"/>
      <c r="P11" s="3"/>
      <c r="Q11" s="3"/>
      <c r="R11" s="3"/>
      <c r="S11" s="3"/>
      <c r="T11" s="3"/>
      <c r="U11" s="3"/>
      <c r="V11" s="3"/>
      <c r="W11" s="3"/>
      <c r="X11" s="3"/>
      <c r="Y11" s="3"/>
      <c r="Z11" s="3"/>
    </row>
    <row r="12" spans="1:44" ht="15" thickBot="1" x14ac:dyDescent="0.25">
      <c r="A12" s="126"/>
      <c r="B12" s="126"/>
      <c r="C12" s="126"/>
      <c r="D12" s="126"/>
      <c r="E12" s="126"/>
      <c r="F12" s="126"/>
      <c r="G12" s="126"/>
      <c r="H12" s="126"/>
      <c r="I12" s="126"/>
      <c r="J12" s="126"/>
      <c r="K12" s="126"/>
      <c r="L12"/>
      <c r="N12" s="127"/>
      <c r="O12" s="127"/>
      <c r="P12" s="127"/>
      <c r="Q12" s="127"/>
      <c r="R12" s="127"/>
      <c r="S12" s="127"/>
      <c r="T12" s="127"/>
      <c r="U12" s="127"/>
      <c r="V12" s="127"/>
      <c r="W12" s="127"/>
      <c r="X12" s="127"/>
      <c r="Y12" s="127"/>
      <c r="Z12" s="127"/>
      <c r="AA12" s="127"/>
      <c r="AB12" s="127"/>
      <c r="AC12" s="127"/>
      <c r="AD12" s="127"/>
      <c r="AE12" s="127"/>
      <c r="AF12" s="127"/>
      <c r="AG12" s="127"/>
      <c r="AH12" s="127"/>
      <c r="AI12" s="127"/>
      <c r="AJ12" s="127"/>
      <c r="AK12" s="127"/>
      <c r="AL12" s="127"/>
      <c r="AM12" s="127"/>
      <c r="AN12" s="127"/>
      <c r="AO12" s="127"/>
      <c r="AP12" s="127"/>
      <c r="AQ12" s="127"/>
      <c r="AR12" s="127"/>
    </row>
    <row r="13" spans="1:44" ht="22" thickTop="1" x14ac:dyDescent="0.25">
      <c r="A13" s="146"/>
      <c r="B13" s="179" t="s">
        <v>56</v>
      </c>
      <c r="C13" s="147"/>
      <c r="D13" s="146"/>
      <c r="E13" s="146"/>
      <c r="F13" s="146"/>
      <c r="G13" s="146"/>
      <c r="H13" s="146"/>
      <c r="I13" s="146"/>
      <c r="J13" s="146"/>
      <c r="K13" s="146"/>
      <c r="L13" s="149"/>
      <c r="M13" s="128"/>
      <c r="N13" s="178" t="s">
        <v>31</v>
      </c>
      <c r="O13" s="130"/>
      <c r="P13" s="130"/>
      <c r="Q13" s="130"/>
      <c r="R13" s="130"/>
      <c r="S13" s="128"/>
      <c r="T13" s="128"/>
      <c r="U13" s="128"/>
      <c r="V13" s="128"/>
      <c r="W13" s="128"/>
      <c r="X13" s="128"/>
      <c r="Y13" s="128"/>
      <c r="Z13" s="128"/>
      <c r="AA13" s="128"/>
      <c r="AB13" s="128"/>
      <c r="AC13" s="128"/>
      <c r="AD13" s="130"/>
      <c r="AE13" s="130"/>
      <c r="AF13" s="130"/>
      <c r="AG13" s="130"/>
      <c r="AH13" s="130"/>
      <c r="AI13" s="130"/>
      <c r="AJ13" s="130"/>
      <c r="AK13" s="130"/>
      <c r="AL13" s="130"/>
      <c r="AM13" s="130"/>
      <c r="AN13" s="130"/>
      <c r="AO13" s="130"/>
      <c r="AP13" s="130"/>
      <c r="AQ13" s="130"/>
      <c r="AR13" s="141"/>
    </row>
    <row r="14" spans="1:44" ht="19" x14ac:dyDescent="0.25">
      <c r="A14" s="146"/>
      <c r="B14" s="147"/>
      <c r="C14" s="147"/>
      <c r="D14" s="146"/>
      <c r="E14" s="146"/>
      <c r="F14" s="146"/>
      <c r="G14" s="146"/>
      <c r="H14" s="148"/>
      <c r="I14" s="148"/>
      <c r="J14" s="148"/>
      <c r="K14" s="148"/>
      <c r="L14" s="150"/>
      <c r="M14" s="131"/>
      <c r="N14" s="129" t="s">
        <v>155</v>
      </c>
      <c r="O14" s="129"/>
      <c r="P14" s="131"/>
      <c r="Q14" s="128"/>
      <c r="R14" s="128"/>
      <c r="S14" s="128"/>
      <c r="T14" s="128"/>
      <c r="U14" s="128"/>
      <c r="V14" s="128"/>
      <c r="W14" s="128"/>
      <c r="X14" s="128"/>
      <c r="Y14" s="128"/>
      <c r="Z14" s="128"/>
      <c r="AA14" s="128"/>
      <c r="AB14" s="128"/>
      <c r="AC14" s="128"/>
      <c r="AD14" s="130"/>
      <c r="AE14" s="130"/>
      <c r="AF14" s="130"/>
      <c r="AG14" s="130"/>
      <c r="AH14" s="130"/>
      <c r="AI14" s="130"/>
      <c r="AJ14" s="130"/>
      <c r="AK14" s="130"/>
      <c r="AL14" s="130"/>
      <c r="AM14" s="130"/>
      <c r="AN14" s="130"/>
      <c r="AO14" s="130"/>
      <c r="AP14" s="130"/>
      <c r="AQ14" s="130"/>
      <c r="AR14" s="142"/>
    </row>
    <row r="15" spans="1:44" ht="19" x14ac:dyDescent="0.25">
      <c r="A15" s="151"/>
      <c r="B15" s="152"/>
      <c r="C15" s="152"/>
      <c r="D15" s="152"/>
      <c r="E15" s="152"/>
      <c r="F15" s="152"/>
      <c r="G15" s="152"/>
      <c r="H15" s="152"/>
      <c r="I15" s="152"/>
      <c r="J15" s="152"/>
      <c r="K15" s="152"/>
      <c r="L15" s="153"/>
      <c r="M15" s="131"/>
      <c r="N15" s="129"/>
      <c r="O15" s="129"/>
      <c r="P15" s="131"/>
      <c r="Q15" s="128"/>
      <c r="R15" s="132"/>
      <c r="S15" s="128"/>
      <c r="T15" s="128"/>
      <c r="U15" s="128"/>
      <c r="V15" s="128"/>
      <c r="W15" s="128"/>
      <c r="X15" s="128"/>
      <c r="Y15" s="128"/>
      <c r="Z15" s="128"/>
      <c r="AA15" s="128"/>
      <c r="AB15" s="128"/>
      <c r="AC15" s="128"/>
      <c r="AD15" s="130"/>
      <c r="AE15" s="130"/>
      <c r="AF15" s="130"/>
      <c r="AG15" s="130"/>
      <c r="AH15" s="130"/>
      <c r="AI15" s="130"/>
      <c r="AJ15" s="130"/>
      <c r="AK15" s="130"/>
      <c r="AL15" s="130"/>
      <c r="AM15" s="130"/>
      <c r="AN15" s="130"/>
      <c r="AO15" s="130"/>
      <c r="AP15" s="130"/>
      <c r="AQ15" s="130"/>
      <c r="AR15" s="142"/>
    </row>
    <row r="16" spans="1:44" ht="16" x14ac:dyDescent="0.2">
      <c r="A16" s="151"/>
      <c r="B16" s="65" t="s">
        <v>170</v>
      </c>
      <c r="C16" s="124"/>
      <c r="D16" s="66"/>
      <c r="E16" s="67"/>
      <c r="F16" s="161"/>
      <c r="G16" s="65" t="s">
        <v>157</v>
      </c>
      <c r="H16" s="67"/>
      <c r="I16" s="161"/>
      <c r="J16" s="65" t="s">
        <v>111</v>
      </c>
      <c r="K16" s="67"/>
      <c r="L16" s="164"/>
      <c r="M16" s="131"/>
      <c r="N16" s="504" t="s">
        <v>259</v>
      </c>
      <c r="O16" s="505"/>
      <c r="P16" s="506"/>
      <c r="Q16" s="128"/>
      <c r="R16" s="128"/>
      <c r="S16" s="128"/>
      <c r="T16" s="128"/>
      <c r="U16" s="128"/>
      <c r="V16" s="128"/>
      <c r="W16" s="128"/>
      <c r="X16" s="128"/>
      <c r="Y16" s="128"/>
      <c r="Z16" s="128"/>
      <c r="AA16" s="128"/>
      <c r="AB16" s="128"/>
      <c r="AC16" s="128"/>
      <c r="AD16" s="130"/>
      <c r="AE16" s="130"/>
      <c r="AF16" s="130"/>
      <c r="AG16" s="130"/>
      <c r="AH16" s="130"/>
      <c r="AI16" s="130"/>
      <c r="AJ16" s="130"/>
      <c r="AK16" s="130"/>
      <c r="AL16" s="130"/>
      <c r="AM16" s="130"/>
      <c r="AN16" s="130"/>
      <c r="AO16" s="130"/>
      <c r="AP16" s="130"/>
      <c r="AQ16" s="130"/>
      <c r="AR16" s="144"/>
    </row>
    <row r="17" spans="1:44" ht="16" x14ac:dyDescent="0.2">
      <c r="A17" s="151"/>
      <c r="B17" s="68"/>
      <c r="C17" s="125"/>
      <c r="D17" s="69" t="s">
        <v>55</v>
      </c>
      <c r="E17" s="69" t="s">
        <v>269</v>
      </c>
      <c r="F17" s="166"/>
      <c r="G17" s="70" t="s">
        <v>159</v>
      </c>
      <c r="H17" s="423" t="s">
        <v>309</v>
      </c>
      <c r="I17" s="161"/>
      <c r="J17" s="71" t="s">
        <v>193</v>
      </c>
      <c r="K17" s="111">
        <v>7.3031580167629145E-2</v>
      </c>
      <c r="L17" s="164"/>
      <c r="M17" s="131"/>
      <c r="N17" s="261" t="s">
        <v>110</v>
      </c>
      <c r="O17" s="262"/>
      <c r="P17" s="277">
        <f>Unstructured!D149</f>
        <v>0</v>
      </c>
      <c r="Q17" s="128"/>
      <c r="R17" s="130"/>
      <c r="S17" s="128"/>
      <c r="T17" s="128"/>
      <c r="U17" s="128"/>
      <c r="V17" s="128"/>
      <c r="W17" s="128"/>
      <c r="X17" s="128"/>
      <c r="Y17" s="128"/>
      <c r="Z17" s="128"/>
      <c r="AA17" s="128"/>
      <c r="AB17" s="128"/>
      <c r="AC17" s="128"/>
      <c r="AD17" s="130"/>
      <c r="AE17" s="130"/>
      <c r="AF17" s="130"/>
      <c r="AG17" s="130"/>
      <c r="AH17" s="130"/>
      <c r="AI17" s="130"/>
      <c r="AJ17" s="130"/>
      <c r="AK17" s="130"/>
      <c r="AL17" s="130"/>
      <c r="AM17" s="130"/>
      <c r="AN17" s="130"/>
      <c r="AO17" s="130"/>
      <c r="AP17" s="130"/>
      <c r="AQ17" s="130"/>
      <c r="AR17" s="144"/>
    </row>
    <row r="18" spans="1:44" ht="17" thickBot="1" x14ac:dyDescent="0.25">
      <c r="A18" s="151"/>
      <c r="B18" s="70" t="s">
        <v>268</v>
      </c>
      <c r="C18" s="72"/>
      <c r="D18" s="107">
        <f>(1.42+0.012133)-D21</f>
        <v>1.2889196999999999</v>
      </c>
      <c r="E18" s="117">
        <f>$D$18*$E$30</f>
        <v>1.5467036399999998</v>
      </c>
      <c r="F18" s="166"/>
      <c r="G18" s="71" t="s">
        <v>228</v>
      </c>
      <c r="H18" s="105">
        <v>3</v>
      </c>
      <c r="I18" s="161"/>
      <c r="J18" s="71" t="s">
        <v>162</v>
      </c>
      <c r="K18" s="112">
        <v>2.5000000000000001E-2</v>
      </c>
      <c r="L18" s="164"/>
      <c r="M18" s="131"/>
      <c r="N18" s="263" t="s">
        <v>112</v>
      </c>
      <c r="O18" s="264"/>
      <c r="P18" s="278">
        <f>Roof_Upgrade_Cost</f>
        <v>0</v>
      </c>
      <c r="Q18" s="128"/>
      <c r="R18" s="130"/>
      <c r="S18" s="128"/>
      <c r="T18" s="128"/>
      <c r="U18" s="128"/>
      <c r="V18" s="128"/>
      <c r="W18" s="128"/>
      <c r="X18" s="128"/>
      <c r="Y18" s="128"/>
      <c r="Z18" s="128"/>
      <c r="AA18" s="128"/>
      <c r="AB18" s="128"/>
      <c r="AC18" s="128"/>
      <c r="AD18" s="130"/>
      <c r="AE18" s="130"/>
      <c r="AF18" s="130"/>
      <c r="AG18" s="130"/>
      <c r="AH18" s="130"/>
      <c r="AI18" s="130"/>
      <c r="AJ18" s="130"/>
      <c r="AK18" s="130"/>
      <c r="AL18" s="130"/>
      <c r="AM18" s="130"/>
      <c r="AN18" s="130"/>
      <c r="AO18" s="130"/>
      <c r="AP18" s="130"/>
      <c r="AQ18" s="130"/>
      <c r="AR18" s="144"/>
    </row>
    <row r="19" spans="1:44" ht="17" thickTop="1" x14ac:dyDescent="0.2">
      <c r="A19" s="151"/>
      <c r="B19" s="71" t="s">
        <v>132</v>
      </c>
      <c r="C19" s="72"/>
      <c r="D19" s="107">
        <v>0</v>
      </c>
      <c r="E19" s="118">
        <f>$D$19*$E$30</f>
        <v>0</v>
      </c>
      <c r="F19" s="161"/>
      <c r="G19" s="71" t="s">
        <v>158</v>
      </c>
      <c r="H19" s="110">
        <v>311088.99461538461</v>
      </c>
      <c r="I19" s="161"/>
      <c r="J19" s="75" t="s">
        <v>133</v>
      </c>
      <c r="K19" s="76"/>
      <c r="L19" s="164"/>
      <c r="M19" s="131"/>
      <c r="N19" s="265" t="s">
        <v>260</v>
      </c>
      <c r="O19" s="266"/>
      <c r="P19" s="279">
        <f>SUM(P17:P18)</f>
        <v>0</v>
      </c>
      <c r="Q19" s="128"/>
      <c r="R19" s="130"/>
      <c r="S19" s="128"/>
      <c r="T19" s="128"/>
      <c r="U19" s="128"/>
      <c r="V19" s="128"/>
      <c r="W19" s="128"/>
      <c r="X19" s="128"/>
      <c r="Y19" s="128"/>
      <c r="Z19" s="128"/>
      <c r="AA19" s="128"/>
      <c r="AB19" s="128"/>
      <c r="AC19" s="128"/>
      <c r="AD19" s="130"/>
      <c r="AE19" s="130"/>
      <c r="AF19" s="130"/>
      <c r="AG19" s="130"/>
      <c r="AH19" s="130"/>
      <c r="AI19" s="130"/>
      <c r="AJ19" s="130"/>
      <c r="AK19" s="130"/>
      <c r="AL19" s="130"/>
      <c r="AM19" s="130"/>
      <c r="AN19" s="130"/>
      <c r="AO19" s="130"/>
      <c r="AP19" s="130"/>
      <c r="AQ19" s="130"/>
      <c r="AR19" s="144"/>
    </row>
    <row r="20" spans="1:44" ht="16" x14ac:dyDescent="0.2">
      <c r="A20" s="151"/>
      <c r="B20" s="71" t="s">
        <v>441</v>
      </c>
      <c r="C20" s="72"/>
      <c r="D20" s="107">
        <v>0</v>
      </c>
      <c r="E20" s="118">
        <f>$D$20*$E$30</f>
        <v>0</v>
      </c>
      <c r="F20" s="161"/>
      <c r="G20" s="71" t="s">
        <v>200</v>
      </c>
      <c r="H20" s="108">
        <v>3.5000000000000003E-2</v>
      </c>
      <c r="I20" s="161"/>
      <c r="J20" s="78" t="s">
        <v>1</v>
      </c>
      <c r="K20" s="423" t="s">
        <v>309</v>
      </c>
      <c r="L20" s="164"/>
      <c r="M20" s="131"/>
      <c r="Q20" s="128"/>
      <c r="R20" s="130"/>
      <c r="S20" s="128"/>
      <c r="T20" s="128"/>
      <c r="U20" s="128"/>
      <c r="V20" s="128"/>
      <c r="W20" s="128"/>
      <c r="X20" s="128"/>
      <c r="Y20" s="128"/>
      <c r="Z20" s="128"/>
      <c r="AA20" s="128"/>
      <c r="AB20" s="128"/>
      <c r="AC20" s="128"/>
      <c r="AD20" s="130"/>
      <c r="AE20" s="130"/>
      <c r="AF20" s="130"/>
      <c r="AG20" s="130"/>
      <c r="AH20" s="130"/>
      <c r="AI20" s="130"/>
      <c r="AJ20" s="130"/>
      <c r="AK20" s="130"/>
      <c r="AL20" s="130"/>
      <c r="AM20" s="130"/>
      <c r="AN20" s="130"/>
      <c r="AO20" s="130"/>
      <c r="AP20" s="130"/>
      <c r="AQ20" s="130"/>
      <c r="AR20" s="144"/>
    </row>
    <row r="21" spans="1:44" ht="17" thickBot="1" x14ac:dyDescent="0.25">
      <c r="A21" s="151"/>
      <c r="B21" s="71" t="s">
        <v>45</v>
      </c>
      <c r="C21" s="72"/>
      <c r="D21" s="107">
        <f>(1.42+0.012133)*0.1</f>
        <v>0.14321329999999999</v>
      </c>
      <c r="E21" s="119">
        <f>$D$21*$E$30</f>
        <v>0.17185595999999997</v>
      </c>
      <c r="F21" s="161"/>
      <c r="G21" s="80" t="s">
        <v>14</v>
      </c>
      <c r="H21" s="110">
        <v>100000</v>
      </c>
      <c r="I21" s="161"/>
      <c r="J21" s="71" t="s">
        <v>102</v>
      </c>
      <c r="K21" s="113">
        <v>110</v>
      </c>
      <c r="L21" s="164"/>
      <c r="M21" s="131"/>
      <c r="N21" s="501" t="s">
        <v>128</v>
      </c>
      <c r="O21" s="502"/>
      <c r="P21" s="503"/>
      <c r="Q21" s="128"/>
      <c r="R21" s="130"/>
      <c r="S21" s="128"/>
      <c r="T21" s="128"/>
      <c r="U21" s="128"/>
      <c r="V21" s="128"/>
      <c r="W21" s="128"/>
      <c r="X21" s="128"/>
      <c r="Y21" s="128"/>
      <c r="Z21" s="128"/>
      <c r="AA21" s="128"/>
      <c r="AB21" s="128"/>
      <c r="AC21" s="128"/>
      <c r="AD21" s="130"/>
      <c r="AE21" s="130"/>
      <c r="AF21" s="130"/>
      <c r="AG21" s="130"/>
      <c r="AH21" s="130"/>
      <c r="AI21" s="130"/>
      <c r="AJ21" s="130"/>
      <c r="AK21" s="130"/>
      <c r="AL21" s="130"/>
      <c r="AM21" s="130"/>
      <c r="AN21" s="130"/>
      <c r="AO21" s="130"/>
      <c r="AP21" s="130"/>
      <c r="AQ21" s="130"/>
      <c r="AR21" s="144"/>
    </row>
    <row r="22" spans="1:44" ht="18" thickTop="1" thickBot="1" x14ac:dyDescent="0.25">
      <c r="A22" s="151"/>
      <c r="B22" s="71" t="s">
        <v>227</v>
      </c>
      <c r="C22" s="72"/>
      <c r="D22" s="119">
        <f>SUM(D18:D21)</f>
        <v>1.4321329999999999</v>
      </c>
      <c r="E22" s="79">
        <f>SUM(E18:E21)</f>
        <v>1.7185595999999999</v>
      </c>
      <c r="F22" s="161"/>
      <c r="G22" s="65" t="s">
        <v>72</v>
      </c>
      <c r="H22" s="67"/>
      <c r="I22" s="161"/>
      <c r="J22" s="71" t="s">
        <v>251</v>
      </c>
      <c r="K22" s="106">
        <v>1000</v>
      </c>
      <c r="L22" s="164"/>
      <c r="M22" s="131"/>
      <c r="N22" s="281" t="s">
        <v>34</v>
      </c>
      <c r="O22" s="282"/>
      <c r="P22" s="280">
        <f>$H$23</f>
        <v>574682.63235239836</v>
      </c>
      <c r="Q22" s="128"/>
      <c r="R22" s="130"/>
      <c r="S22" s="128"/>
      <c r="T22" s="128"/>
      <c r="U22" s="128"/>
      <c r="V22" s="128"/>
      <c r="W22" s="128"/>
      <c r="X22" s="128"/>
      <c r="Y22" s="128"/>
      <c r="Z22" s="128"/>
      <c r="AA22" s="128"/>
      <c r="AB22" s="128"/>
      <c r="AC22" s="128"/>
      <c r="AD22" s="130"/>
      <c r="AE22" s="130"/>
      <c r="AF22" s="130"/>
      <c r="AG22" s="130"/>
      <c r="AH22" s="130"/>
      <c r="AI22" s="130"/>
      <c r="AJ22" s="130"/>
      <c r="AK22" s="130"/>
      <c r="AL22" s="130"/>
      <c r="AM22" s="130"/>
      <c r="AN22" s="130"/>
      <c r="AO22" s="130"/>
      <c r="AP22" s="130"/>
      <c r="AQ22" s="130"/>
      <c r="AR22" s="144"/>
    </row>
    <row r="23" spans="1:44" ht="18" thickTop="1" thickBot="1" x14ac:dyDescent="0.25">
      <c r="A23" s="151"/>
      <c r="B23" s="71" t="s">
        <v>46</v>
      </c>
      <c r="C23" s="72"/>
      <c r="D23" s="106">
        <v>384500</v>
      </c>
      <c r="E23" s="120">
        <f>Size_of_System_in_W_DC/$E$30</f>
        <v>320416.66666666669</v>
      </c>
      <c r="F23" s="161"/>
      <c r="G23" s="70" t="s">
        <v>144</v>
      </c>
      <c r="H23" s="110">
        <f>Aggregate_Project_Cost</f>
        <v>574682.63235239836</v>
      </c>
      <c r="I23" s="161"/>
      <c r="J23" s="71" t="s">
        <v>103</v>
      </c>
      <c r="K23" s="108">
        <v>-2.5000000000000001E-2</v>
      </c>
      <c r="L23" s="164"/>
      <c r="M23" s="131"/>
      <c r="N23" s="269" t="s">
        <v>74</v>
      </c>
      <c r="O23" s="264"/>
      <c r="P23" s="280">
        <f>IF($H$27="Yes",$P$22*$H$32,0)</f>
        <v>0</v>
      </c>
      <c r="Q23" s="133"/>
      <c r="R23" s="130"/>
      <c r="S23" s="128"/>
      <c r="T23" s="128"/>
      <c r="U23" s="128"/>
      <c r="V23" s="128"/>
      <c r="W23" s="128"/>
      <c r="X23" s="128"/>
      <c r="Y23" s="128"/>
      <c r="Z23" s="128"/>
      <c r="AA23" s="128"/>
      <c r="AB23" s="128"/>
      <c r="AC23" s="128"/>
      <c r="AD23" s="130"/>
      <c r="AE23" s="130"/>
      <c r="AF23" s="130"/>
      <c r="AG23" s="130"/>
      <c r="AH23" s="130"/>
      <c r="AI23" s="130"/>
      <c r="AJ23" s="130"/>
      <c r="AK23" s="130"/>
      <c r="AL23" s="130"/>
      <c r="AM23" s="130"/>
      <c r="AN23" s="130"/>
      <c r="AO23" s="130"/>
      <c r="AP23" s="130"/>
      <c r="AQ23" s="130"/>
      <c r="AR23" s="144"/>
    </row>
    <row r="24" spans="1:44" ht="18" thickTop="1" thickBot="1" x14ac:dyDescent="0.25">
      <c r="A24" s="151"/>
      <c r="B24" s="71" t="s">
        <v>229</v>
      </c>
      <c r="C24" s="72"/>
      <c r="D24" s="107">
        <v>0</v>
      </c>
      <c r="E24" s="119">
        <f>$D$24*$E$30</f>
        <v>0</v>
      </c>
      <c r="F24" s="161"/>
      <c r="G24" s="82" t="s">
        <v>213</v>
      </c>
      <c r="H24" s="121">
        <f>Project_Sale_Price-IF(Project_Debt?="Yes",$H$30,0)</f>
        <v>574682.63235239836</v>
      </c>
      <c r="I24" s="161"/>
      <c r="J24" s="80" t="s">
        <v>101</v>
      </c>
      <c r="K24" s="105">
        <v>10</v>
      </c>
      <c r="L24" s="164"/>
      <c r="M24" s="131"/>
      <c r="N24" s="269" t="s">
        <v>75</v>
      </c>
      <c r="O24" s="264"/>
      <c r="P24" s="280">
        <f>P22-P23</f>
        <v>574682.63235239836</v>
      </c>
      <c r="Q24" s="128"/>
      <c r="R24" s="130"/>
      <c r="S24" s="130"/>
      <c r="T24" s="130"/>
      <c r="U24" s="130"/>
      <c r="V24" s="128"/>
      <c r="W24" s="128"/>
      <c r="X24" s="128"/>
      <c r="Y24" s="128"/>
      <c r="Z24" s="128"/>
      <c r="AA24" s="128"/>
      <c r="AB24" s="128"/>
      <c r="AC24" s="128"/>
      <c r="AD24" s="130"/>
      <c r="AE24" s="130"/>
      <c r="AF24" s="130"/>
      <c r="AG24" s="130"/>
      <c r="AH24" s="130"/>
      <c r="AI24" s="130"/>
      <c r="AJ24" s="130"/>
      <c r="AK24" s="130"/>
      <c r="AL24" s="130"/>
      <c r="AM24" s="130"/>
      <c r="AN24" s="130"/>
      <c r="AO24" s="130"/>
      <c r="AP24" s="130"/>
      <c r="AQ24" s="130"/>
      <c r="AR24" s="144"/>
    </row>
    <row r="25" spans="1:44" ht="17" thickTop="1" x14ac:dyDescent="0.2">
      <c r="A25" s="151"/>
      <c r="B25" s="71" t="s">
        <v>300</v>
      </c>
      <c r="C25" s="72"/>
      <c r="D25" s="72"/>
      <c r="E25" s="106">
        <v>1296.9405201560448</v>
      </c>
      <c r="F25" s="161"/>
      <c r="G25" s="80" t="s">
        <v>374</v>
      </c>
      <c r="H25" s="108">
        <v>6.5000000000000002E-2</v>
      </c>
      <c r="I25" s="161"/>
      <c r="J25" s="75" t="s">
        <v>62</v>
      </c>
      <c r="K25" s="76"/>
      <c r="L25" s="164"/>
      <c r="M25" s="131"/>
      <c r="N25" s="270" t="s">
        <v>148</v>
      </c>
      <c r="O25" s="271"/>
      <c r="P25" s="280">
        <f>Unstructured!C89</f>
        <v>-24001.473327178275</v>
      </c>
      <c r="Q25" s="128"/>
      <c r="R25" s="130"/>
      <c r="S25" s="130"/>
      <c r="T25" s="130"/>
      <c r="U25" s="130"/>
      <c r="V25" s="128"/>
      <c r="W25" s="128"/>
      <c r="X25" s="128"/>
      <c r="Y25" s="128"/>
      <c r="Z25" s="128"/>
      <c r="AA25" s="128"/>
      <c r="AB25" s="128"/>
      <c r="AC25" s="128"/>
      <c r="AD25" s="130"/>
      <c r="AE25" s="130"/>
      <c r="AF25" s="130"/>
      <c r="AG25" s="130"/>
      <c r="AH25" s="130"/>
      <c r="AI25" s="130"/>
      <c r="AJ25" s="130"/>
      <c r="AK25" s="130"/>
      <c r="AL25" s="130"/>
      <c r="AM25" s="130"/>
      <c r="AN25" s="130"/>
      <c r="AO25" s="130"/>
      <c r="AP25" s="130"/>
      <c r="AQ25" s="130"/>
      <c r="AR25" s="144"/>
    </row>
    <row r="26" spans="1:44" ht="16" x14ac:dyDescent="0.2">
      <c r="A26" s="151"/>
      <c r="B26" s="71" t="s">
        <v>230</v>
      </c>
      <c r="C26" s="72"/>
      <c r="D26" s="72"/>
      <c r="E26" s="108">
        <v>5.0000000000000001E-3</v>
      </c>
      <c r="F26" s="167" t="s">
        <v>109</v>
      </c>
      <c r="G26" s="65" t="s">
        <v>66</v>
      </c>
      <c r="H26" s="67" t="s">
        <v>475</v>
      </c>
      <c r="I26" s="161"/>
      <c r="J26" s="71" t="s">
        <v>204</v>
      </c>
      <c r="K26" s="112">
        <v>0</v>
      </c>
      <c r="L26" s="164"/>
      <c r="M26" s="131"/>
      <c r="N26" s="270" t="s">
        <v>150</v>
      </c>
      <c r="O26" s="271"/>
      <c r="P26" s="283">
        <f>Unstructured!C90</f>
        <v>5.8981612712178944E-2</v>
      </c>
      <c r="Q26" s="128"/>
      <c r="R26" s="130"/>
      <c r="S26" s="130"/>
      <c r="T26" s="130"/>
      <c r="U26" s="130"/>
      <c r="V26" s="128"/>
      <c r="W26" s="128"/>
      <c r="X26" s="128"/>
      <c r="Y26" s="128"/>
      <c r="Z26" s="128"/>
      <c r="AA26" s="128"/>
      <c r="AB26" s="128"/>
      <c r="AC26" s="128"/>
      <c r="AD26" s="130"/>
      <c r="AE26" s="130"/>
      <c r="AF26" s="130"/>
      <c r="AG26" s="130"/>
      <c r="AH26" s="130"/>
      <c r="AI26" s="130"/>
      <c r="AJ26" s="130"/>
      <c r="AK26" s="130"/>
      <c r="AL26" s="130"/>
      <c r="AM26" s="130"/>
      <c r="AN26" s="130"/>
      <c r="AO26" s="130"/>
      <c r="AP26" s="130"/>
      <c r="AQ26" s="130"/>
      <c r="AR26" s="144"/>
    </row>
    <row r="27" spans="1:44" ht="16" x14ac:dyDescent="0.2">
      <c r="A27" s="151"/>
      <c r="B27" s="71" t="s">
        <v>291</v>
      </c>
      <c r="C27" s="72"/>
      <c r="D27" s="72"/>
      <c r="E27" s="436">
        <v>0.96</v>
      </c>
      <c r="F27" s="168">
        <v>1</v>
      </c>
      <c r="G27" s="70" t="s">
        <v>39</v>
      </c>
      <c r="H27" s="423" t="s">
        <v>309</v>
      </c>
      <c r="I27" s="161"/>
      <c r="J27" s="71" t="s">
        <v>192</v>
      </c>
      <c r="K27" s="121">
        <f>K34</f>
        <v>250000</v>
      </c>
      <c r="L27" s="164"/>
      <c r="M27" s="131"/>
      <c r="N27" s="272" t="s">
        <v>60</v>
      </c>
      <c r="O27" s="266"/>
      <c r="P27" s="284">
        <f>Unstructured!C83</f>
        <v>2.1710019669161085E-2</v>
      </c>
      <c r="Q27" s="128"/>
      <c r="R27" s="128"/>
      <c r="S27" s="130"/>
      <c r="T27" s="130"/>
      <c r="U27" s="130"/>
      <c r="V27" s="128"/>
      <c r="W27" s="128"/>
      <c r="X27" s="128"/>
      <c r="Y27" s="128"/>
      <c r="Z27" s="128"/>
      <c r="AA27" s="128"/>
      <c r="AB27" s="128"/>
      <c r="AC27" s="128"/>
      <c r="AD27" s="130"/>
      <c r="AE27" s="130"/>
      <c r="AF27" s="130"/>
      <c r="AG27" s="130"/>
      <c r="AH27" s="130"/>
      <c r="AI27" s="130"/>
      <c r="AJ27" s="130"/>
      <c r="AK27" s="130"/>
      <c r="AL27" s="130"/>
      <c r="AM27" s="130"/>
      <c r="AN27" s="130"/>
      <c r="AO27" s="130"/>
      <c r="AP27" s="130"/>
      <c r="AQ27" s="130"/>
      <c r="AR27" s="144"/>
    </row>
    <row r="28" spans="1:44" ht="16" x14ac:dyDescent="0.2">
      <c r="A28" s="151"/>
      <c r="B28" s="71" t="s">
        <v>249</v>
      </c>
      <c r="C28" s="72"/>
      <c r="D28" s="72"/>
      <c r="E28" s="437">
        <f>(Size_of_System_in_W_DC/1000)*$E$25</f>
        <v>498673.62999999925</v>
      </c>
      <c r="F28" s="169"/>
      <c r="G28" s="71" t="s">
        <v>40</v>
      </c>
      <c r="H28" s="105">
        <v>20</v>
      </c>
      <c r="I28" s="161"/>
      <c r="J28" s="71" t="s">
        <v>375</v>
      </c>
      <c r="K28" s="326">
        <v>2.5000000000000001E-2</v>
      </c>
      <c r="L28" s="164"/>
      <c r="M28" s="137"/>
      <c r="N28"/>
      <c r="O28"/>
      <c r="P28"/>
      <c r="Q28" s="128"/>
      <c r="R28" s="128"/>
      <c r="S28" s="130"/>
      <c r="T28" s="130"/>
      <c r="U28" s="130"/>
      <c r="V28" s="128"/>
      <c r="W28" s="128"/>
      <c r="X28" s="128"/>
      <c r="Y28" s="128"/>
      <c r="Z28" s="128"/>
      <c r="AA28" s="128"/>
      <c r="AB28" s="128"/>
      <c r="AC28" s="128"/>
      <c r="AD28" s="130"/>
      <c r="AE28" s="130"/>
      <c r="AF28" s="130"/>
      <c r="AG28" s="130"/>
      <c r="AH28" s="130"/>
      <c r="AI28" s="130"/>
      <c r="AJ28" s="130"/>
      <c r="AK28" s="130"/>
      <c r="AL28" s="130"/>
      <c r="AM28" s="130"/>
      <c r="AN28" s="130"/>
      <c r="AO28" s="130"/>
      <c r="AP28" s="130"/>
      <c r="AQ28" s="130"/>
      <c r="AR28" s="142"/>
    </row>
    <row r="29" spans="1:44" ht="17" thickBot="1" x14ac:dyDescent="0.25">
      <c r="A29" s="151"/>
      <c r="B29" s="71" t="s">
        <v>250</v>
      </c>
      <c r="C29" s="72"/>
      <c r="D29" s="72"/>
      <c r="E29" s="120">
        <f>$E$28*$E$27</f>
        <v>478726.68479999923</v>
      </c>
      <c r="F29" s="161"/>
      <c r="G29" s="71" t="s">
        <v>41</v>
      </c>
      <c r="H29" s="108">
        <v>5.5E-2</v>
      </c>
      <c r="I29" s="161"/>
      <c r="J29" s="71" t="s">
        <v>180</v>
      </c>
      <c r="K29" s="327">
        <v>0</v>
      </c>
      <c r="L29" s="164"/>
      <c r="M29" s="131"/>
      <c r="N29" s="504" t="s">
        <v>194</v>
      </c>
      <c r="O29" s="505"/>
      <c r="P29" s="506"/>
      <c r="Q29" s="128"/>
      <c r="R29" s="128"/>
      <c r="S29" s="130"/>
      <c r="T29" s="130"/>
      <c r="U29" s="130"/>
      <c r="V29" s="128"/>
      <c r="W29" s="128"/>
      <c r="X29" s="128"/>
      <c r="Y29" s="128"/>
      <c r="Z29" s="128"/>
      <c r="AA29" s="128"/>
      <c r="AB29" s="128"/>
      <c r="AC29" s="128"/>
      <c r="AD29" s="130"/>
      <c r="AE29" s="130"/>
      <c r="AF29" s="130"/>
      <c r="AG29" s="130"/>
      <c r="AH29" s="130"/>
      <c r="AI29" s="130"/>
      <c r="AJ29" s="130"/>
      <c r="AK29" s="130"/>
      <c r="AL29" s="130"/>
      <c r="AM29" s="130"/>
      <c r="AN29" s="130"/>
      <c r="AO29" s="130"/>
      <c r="AP29" s="130"/>
      <c r="AQ29" s="130"/>
      <c r="AR29" s="142"/>
    </row>
    <row r="30" spans="1:44" ht="17" thickTop="1" x14ac:dyDescent="0.2">
      <c r="A30" s="151"/>
      <c r="B30" s="80" t="s">
        <v>33</v>
      </c>
      <c r="C30" s="83"/>
      <c r="D30" s="81"/>
      <c r="E30" s="109">
        <v>1.2</v>
      </c>
      <c r="F30" s="161"/>
      <c r="G30" s="71" t="s">
        <v>42</v>
      </c>
      <c r="H30" s="110">
        <v>229873.05294095934</v>
      </c>
      <c r="I30" s="161"/>
      <c r="J30" s="71" t="s">
        <v>301</v>
      </c>
      <c r="K30" s="328">
        <f>Size_of_System_in_W_DC*$D$24</f>
        <v>0</v>
      </c>
      <c r="L30" s="164"/>
      <c r="M30" s="131"/>
      <c r="N30" s="267" t="s">
        <v>468</v>
      </c>
      <c r="O30" s="268"/>
      <c r="P30" s="285" t="str">
        <f>Unstructured!$C$84</f>
        <v>Pass</v>
      </c>
      <c r="Q30" s="128"/>
      <c r="R30" s="128"/>
      <c r="S30" s="130"/>
      <c r="T30" s="130"/>
      <c r="U30" s="130"/>
      <c r="V30" s="128"/>
      <c r="W30" s="128"/>
      <c r="X30" s="128"/>
      <c r="Y30" s="128"/>
      <c r="Z30" s="128"/>
      <c r="AA30" s="128"/>
      <c r="AB30" s="128"/>
      <c r="AC30" s="128"/>
      <c r="AD30" s="130"/>
      <c r="AE30" s="130"/>
      <c r="AF30" s="130"/>
      <c r="AG30" s="130"/>
      <c r="AH30" s="130"/>
      <c r="AI30" s="130"/>
      <c r="AJ30" s="130"/>
      <c r="AK30" s="130"/>
      <c r="AL30" s="130"/>
      <c r="AM30" s="130"/>
      <c r="AN30" s="130"/>
      <c r="AO30" s="130"/>
      <c r="AP30" s="130"/>
      <c r="AQ30" s="130"/>
      <c r="AR30" s="142"/>
    </row>
    <row r="31" spans="1:44" ht="16" x14ac:dyDescent="0.2">
      <c r="A31" s="151"/>
      <c r="B31" s="513" t="s">
        <v>85</v>
      </c>
      <c r="C31" s="514"/>
      <c r="D31" s="515"/>
      <c r="E31" s="516"/>
      <c r="F31" s="161"/>
      <c r="G31" s="71" t="s">
        <v>136</v>
      </c>
      <c r="H31" s="108">
        <v>1.2</v>
      </c>
      <c r="I31" s="161"/>
      <c r="J31" s="80" t="s">
        <v>302</v>
      </c>
      <c r="K31" s="329">
        <v>0.05</v>
      </c>
      <c r="L31" s="164"/>
      <c r="M31" s="131"/>
      <c r="N31" s="273" t="s">
        <v>117</v>
      </c>
      <c r="O31" s="264"/>
      <c r="P31" s="286" t="str">
        <f>Unstructured!C106</f>
        <v>N/A</v>
      </c>
      <c r="Q31" s="128"/>
      <c r="R31" s="128"/>
      <c r="S31" s="130"/>
      <c r="T31" s="130"/>
      <c r="U31" s="130"/>
      <c r="V31" s="128"/>
      <c r="W31" s="128"/>
      <c r="X31" s="128"/>
      <c r="Y31" s="128"/>
      <c r="Z31" s="128"/>
      <c r="AA31" s="128"/>
      <c r="AB31" s="128"/>
      <c r="AC31" s="128"/>
      <c r="AD31" s="130"/>
      <c r="AE31" s="130"/>
      <c r="AF31" s="130"/>
      <c r="AG31" s="130"/>
      <c r="AH31" s="130"/>
      <c r="AI31" s="130"/>
      <c r="AJ31" s="130"/>
      <c r="AK31" s="130"/>
      <c r="AL31" s="130"/>
      <c r="AM31" s="130"/>
      <c r="AN31" s="130"/>
      <c r="AO31" s="130"/>
      <c r="AP31" s="130"/>
      <c r="AQ31" s="130"/>
      <c r="AR31" s="144"/>
    </row>
    <row r="32" spans="1:44" ht="16" x14ac:dyDescent="0.2">
      <c r="A32" s="151"/>
      <c r="B32" s="460" t="s">
        <v>88</v>
      </c>
      <c r="C32" s="461"/>
      <c r="D32" s="463"/>
      <c r="E32" s="121">
        <f>Size_of_System_in_W_DC*$D$18</f>
        <v>495589.62464999995</v>
      </c>
      <c r="F32" s="161"/>
      <c r="G32" s="80" t="s">
        <v>137</v>
      </c>
      <c r="H32" s="322" t="str">
        <f>IF(H27="Yes",(H30/(H30+H24)),"N/A")</f>
        <v>N/A</v>
      </c>
      <c r="I32" s="161"/>
      <c r="J32" s="86" t="s">
        <v>135</v>
      </c>
      <c r="K32" s="96"/>
      <c r="L32" s="164"/>
      <c r="M32" s="131"/>
      <c r="N32" s="273" t="s">
        <v>63</v>
      </c>
      <c r="O32" s="264"/>
      <c r="P32" s="286" t="str">
        <f>Unstructured!C105</f>
        <v>N/A</v>
      </c>
      <c r="Q32" s="128"/>
      <c r="R32" s="128"/>
      <c r="S32" s="130"/>
      <c r="T32" s="130"/>
      <c r="U32" s="130"/>
      <c r="V32" s="128"/>
      <c r="W32" s="128"/>
      <c r="X32" s="128"/>
      <c r="Y32" s="128"/>
      <c r="Z32" s="128"/>
      <c r="AA32" s="128"/>
      <c r="AB32" s="128"/>
      <c r="AC32" s="128"/>
      <c r="AD32" s="130"/>
      <c r="AE32" s="130"/>
      <c r="AF32" s="130"/>
      <c r="AG32" s="130"/>
      <c r="AH32" s="130"/>
      <c r="AI32" s="130"/>
      <c r="AJ32" s="130"/>
      <c r="AK32" s="130"/>
      <c r="AL32" s="130"/>
      <c r="AM32" s="130"/>
      <c r="AN32" s="130"/>
      <c r="AO32" s="130"/>
      <c r="AP32" s="130"/>
      <c r="AQ32" s="130"/>
      <c r="AR32" s="144"/>
    </row>
    <row r="33" spans="1:44" ht="16" x14ac:dyDescent="0.2">
      <c r="A33" s="151"/>
      <c r="B33" s="71" t="s">
        <v>257</v>
      </c>
      <c r="C33" s="72"/>
      <c r="D33" s="64"/>
      <c r="E33" s="121">
        <f>$D$19*Size_of_System_in_W_DC</f>
        <v>0</v>
      </c>
      <c r="F33" s="161"/>
      <c r="G33" s="523" t="s">
        <v>317</v>
      </c>
      <c r="H33" s="524"/>
      <c r="I33" s="161"/>
      <c r="J33" s="71" t="s">
        <v>10</v>
      </c>
      <c r="K33" s="423" t="s">
        <v>420</v>
      </c>
      <c r="L33" s="164"/>
      <c r="M33" s="131"/>
      <c r="N33" s="269"/>
      <c r="O33" s="264"/>
      <c r="P33" s="287"/>
      <c r="Q33" s="128"/>
      <c r="R33" s="128"/>
      <c r="S33" s="130"/>
      <c r="T33" s="130"/>
      <c r="U33" s="130"/>
      <c r="V33" s="128"/>
      <c r="W33" s="128"/>
      <c r="X33" s="128"/>
      <c r="Y33" s="128"/>
      <c r="Z33" s="128"/>
      <c r="AA33" s="128"/>
      <c r="AB33" s="128"/>
      <c r="AC33" s="128"/>
      <c r="AD33" s="130"/>
      <c r="AE33" s="130"/>
      <c r="AF33" s="130"/>
      <c r="AG33" s="130"/>
      <c r="AH33" s="130"/>
      <c r="AI33" s="130"/>
      <c r="AJ33" s="130"/>
      <c r="AK33" s="130"/>
      <c r="AL33" s="130"/>
      <c r="AM33" s="130"/>
      <c r="AN33" s="130"/>
      <c r="AO33" s="130"/>
      <c r="AP33" s="130"/>
      <c r="AQ33" s="130"/>
      <c r="AR33" s="144"/>
    </row>
    <row r="34" spans="1:44" ht="16" x14ac:dyDescent="0.2">
      <c r="A34" s="151"/>
      <c r="B34" s="71" t="s">
        <v>441</v>
      </c>
      <c r="C34" s="72"/>
      <c r="D34" s="64"/>
      <c r="E34" s="121">
        <f>$D$20*Size_of_System_in_W_DC</f>
        <v>0</v>
      </c>
      <c r="F34" s="161"/>
      <c r="G34" s="71" t="s">
        <v>459</v>
      </c>
      <c r="H34" s="422" t="s">
        <v>458</v>
      </c>
      <c r="I34" s="161"/>
      <c r="J34" s="71" t="s">
        <v>377</v>
      </c>
      <c r="K34" s="110">
        <v>250000</v>
      </c>
      <c r="L34" s="164"/>
      <c r="M34" s="131"/>
      <c r="N34" s="269" t="s">
        <v>82</v>
      </c>
      <c r="O34" s="264"/>
      <c r="P34" s="288">
        <f>E32</f>
        <v>495589.62464999995</v>
      </c>
      <c r="Q34" s="128"/>
      <c r="R34" s="128"/>
      <c r="S34" s="130"/>
      <c r="T34" s="130"/>
      <c r="U34" s="130"/>
      <c r="V34" s="128"/>
      <c r="W34" s="128"/>
      <c r="X34" s="128"/>
      <c r="Y34" s="128"/>
      <c r="Z34" s="128"/>
      <c r="AA34" s="128"/>
      <c r="AB34" s="128"/>
      <c r="AC34" s="128"/>
      <c r="AD34" s="130"/>
      <c r="AE34" s="130"/>
      <c r="AF34" s="130"/>
      <c r="AG34" s="130"/>
      <c r="AH34" s="130"/>
      <c r="AI34" s="130"/>
      <c r="AJ34" s="130"/>
      <c r="AK34" s="130"/>
      <c r="AL34" s="130"/>
      <c r="AM34" s="130"/>
      <c r="AN34" s="130"/>
      <c r="AO34" s="130"/>
      <c r="AP34" s="130"/>
      <c r="AQ34" s="130"/>
      <c r="AR34" s="144"/>
    </row>
    <row r="35" spans="1:44" ht="16" x14ac:dyDescent="0.2">
      <c r="A35" s="151"/>
      <c r="B35" s="71" t="s">
        <v>258</v>
      </c>
      <c r="C35" s="72"/>
      <c r="D35" s="64"/>
      <c r="E35" s="121">
        <f>$D$21*Size_of_System_in_W_DC</f>
        <v>55065.513849999996</v>
      </c>
      <c r="F35" s="161"/>
      <c r="G35" s="71" t="s">
        <v>235</v>
      </c>
      <c r="H35" s="422" t="s">
        <v>456</v>
      </c>
      <c r="I35" s="161"/>
      <c r="J35" s="71" t="s">
        <v>94</v>
      </c>
      <c r="K35" s="423" t="s">
        <v>3</v>
      </c>
      <c r="L35" s="164"/>
      <c r="M35" s="131"/>
      <c r="N35" s="269" t="s">
        <v>310</v>
      </c>
      <c r="O35" s="264"/>
      <c r="P35" s="288">
        <f>E33</f>
        <v>0</v>
      </c>
      <c r="Q35" s="128"/>
      <c r="R35" s="128"/>
      <c r="S35" s="130"/>
      <c r="T35" s="130"/>
      <c r="U35" s="130"/>
      <c r="V35" s="128"/>
      <c r="W35" s="128"/>
      <c r="X35" s="128"/>
      <c r="Y35" s="128"/>
      <c r="Z35" s="128"/>
      <c r="AA35" s="128"/>
      <c r="AB35" s="128"/>
      <c r="AC35" s="128"/>
      <c r="AD35" s="130"/>
      <c r="AE35" s="130"/>
      <c r="AF35" s="130"/>
      <c r="AG35" s="130"/>
      <c r="AH35" s="130"/>
      <c r="AI35" s="130"/>
      <c r="AJ35" s="130"/>
      <c r="AK35" s="130"/>
      <c r="AL35" s="130"/>
      <c r="AM35" s="130"/>
      <c r="AN35" s="130"/>
      <c r="AO35" s="130"/>
      <c r="AP35" s="130"/>
      <c r="AQ35" s="130"/>
      <c r="AR35" s="144"/>
    </row>
    <row r="36" spans="1:44" ht="17" customHeight="1" x14ac:dyDescent="0.2">
      <c r="A36" s="151"/>
      <c r="B36" s="71" t="s">
        <v>96</v>
      </c>
      <c r="C36" s="72"/>
      <c r="D36" s="64"/>
      <c r="E36" s="121">
        <f>IF(Site_Purchase_or_Lease?="Purchase",$K$34,0)</f>
        <v>0</v>
      </c>
      <c r="F36" s="161"/>
      <c r="G36" s="71" t="s">
        <v>151</v>
      </c>
      <c r="H36" s="422" t="s">
        <v>373</v>
      </c>
      <c r="I36" s="161"/>
      <c r="J36" s="71" t="s">
        <v>376</v>
      </c>
      <c r="K36" s="423" t="s">
        <v>309</v>
      </c>
      <c r="L36" s="164"/>
      <c r="M36" s="131"/>
      <c r="N36" s="269" t="s">
        <v>58</v>
      </c>
      <c r="O36" s="271"/>
      <c r="P36" s="288">
        <f>E35</f>
        <v>55065.513849999996</v>
      </c>
      <c r="Q36" s="128"/>
      <c r="R36" s="128"/>
      <c r="S36" s="130"/>
      <c r="T36" s="130"/>
      <c r="U36" s="130"/>
      <c r="V36" s="128"/>
      <c r="W36" s="128"/>
      <c r="X36" s="128"/>
      <c r="Y36" s="128"/>
      <c r="Z36" s="128"/>
      <c r="AA36" s="128"/>
      <c r="AB36" s="128"/>
      <c r="AC36" s="128"/>
      <c r="AD36" s="130"/>
      <c r="AE36" s="130"/>
      <c r="AF36" s="130"/>
      <c r="AG36" s="130"/>
      <c r="AH36" s="130"/>
      <c r="AI36" s="130"/>
      <c r="AJ36" s="130"/>
      <c r="AK36" s="130"/>
      <c r="AL36" s="130"/>
      <c r="AM36" s="130"/>
      <c r="AN36" s="130"/>
      <c r="AO36" s="130"/>
      <c r="AP36" s="130"/>
      <c r="AQ36" s="130"/>
      <c r="AR36" s="144"/>
    </row>
    <row r="37" spans="1:44" ht="16" x14ac:dyDescent="0.2">
      <c r="A37" s="151"/>
      <c r="B37" s="71" t="s">
        <v>15</v>
      </c>
      <c r="C37" s="72"/>
      <c r="D37" s="64"/>
      <c r="E37" s="121">
        <f>IF(Construction_Loan?="Yes",Construction_Loan_Fee+(Construction_Loan_Amount*(Construction_Loan_Rate/12)*Construction_Loan_Term),0)</f>
        <v>0</v>
      </c>
      <c r="F37" s="161"/>
      <c r="G37" s="71" t="s">
        <v>8</v>
      </c>
      <c r="H37" s="201">
        <v>0.5</v>
      </c>
      <c r="I37" s="161"/>
      <c r="J37" s="71" t="s">
        <v>303</v>
      </c>
      <c r="K37" s="112">
        <v>1.4999999999999999E-2</v>
      </c>
      <c r="L37" s="164"/>
      <c r="M37" s="131"/>
      <c r="N37" s="269" t="s">
        <v>59</v>
      </c>
      <c r="O37" s="264"/>
      <c r="P37" s="288">
        <f>SUM(E36:E38)</f>
        <v>24027.493852398304</v>
      </c>
      <c r="Q37" s="128"/>
      <c r="R37" s="128"/>
      <c r="S37" s="128"/>
      <c r="T37" s="128"/>
      <c r="U37" s="128"/>
      <c r="V37" s="128"/>
      <c r="W37" s="128"/>
      <c r="X37" s="128"/>
      <c r="Y37" s="128"/>
      <c r="Z37" s="128"/>
      <c r="AA37" s="128"/>
      <c r="AB37" s="128"/>
      <c r="AC37" s="128"/>
      <c r="AD37" s="130"/>
      <c r="AE37" s="130"/>
      <c r="AF37" s="130"/>
      <c r="AG37" s="130"/>
      <c r="AH37" s="130"/>
      <c r="AI37" s="130"/>
      <c r="AJ37" s="130"/>
      <c r="AK37" s="130"/>
      <c r="AL37" s="130"/>
      <c r="AM37" s="130"/>
      <c r="AN37" s="130"/>
      <c r="AO37" s="130"/>
      <c r="AP37" s="130"/>
      <c r="AQ37" s="130"/>
      <c r="AR37" s="144"/>
    </row>
    <row r="38" spans="1:44" ht="17" thickBot="1" x14ac:dyDescent="0.25">
      <c r="A38" s="151"/>
      <c r="B38" s="71" t="s">
        <v>231</v>
      </c>
      <c r="C38" s="72"/>
      <c r="D38" s="64"/>
      <c r="E38" s="110">
        <v>24027.493852398304</v>
      </c>
      <c r="F38" s="161"/>
      <c r="G38" s="71" t="s">
        <v>201</v>
      </c>
      <c r="H38" s="201">
        <v>0.21</v>
      </c>
      <c r="I38" s="161"/>
      <c r="J38" s="71" t="s">
        <v>95</v>
      </c>
      <c r="K38" s="113">
        <v>0</v>
      </c>
      <c r="L38" s="164"/>
      <c r="M38" s="131"/>
      <c r="N38" s="269" t="s">
        <v>92</v>
      </c>
      <c r="O38" s="274"/>
      <c r="P38" s="278">
        <f>$H$23-$E$39</f>
        <v>0</v>
      </c>
      <c r="Q38" s="128"/>
      <c r="R38" s="128"/>
      <c r="S38" s="128"/>
      <c r="T38" s="128"/>
      <c r="U38" s="128"/>
      <c r="V38" s="128"/>
      <c r="W38" s="128"/>
      <c r="X38" s="128"/>
      <c r="Y38" s="128"/>
      <c r="Z38" s="128"/>
      <c r="AA38" s="128"/>
      <c r="AB38" s="128"/>
      <c r="AC38" s="128"/>
      <c r="AD38" s="130"/>
      <c r="AE38" s="130"/>
      <c r="AF38" s="130"/>
      <c r="AG38" s="130"/>
      <c r="AH38" s="130"/>
      <c r="AI38" s="130"/>
      <c r="AJ38" s="130"/>
      <c r="AK38" s="130"/>
      <c r="AL38" s="130"/>
      <c r="AM38" s="130"/>
      <c r="AN38" s="130"/>
      <c r="AO38" s="130"/>
      <c r="AP38" s="130"/>
      <c r="AQ38" s="130"/>
      <c r="AR38" s="144"/>
    </row>
    <row r="39" spans="1:44" ht="17" thickTop="1" x14ac:dyDescent="0.2">
      <c r="A39" s="151"/>
      <c r="B39" s="80" t="s">
        <v>232</v>
      </c>
      <c r="C39" s="83"/>
      <c r="D39" s="464"/>
      <c r="E39" s="123">
        <f>SUM(E32:E38)</f>
        <v>574682.63235239836</v>
      </c>
      <c r="F39" s="161"/>
      <c r="G39" s="462" t="s">
        <v>437</v>
      </c>
      <c r="H39" s="422" t="s">
        <v>329</v>
      </c>
      <c r="I39" s="161"/>
      <c r="J39" s="71" t="s">
        <v>107</v>
      </c>
      <c r="K39" s="114">
        <v>2.5000000000000001E-2</v>
      </c>
      <c r="L39" s="164"/>
      <c r="M39" s="131"/>
      <c r="N39" s="270" t="s">
        <v>54</v>
      </c>
      <c r="O39" s="264"/>
      <c r="P39" s="288">
        <f>SUM(P34:P38)</f>
        <v>574682.63235239836</v>
      </c>
      <c r="Q39" s="128"/>
      <c r="R39" s="128"/>
      <c r="S39" s="128"/>
      <c r="T39" s="128"/>
      <c r="U39" s="128"/>
      <c r="V39" s="128"/>
      <c r="W39" s="128"/>
      <c r="X39" s="128"/>
      <c r="Y39" s="128"/>
      <c r="Z39" s="128"/>
      <c r="AA39" s="128"/>
      <c r="AB39" s="128"/>
      <c r="AC39" s="128"/>
      <c r="AD39" s="130"/>
      <c r="AE39" s="130"/>
      <c r="AF39" s="130"/>
      <c r="AG39" s="130"/>
      <c r="AH39" s="130"/>
      <c r="AI39" s="130"/>
      <c r="AJ39" s="130"/>
      <c r="AK39" s="130"/>
      <c r="AL39" s="130"/>
      <c r="AM39" s="130"/>
      <c r="AN39" s="130"/>
      <c r="AO39" s="130"/>
      <c r="AP39" s="130"/>
      <c r="AQ39" s="130"/>
      <c r="AR39" s="144"/>
    </row>
    <row r="40" spans="1:44" ht="16" x14ac:dyDescent="0.2">
      <c r="A40" s="151"/>
      <c r="B40" s="151"/>
      <c r="C40" s="151"/>
      <c r="D40" s="151"/>
      <c r="E40" s="151"/>
      <c r="F40" s="166"/>
      <c r="G40" s="462" t="s">
        <v>438</v>
      </c>
      <c r="H40" s="422" t="s">
        <v>476</v>
      </c>
      <c r="I40" s="161"/>
      <c r="J40" s="86" t="s">
        <v>9</v>
      </c>
      <c r="K40" s="96"/>
      <c r="L40" s="164"/>
      <c r="M40" s="131"/>
      <c r="N40" s="275"/>
      <c r="O40" s="264"/>
      <c r="P40" s="287"/>
      <c r="Q40" s="128"/>
      <c r="R40" s="128"/>
      <c r="S40" s="128"/>
      <c r="T40" s="128"/>
      <c r="U40" s="128"/>
      <c r="V40" s="128"/>
      <c r="W40" s="128"/>
      <c r="X40" s="128"/>
      <c r="Y40" s="128"/>
      <c r="Z40" s="128"/>
      <c r="AA40" s="128"/>
      <c r="AB40" s="128"/>
      <c r="AC40" s="128"/>
      <c r="AD40" s="130"/>
      <c r="AE40" s="130"/>
      <c r="AF40" s="130"/>
      <c r="AG40" s="130"/>
      <c r="AH40" s="130"/>
      <c r="AI40" s="130"/>
      <c r="AJ40" s="130"/>
      <c r="AK40" s="130"/>
      <c r="AL40" s="130"/>
      <c r="AM40" s="130"/>
      <c r="AN40" s="130"/>
      <c r="AO40" s="130"/>
      <c r="AP40" s="130"/>
      <c r="AQ40" s="130"/>
      <c r="AR40" s="144"/>
    </row>
    <row r="41" spans="1:44" ht="16" x14ac:dyDescent="0.2">
      <c r="A41" s="151"/>
      <c r="B41" s="517" t="s">
        <v>28</v>
      </c>
      <c r="C41" s="518"/>
      <c r="D41" s="519"/>
      <c r="E41" s="520"/>
      <c r="F41" s="166"/>
      <c r="G41" s="71" t="s">
        <v>97</v>
      </c>
      <c r="H41" s="412">
        <f>SUMIF($E$65:$E$68,"Yes",$D$65:$D$68)</f>
        <v>0.3</v>
      </c>
      <c r="I41" s="161"/>
      <c r="J41" s="71" t="s">
        <v>304</v>
      </c>
      <c r="K41" s="115">
        <f>15.21/1000</f>
        <v>1.5210000000000001E-2</v>
      </c>
      <c r="L41" s="164"/>
      <c r="M41" s="131"/>
      <c r="N41" s="272" t="s">
        <v>69</v>
      </c>
      <c r="O41" s="266"/>
      <c r="P41" s="289">
        <f>P26-H25</f>
        <v>-6.0183872878210587E-3</v>
      </c>
      <c r="Q41" s="128"/>
      <c r="R41" s="128"/>
      <c r="S41" s="128"/>
      <c r="T41" s="128"/>
      <c r="U41" s="128"/>
      <c r="V41" s="128"/>
      <c r="W41" s="128"/>
      <c r="X41" s="128"/>
      <c r="Y41" s="128"/>
      <c r="Z41" s="128"/>
      <c r="AA41" s="128"/>
      <c r="AB41" s="128"/>
      <c r="AC41" s="128"/>
      <c r="AD41" s="130"/>
      <c r="AE41" s="130"/>
      <c r="AF41" s="130"/>
      <c r="AG41" s="130"/>
      <c r="AH41" s="130"/>
      <c r="AI41" s="130"/>
      <c r="AJ41" s="130"/>
      <c r="AK41" s="130"/>
      <c r="AL41" s="130"/>
      <c r="AM41" s="130"/>
      <c r="AN41" s="130"/>
      <c r="AO41" s="130"/>
      <c r="AP41" s="130"/>
      <c r="AQ41" s="130"/>
      <c r="AR41" s="144"/>
    </row>
    <row r="42" spans="1:44" ht="16" x14ac:dyDescent="0.2">
      <c r="A42" s="151"/>
      <c r="B42" s="470" t="s">
        <v>53</v>
      </c>
      <c r="C42" s="471"/>
      <c r="D42" s="472"/>
      <c r="E42" s="341">
        <v>7.3648296020305801E-2</v>
      </c>
      <c r="F42" s="166"/>
      <c r="G42" s="462" t="s">
        <v>440</v>
      </c>
      <c r="H42" s="201">
        <v>0</v>
      </c>
      <c r="I42" s="161"/>
      <c r="J42" s="71" t="s">
        <v>185</v>
      </c>
      <c r="K42" s="112">
        <v>0.02</v>
      </c>
      <c r="L42" s="164"/>
      <c r="M42" s="138"/>
      <c r="N42" s="137"/>
      <c r="O42" s="138"/>
      <c r="P42" s="140"/>
      <c r="Q42" s="128"/>
      <c r="R42" s="128"/>
      <c r="S42" s="128"/>
      <c r="T42" s="128"/>
      <c r="U42" s="128"/>
      <c r="V42" s="128"/>
      <c r="W42" s="128"/>
      <c r="X42" s="128"/>
      <c r="Y42" s="128"/>
      <c r="Z42" s="128"/>
      <c r="AA42" s="128"/>
      <c r="AB42" s="128"/>
      <c r="AC42" s="128"/>
      <c r="AD42" s="130"/>
      <c r="AE42" s="130"/>
      <c r="AF42" s="130"/>
      <c r="AG42" s="130"/>
      <c r="AH42" s="130"/>
      <c r="AI42" s="130"/>
      <c r="AJ42" s="130"/>
      <c r="AK42" s="130"/>
      <c r="AL42" s="130"/>
      <c r="AM42" s="130"/>
      <c r="AN42" s="130"/>
      <c r="AO42" s="130"/>
      <c r="AP42" s="130"/>
      <c r="AQ42" s="130"/>
      <c r="AR42" s="144"/>
    </row>
    <row r="43" spans="1:44" ht="17" thickBot="1" x14ac:dyDescent="0.25">
      <c r="A43" s="151"/>
      <c r="B43" s="71" t="s">
        <v>248</v>
      </c>
      <c r="C43" s="72"/>
      <c r="D43" s="469"/>
      <c r="E43" s="200">
        <v>0</v>
      </c>
      <c r="F43" s="166"/>
      <c r="G43" s="462" t="s">
        <v>439</v>
      </c>
      <c r="H43" s="424">
        <v>2</v>
      </c>
      <c r="I43" s="161"/>
      <c r="J43" s="71" t="s">
        <v>256</v>
      </c>
      <c r="K43" s="115">
        <f>3.85/1000</f>
        <v>3.8500000000000001E-3</v>
      </c>
      <c r="L43" s="165"/>
      <c r="M43" s="139"/>
      <c r="N43" s="135"/>
      <c r="O43" s="135"/>
      <c r="P43" s="135"/>
      <c r="Q43" s="134"/>
      <c r="R43" s="135"/>
      <c r="S43" s="135"/>
      <c r="T43" s="135"/>
      <c r="U43" s="135"/>
      <c r="V43" s="136"/>
      <c r="W43" s="136"/>
      <c r="X43" s="136"/>
      <c r="Y43" s="136"/>
      <c r="Z43" s="136"/>
      <c r="AA43" s="136"/>
      <c r="AB43" s="136"/>
      <c r="AC43" s="136"/>
      <c r="AD43" s="136"/>
      <c r="AE43" s="136"/>
      <c r="AF43" s="136"/>
      <c r="AG43" s="136"/>
      <c r="AH43" s="136"/>
      <c r="AI43" s="136"/>
      <c r="AJ43" s="136"/>
      <c r="AK43" s="136"/>
      <c r="AL43" s="136"/>
      <c r="AM43" s="136"/>
      <c r="AN43" s="136"/>
      <c r="AO43" s="136"/>
      <c r="AP43" s="136"/>
      <c r="AQ43" s="136"/>
      <c r="AR43" s="145"/>
    </row>
    <row r="44" spans="1:44" customFormat="1" ht="16" customHeight="1" thickTop="1" x14ac:dyDescent="0.25">
      <c r="A44" s="151"/>
      <c r="B44" s="71" t="s">
        <v>113</v>
      </c>
      <c r="C44" s="72"/>
      <c r="D44" s="469"/>
      <c r="E44" s="200">
        <v>2.5000000000000001E-2</v>
      </c>
      <c r="F44" s="151"/>
      <c r="G44" s="462" t="s">
        <v>430</v>
      </c>
      <c r="H44" s="424">
        <v>1</v>
      </c>
      <c r="I44" s="151"/>
      <c r="J44" s="80" t="s">
        <v>188</v>
      </c>
      <c r="K44" s="112">
        <v>0.02</v>
      </c>
      <c r="L44" s="162"/>
      <c r="M44" s="138"/>
      <c r="N44" s="178" t="s">
        <v>31</v>
      </c>
      <c r="O44" s="130"/>
      <c r="P44" s="130"/>
      <c r="Q44" s="128"/>
      <c r="R44" s="128"/>
      <c r="S44" s="128"/>
      <c r="T44" s="131"/>
      <c r="U44" s="131"/>
      <c r="V44" s="141"/>
      <c r="W44" s="131"/>
      <c r="X44" s="131"/>
      <c r="Y44" s="131"/>
      <c r="Z44" s="131"/>
      <c r="AA44" s="131"/>
      <c r="AB44" s="131"/>
      <c r="AC44" s="131"/>
      <c r="AD44" s="131"/>
      <c r="AE44" s="131"/>
      <c r="AF44" s="131"/>
      <c r="AG44" s="131"/>
      <c r="AH44" s="131"/>
      <c r="AI44" s="131"/>
      <c r="AJ44" s="131"/>
      <c r="AK44" s="131"/>
      <c r="AL44" s="131"/>
      <c r="AM44" s="131"/>
      <c r="AN44" s="131"/>
      <c r="AO44" s="131"/>
      <c r="AP44" s="131"/>
      <c r="AQ44" s="131"/>
      <c r="AR44" s="141"/>
    </row>
    <row r="45" spans="1:44" customFormat="1" ht="16" customHeight="1" x14ac:dyDescent="0.25">
      <c r="A45" s="151"/>
      <c r="B45" s="71" t="s">
        <v>275</v>
      </c>
      <c r="C45" s="72"/>
      <c r="D45" s="469"/>
      <c r="E45" s="342">
        <v>311252.79094603669</v>
      </c>
      <c r="F45" s="151"/>
      <c r="G45" s="462" t="s">
        <v>431</v>
      </c>
      <c r="H45" s="425">
        <v>10</v>
      </c>
      <c r="I45" s="151"/>
      <c r="J45" s="151"/>
      <c r="K45" s="151"/>
      <c r="L45" s="162"/>
      <c r="M45" s="138"/>
      <c r="N45" s="129" t="s">
        <v>99</v>
      </c>
      <c r="O45" s="129"/>
      <c r="P45" s="131"/>
      <c r="Q45" s="128"/>
      <c r="R45" s="128"/>
      <c r="S45" s="128"/>
      <c r="T45" s="128"/>
      <c r="U45" s="128" t="s">
        <v>364</v>
      </c>
      <c r="V45" s="142"/>
      <c r="W45" s="131"/>
      <c r="X45" s="129" t="s">
        <v>116</v>
      </c>
      <c r="Y45" s="131"/>
      <c r="Z45" s="131"/>
      <c r="AA45" s="131"/>
      <c r="AB45" s="131"/>
      <c r="AC45" s="131"/>
      <c r="AD45" s="131"/>
      <c r="AE45" s="131"/>
      <c r="AF45" s="131"/>
      <c r="AG45" s="131"/>
      <c r="AH45" s="131"/>
      <c r="AI45" s="131"/>
      <c r="AJ45" s="131"/>
      <c r="AK45" s="131"/>
      <c r="AL45" s="131"/>
      <c r="AM45" s="131"/>
      <c r="AN45" s="131"/>
      <c r="AO45" s="131"/>
      <c r="AP45" s="131"/>
      <c r="AQ45" s="131"/>
      <c r="AR45" s="142"/>
    </row>
    <row r="46" spans="1:44" customFormat="1" ht="16" customHeight="1" x14ac:dyDescent="0.2">
      <c r="A46" s="151"/>
      <c r="B46" s="71" t="s">
        <v>261</v>
      </c>
      <c r="C46" s="72"/>
      <c r="D46" s="469"/>
      <c r="E46" s="200">
        <v>0.06</v>
      </c>
      <c r="F46" s="151"/>
      <c r="G46" s="462" t="s">
        <v>432</v>
      </c>
      <c r="H46" s="115">
        <v>26</v>
      </c>
      <c r="I46" s="146"/>
      <c r="J46" s="151"/>
      <c r="K46" s="151"/>
      <c r="L46" s="162"/>
      <c r="M46" s="138"/>
      <c r="N46" s="131"/>
      <c r="O46" s="131"/>
      <c r="P46" s="131"/>
      <c r="Q46" s="128"/>
      <c r="R46" s="540" t="str">
        <f>IF(Project_Debt?="Yes", "Partnership data compromised. Debt should be turned off in cell H27.","")</f>
        <v/>
      </c>
      <c r="S46" s="540"/>
      <c r="T46" s="540"/>
      <c r="U46" s="128"/>
      <c r="V46" s="142"/>
      <c r="W46" s="131"/>
      <c r="X46" s="131"/>
      <c r="Y46" s="131"/>
      <c r="Z46" s="131"/>
      <c r="AA46" s="131"/>
      <c r="AB46" s="131"/>
      <c r="AC46" s="131"/>
      <c r="AD46" s="131"/>
      <c r="AE46" s="131"/>
      <c r="AF46" s="131"/>
      <c r="AG46" s="131"/>
      <c r="AH46" s="131"/>
      <c r="AI46" s="131"/>
      <c r="AJ46" s="131"/>
      <c r="AK46" s="131"/>
      <c r="AL46" s="131"/>
      <c r="AM46" s="131"/>
      <c r="AN46" s="131"/>
      <c r="AO46" s="131"/>
      <c r="AP46" s="131"/>
      <c r="AQ46" s="131"/>
      <c r="AR46" s="142"/>
    </row>
    <row r="47" spans="1:44" ht="16" customHeight="1" x14ac:dyDescent="0.2">
      <c r="A47" s="154"/>
      <c r="B47" s="80" t="s">
        <v>392</v>
      </c>
      <c r="C47" s="83"/>
      <c r="D47" s="81"/>
      <c r="E47" s="343">
        <v>0.2</v>
      </c>
      <c r="F47" s="154"/>
      <c r="G47" s="462" t="s">
        <v>433</v>
      </c>
      <c r="H47" s="112">
        <v>0.02</v>
      </c>
      <c r="I47" s="146"/>
      <c r="J47" s="154"/>
      <c r="K47" s="154"/>
      <c r="L47" s="163"/>
      <c r="M47" s="131"/>
      <c r="N47" s="131"/>
      <c r="O47" s="131"/>
      <c r="P47" s="131"/>
      <c r="Q47" s="128"/>
      <c r="R47" s="540"/>
      <c r="S47" s="540"/>
      <c r="T47" s="540"/>
      <c r="U47" s="128"/>
      <c r="V47" s="143"/>
      <c r="W47" s="128"/>
      <c r="X47" s="130"/>
      <c r="Y47" s="131"/>
      <c r="Z47" s="131"/>
      <c r="AA47" s="131"/>
      <c r="AB47" s="128"/>
      <c r="AC47" s="128"/>
      <c r="AD47" s="130"/>
      <c r="AE47" s="130"/>
      <c r="AF47" s="130"/>
      <c r="AG47" s="130"/>
      <c r="AH47" s="130"/>
      <c r="AI47" s="130"/>
      <c r="AJ47" s="130"/>
      <c r="AK47" s="130"/>
      <c r="AL47" s="130"/>
      <c r="AM47" s="130"/>
      <c r="AN47" s="130"/>
      <c r="AO47" s="130"/>
      <c r="AP47" s="130"/>
      <c r="AQ47" s="130"/>
      <c r="AR47" s="144"/>
    </row>
    <row r="48" spans="1:44" ht="16" x14ac:dyDescent="0.2">
      <c r="A48" s="146"/>
      <c r="B48" s="146"/>
      <c r="C48" s="146"/>
      <c r="D48" s="146"/>
      <c r="E48" s="151"/>
      <c r="F48" s="146"/>
      <c r="G48" s="462" t="s">
        <v>434</v>
      </c>
      <c r="H48" s="112">
        <v>0.05</v>
      </c>
      <c r="I48" s="146"/>
      <c r="J48" s="146"/>
      <c r="K48" s="148"/>
      <c r="L48" s="150"/>
      <c r="M48" s="128"/>
      <c r="N48" s="526" t="s">
        <v>190</v>
      </c>
      <c r="O48" s="527"/>
      <c r="P48" s="528"/>
      <c r="Q48" s="128"/>
      <c r="R48" s="540"/>
      <c r="S48" s="540"/>
      <c r="T48" s="540"/>
      <c r="U48" s="128"/>
      <c r="V48" s="143"/>
      <c r="W48" s="128"/>
      <c r="X48" s="499" t="s">
        <v>152</v>
      </c>
      <c r="Y48" s="500"/>
      <c r="Z48" s="500"/>
      <c r="AA48" s="500"/>
      <c r="AB48" s="128"/>
      <c r="AC48" s="128"/>
      <c r="AD48" s="130"/>
      <c r="AE48" s="130"/>
      <c r="AF48" s="130"/>
      <c r="AG48" s="130"/>
      <c r="AH48" s="130"/>
      <c r="AI48" s="130"/>
      <c r="AJ48" s="130"/>
      <c r="AK48" s="130"/>
      <c r="AL48" s="130"/>
      <c r="AM48" s="130"/>
      <c r="AN48" s="130"/>
      <c r="AO48" s="130"/>
      <c r="AP48" s="130"/>
      <c r="AQ48" s="130"/>
      <c r="AR48" s="144"/>
    </row>
    <row r="49" spans="1:44" ht="16" x14ac:dyDescent="0.2">
      <c r="A49" s="146"/>
      <c r="B49" s="521" t="s">
        <v>427</v>
      </c>
      <c r="C49" s="522"/>
      <c r="D49" s="522"/>
      <c r="E49" s="522"/>
      <c r="F49" s="146"/>
      <c r="G49" s="462" t="s">
        <v>435</v>
      </c>
      <c r="H49" s="413">
        <f>(1-Additional_ITC_Basis_Reducer_Fine_Tuning)*(Project_Sale_Price-(Site_Purchase_Price+Roof_Upgrade_Cost+Other_Closing_Costs_Fees+IF($E$23&gt;5000000,Interconnection_Costs,0)))</f>
        <v>523122.38157499995</v>
      </c>
      <c r="I49" s="146"/>
      <c r="J49" s="146"/>
      <c r="K49" s="148"/>
      <c r="L49" s="159"/>
      <c r="M49" s="128"/>
      <c r="N49" s="68"/>
      <c r="O49" s="102" t="s">
        <v>262</v>
      </c>
      <c r="P49" s="103" t="s">
        <v>263</v>
      </c>
      <c r="Q49" s="128"/>
      <c r="R49" s="128"/>
      <c r="S49" s="128"/>
      <c r="T49" s="128"/>
      <c r="U49" s="128"/>
      <c r="V49" s="143"/>
      <c r="W49" s="128"/>
      <c r="X49" s="302"/>
      <c r="Y49" s="262"/>
      <c r="Z49" s="262"/>
      <c r="AA49" s="304" t="s">
        <v>306</v>
      </c>
      <c r="AB49" s="128"/>
      <c r="AC49" s="128"/>
      <c r="AD49" s="130"/>
      <c r="AE49" s="130"/>
      <c r="AF49" s="130"/>
      <c r="AG49" s="130"/>
      <c r="AH49" s="130"/>
      <c r="AI49" s="130"/>
      <c r="AJ49" s="130"/>
      <c r="AK49" s="130"/>
      <c r="AL49" s="130"/>
      <c r="AM49" s="130"/>
      <c r="AN49" s="130"/>
      <c r="AO49" s="130"/>
      <c r="AP49" s="130"/>
      <c r="AQ49" s="130"/>
      <c r="AR49" s="144"/>
    </row>
    <row r="50" spans="1:44" ht="16" x14ac:dyDescent="0.2">
      <c r="A50" s="146"/>
      <c r="B50" s="84"/>
      <c r="C50" s="73"/>
      <c r="D50" s="73"/>
      <c r="E50" s="74"/>
      <c r="F50" s="146"/>
      <c r="G50" s="411" t="s">
        <v>436</v>
      </c>
      <c r="H50" s="414">
        <f>H49*Federal_ITC_Rate*IF(AND(Owner_is_Taxpayer_Non_Taxpayer?="Non-Taxpayer", Project_Debt?="Yes"),1-MIN(0.15,Project_Loan_Amount/Project_Sale_Price),1)</f>
        <v>156936.71447249997</v>
      </c>
      <c r="I50" s="146"/>
      <c r="J50" s="146"/>
      <c r="K50" s="148"/>
      <c r="L50" s="159"/>
      <c r="M50" s="128"/>
      <c r="N50" s="270" t="s">
        <v>280</v>
      </c>
      <c r="O50" s="290">
        <f>'Partnership Flip'!C69</f>
        <v>-315845.57474087813</v>
      </c>
      <c r="P50" s="291">
        <f>'Partnership Flip'!C56</f>
        <v>-258837.05761152023</v>
      </c>
      <c r="Q50" s="128"/>
      <c r="R50" s="128"/>
      <c r="S50" s="128"/>
      <c r="T50" s="128"/>
      <c r="U50" s="128"/>
      <c r="V50" s="143"/>
      <c r="W50" s="128"/>
      <c r="X50" s="270" t="s">
        <v>123</v>
      </c>
      <c r="Y50" s="305" t="s">
        <v>173</v>
      </c>
      <c r="Z50" s="305" t="s">
        <v>175</v>
      </c>
      <c r="AA50" s="304" t="s">
        <v>305</v>
      </c>
      <c r="AB50" s="128"/>
      <c r="AC50" s="128"/>
      <c r="AD50" s="130"/>
      <c r="AE50" s="130"/>
      <c r="AF50" s="130"/>
      <c r="AG50" s="130"/>
      <c r="AH50" s="130"/>
      <c r="AI50" s="130"/>
      <c r="AJ50" s="130"/>
      <c r="AK50" s="130"/>
      <c r="AL50" s="130"/>
      <c r="AM50" s="130"/>
      <c r="AN50" s="130"/>
      <c r="AO50" s="130"/>
      <c r="AP50" s="130"/>
      <c r="AQ50" s="130"/>
      <c r="AR50" s="144"/>
    </row>
    <row r="51" spans="1:44" ht="16" x14ac:dyDescent="0.2">
      <c r="A51" s="146"/>
      <c r="B51" s="71" t="s">
        <v>202</v>
      </c>
      <c r="C51" s="72"/>
      <c r="D51" s="72"/>
      <c r="E51" s="85">
        <f>(1-(0.5*Federal_ITC_Rate))*(Project_Sale_Price-(Site_Purchase_Price+Roof_Upgrade_Cost+Interconnection_Costs+Other_Closing_Costs_Fees))*(1-Additional_ITC_Basis_Reducer_Fine_Tuning)</f>
        <v>444654.02433874994</v>
      </c>
      <c r="F51" s="146"/>
      <c r="G51" s="523" t="s">
        <v>318</v>
      </c>
      <c r="H51" s="524"/>
      <c r="I51" s="146"/>
      <c r="J51" s="146"/>
      <c r="K51" s="148"/>
      <c r="L51" s="158"/>
      <c r="M51" s="128"/>
      <c r="N51" s="273" t="s">
        <v>254</v>
      </c>
      <c r="O51" s="323">
        <f>'Partnership Flip'!C75</f>
        <v>5.8316923487587102E-2</v>
      </c>
      <c r="P51" s="324">
        <f>'Partnership Flip'!C62</f>
        <v>6.3317578140426711E-2</v>
      </c>
      <c r="Q51" s="128"/>
      <c r="R51" s="128"/>
      <c r="S51" s="128"/>
      <c r="T51" s="128"/>
      <c r="U51" s="128"/>
      <c r="V51" s="143"/>
      <c r="W51" s="128"/>
      <c r="X51" s="269" t="s">
        <v>361</v>
      </c>
      <c r="Y51" s="306">
        <f>'Customer Analysis'!$D$22+'Customer Analysis'!$D$23</f>
        <v>7.3648296020305801E-2</v>
      </c>
      <c r="Z51" s="306">
        <f>'Customer Analysis'!$W$22+'Customer Analysis'!$W$23</f>
        <v>0.11773786210560654</v>
      </c>
      <c r="AA51" s="307">
        <f>E44</f>
        <v>2.5000000000000001E-2</v>
      </c>
      <c r="AB51" s="128"/>
      <c r="AC51" s="128"/>
      <c r="AD51" s="130"/>
      <c r="AE51" s="130"/>
      <c r="AF51" s="130"/>
      <c r="AG51" s="130"/>
      <c r="AH51" s="130"/>
      <c r="AI51" s="130"/>
      <c r="AJ51" s="130"/>
      <c r="AK51" s="130"/>
      <c r="AL51" s="130"/>
      <c r="AM51" s="130"/>
      <c r="AN51" s="130"/>
      <c r="AO51" s="130"/>
      <c r="AP51" s="130"/>
      <c r="AQ51" s="130"/>
      <c r="AR51" s="144"/>
    </row>
    <row r="52" spans="1:44" ht="16" x14ac:dyDescent="0.2">
      <c r="A52" s="146"/>
      <c r="B52" s="71"/>
      <c r="C52" s="72"/>
      <c r="D52" s="72"/>
      <c r="E52" s="77"/>
      <c r="F52" s="146"/>
      <c r="G52" s="71" t="s">
        <v>142</v>
      </c>
      <c r="H52" s="114">
        <v>2.5000000000000001E-2</v>
      </c>
      <c r="I52" s="157"/>
      <c r="J52" s="146"/>
      <c r="K52" s="148"/>
      <c r="L52" s="158"/>
      <c r="M52" s="128"/>
      <c r="N52" s="273" t="s">
        <v>255</v>
      </c>
      <c r="O52" s="292">
        <f>'Partnership Flip'!C74</f>
        <v>-23086.119862500229</v>
      </c>
      <c r="P52" s="293">
        <f>'Partnership Flip'!C61</f>
        <v>-915.35346467816271</v>
      </c>
      <c r="Q52" s="128"/>
      <c r="R52" s="128"/>
      <c r="S52" s="128"/>
      <c r="T52" s="128"/>
      <c r="U52" s="128"/>
      <c r="V52" s="143"/>
      <c r="W52" s="128"/>
      <c r="X52" s="269" t="s">
        <v>122</v>
      </c>
      <c r="Y52" s="306">
        <f>'Customer Analysis'!$D$24</f>
        <v>7.3031580167629145E-2</v>
      </c>
      <c r="Z52" s="306">
        <f>'Customer Analysis'!$W$24</f>
        <v>0.11675194919323223</v>
      </c>
      <c r="AA52" s="307">
        <f>K18</f>
        <v>2.5000000000000001E-2</v>
      </c>
      <c r="AB52" s="128"/>
      <c r="AC52" s="128"/>
      <c r="AD52" s="130"/>
      <c r="AE52" s="130"/>
      <c r="AF52" s="130"/>
      <c r="AG52" s="130"/>
      <c r="AH52" s="130"/>
      <c r="AI52" s="130"/>
      <c r="AJ52" s="130"/>
      <c r="AK52" s="130"/>
      <c r="AL52" s="130"/>
      <c r="AM52" s="130"/>
      <c r="AN52" s="130"/>
      <c r="AO52" s="130"/>
      <c r="AP52" s="130"/>
      <c r="AQ52" s="130"/>
      <c r="AR52" s="144"/>
    </row>
    <row r="53" spans="1:44" ht="16" x14ac:dyDescent="0.2">
      <c r="A53" s="146"/>
      <c r="B53" s="87" t="s">
        <v>186</v>
      </c>
      <c r="C53" s="88" t="s">
        <v>126</v>
      </c>
      <c r="D53" s="89" t="s">
        <v>195</v>
      </c>
      <c r="E53" s="90" t="s">
        <v>196</v>
      </c>
      <c r="F53" s="146"/>
      <c r="G53" s="71" t="s">
        <v>321</v>
      </c>
      <c r="H53" s="116" t="s">
        <v>311</v>
      </c>
      <c r="I53" s="157"/>
      <c r="J53" s="146"/>
      <c r="K53" s="148"/>
      <c r="L53" s="158"/>
      <c r="M53" s="128"/>
      <c r="N53" s="273" t="s">
        <v>218</v>
      </c>
      <c r="O53" s="294">
        <f>'Partnership Flip'!C77</f>
        <v>5.775832410219417E-2</v>
      </c>
      <c r="P53" s="295">
        <f>'Partnership Flip'!C64</f>
        <v>-8.8995121036613556E-2</v>
      </c>
      <c r="Q53" s="128"/>
      <c r="R53" s="128"/>
      <c r="S53" s="128"/>
      <c r="T53" s="128"/>
      <c r="U53" s="128"/>
      <c r="V53" s="143"/>
      <c r="W53" s="128"/>
      <c r="X53" s="269"/>
      <c r="Y53" s="306"/>
      <c r="Z53" s="306"/>
      <c r="AA53" s="308" t="s">
        <v>306</v>
      </c>
      <c r="AB53" s="128"/>
      <c r="AC53" s="128"/>
      <c r="AD53" s="130"/>
      <c r="AE53" s="130"/>
      <c r="AF53" s="130"/>
      <c r="AG53" s="130"/>
      <c r="AH53" s="130"/>
      <c r="AI53" s="130"/>
      <c r="AJ53" s="130"/>
      <c r="AK53" s="130"/>
      <c r="AL53" s="130"/>
      <c r="AM53" s="130"/>
      <c r="AN53" s="130"/>
      <c r="AO53" s="130"/>
      <c r="AP53" s="130"/>
      <c r="AQ53" s="130"/>
      <c r="AR53" s="144"/>
    </row>
    <row r="54" spans="1:44" ht="17" customHeight="1" x14ac:dyDescent="0.2">
      <c r="A54" s="146"/>
      <c r="B54" s="91">
        <v>1</v>
      </c>
      <c r="C54" s="92">
        <v>0.2</v>
      </c>
      <c r="D54" s="93">
        <f>IF(Depreciation_Methodology?="MACRS",Depreciation_Basis*C54,IF(Depreciation_Methodology?="Bonus Depr.",((Depreciation_Basis*Depreciation_Bonus_Rate)+(Depreciation_Basis*((1-Depreciation_Bonus_Rate)*C54))),"ERROR"))</f>
        <v>88930.80486774999</v>
      </c>
      <c r="E54" s="94">
        <f t="shared" ref="E54:E59" si="0">Depreciation_Basis*C54</f>
        <v>88930.80486774999</v>
      </c>
      <c r="F54" s="146"/>
      <c r="G54" s="71" t="s">
        <v>319</v>
      </c>
      <c r="H54" s="180">
        <v>0</v>
      </c>
      <c r="I54" s="157"/>
      <c r="J54" s="146"/>
      <c r="K54" s="148"/>
      <c r="L54" s="158"/>
      <c r="M54" s="128"/>
      <c r="N54" s="273"/>
      <c r="O54" s="296"/>
      <c r="P54" s="287"/>
      <c r="Q54" s="128"/>
      <c r="R54" s="128"/>
      <c r="S54" s="128"/>
      <c r="T54" s="128"/>
      <c r="U54" s="128"/>
      <c r="V54" s="143"/>
      <c r="W54" s="128"/>
      <c r="X54" s="270" t="s">
        <v>264</v>
      </c>
      <c r="Y54" s="309" t="s">
        <v>173</v>
      </c>
      <c r="Z54" s="309" t="s">
        <v>175</v>
      </c>
      <c r="AA54" s="308" t="s">
        <v>305</v>
      </c>
      <c r="AB54" s="128"/>
      <c r="AC54" s="128"/>
      <c r="AD54" s="130"/>
      <c r="AE54" s="130"/>
      <c r="AF54" s="130"/>
      <c r="AG54" s="130"/>
      <c r="AH54" s="130"/>
      <c r="AI54" s="130"/>
      <c r="AJ54" s="130"/>
      <c r="AK54" s="130"/>
      <c r="AL54" s="130"/>
      <c r="AM54" s="130"/>
      <c r="AN54" s="130"/>
      <c r="AO54" s="130"/>
      <c r="AP54" s="130"/>
      <c r="AQ54" s="130"/>
      <c r="AR54" s="144"/>
    </row>
    <row r="55" spans="1:44" ht="16" x14ac:dyDescent="0.2">
      <c r="A55" s="146"/>
      <c r="B55" s="91">
        <v>2</v>
      </c>
      <c r="C55" s="92">
        <v>0.32</v>
      </c>
      <c r="D55" s="93">
        <f>IF(Depreciation_Methodology?="MACRS",Depreciation_Basis*C55,IF(Depreciation_Methodology?="Bonus Depr.",((Depreciation_Basis*((1-Depreciation_Bonus_Rate)*C55))),"ERROR"))</f>
        <v>142289.28778839999</v>
      </c>
      <c r="E55" s="94">
        <f t="shared" si="0"/>
        <v>142289.28778839999</v>
      </c>
      <c r="F55" s="146"/>
      <c r="G55" s="71" t="s">
        <v>320</v>
      </c>
      <c r="H55" s="110">
        <f>Depreciation_Basis</f>
        <v>444654.02433874994</v>
      </c>
      <c r="I55" s="157"/>
      <c r="J55" s="146"/>
      <c r="K55" s="148"/>
      <c r="L55" s="158"/>
      <c r="M55" s="128"/>
      <c r="N55" s="273" t="s">
        <v>65</v>
      </c>
      <c r="O55" s="296"/>
      <c r="P55" s="297">
        <f>'Partnership Flip'!C65</f>
        <v>6</v>
      </c>
      <c r="Q55" s="128"/>
      <c r="R55" s="128"/>
      <c r="S55" s="128"/>
      <c r="T55" s="128"/>
      <c r="U55" s="128"/>
      <c r="V55" s="143"/>
      <c r="W55" s="128"/>
      <c r="X55" s="269" t="s">
        <v>265</v>
      </c>
      <c r="Y55" s="310">
        <f>'Customer Analysis'!$D$19</f>
        <v>3236359.8613524409</v>
      </c>
      <c r="Z55" s="310">
        <f>'Customer Analysis'!$W$19</f>
        <v>3281661.2381518511</v>
      </c>
      <c r="AA55" s="307">
        <f>E26</f>
        <v>5.0000000000000001E-3</v>
      </c>
      <c r="AB55" s="128"/>
      <c r="AC55" s="128"/>
      <c r="AD55" s="130"/>
      <c r="AE55" s="130"/>
      <c r="AF55" s="130"/>
      <c r="AG55" s="130"/>
      <c r="AH55" s="130"/>
      <c r="AI55" s="130"/>
      <c r="AJ55" s="130"/>
      <c r="AK55" s="130"/>
      <c r="AL55" s="130"/>
      <c r="AM55" s="130"/>
      <c r="AN55" s="130"/>
      <c r="AO55" s="130"/>
      <c r="AP55" s="130"/>
      <c r="AQ55" s="130"/>
      <c r="AR55" s="144"/>
    </row>
    <row r="56" spans="1:44" ht="16" x14ac:dyDescent="0.2">
      <c r="A56" s="146"/>
      <c r="B56" s="91">
        <v>3</v>
      </c>
      <c r="C56" s="95">
        <v>0.192</v>
      </c>
      <c r="D56" s="93">
        <f>IF(Depreciation_Methodology?="MACRS",Depreciation_Basis*C56,IF(Depreciation_Methodology?="Bonus Depr.",((Depreciation_Basis*((1-Depreciation_Bonus_Rate)*C56))),"ERROR"))</f>
        <v>85373.572673039991</v>
      </c>
      <c r="E56" s="94">
        <f t="shared" si="0"/>
        <v>85373.572673039991</v>
      </c>
      <c r="F56" s="146"/>
      <c r="G56" s="80" t="s">
        <v>2</v>
      </c>
      <c r="H56" s="112">
        <v>7.0000000000000007E-2</v>
      </c>
      <c r="I56" s="157"/>
      <c r="J56" s="146"/>
      <c r="K56" s="148"/>
      <c r="L56" s="158"/>
      <c r="M56" s="128"/>
      <c r="N56" s="265" t="s">
        <v>281</v>
      </c>
      <c r="O56" s="298"/>
      <c r="P56" s="299" t="str">
        <f>(100*Dashboard!$H$62) &amp;"%  to " &amp;(100*Dashboard!$H$63)&amp;"% Ratio"</f>
        <v>45.04%  to 54.96% Ratio</v>
      </c>
      <c r="Q56" s="128"/>
      <c r="R56" s="128"/>
      <c r="S56" s="128"/>
      <c r="T56" s="128"/>
      <c r="U56" s="128"/>
      <c r="V56" s="143"/>
      <c r="W56" s="128"/>
      <c r="X56" s="303" t="s">
        <v>221</v>
      </c>
      <c r="Y56" s="311">
        <f>'Customer Analysis'!$D$21</f>
        <v>498673.62999999925</v>
      </c>
      <c r="Z56" s="311">
        <f>'Customer Analysis'!$W$21</f>
        <v>453372.25320058904</v>
      </c>
      <c r="AA56" s="312">
        <f>-AA55</f>
        <v>-5.0000000000000001E-3</v>
      </c>
      <c r="AB56" s="128"/>
      <c r="AC56" s="128"/>
      <c r="AD56" s="130"/>
      <c r="AE56" s="130"/>
      <c r="AF56" s="130"/>
      <c r="AG56" s="130"/>
      <c r="AH56" s="130"/>
      <c r="AI56" s="130"/>
      <c r="AJ56" s="130"/>
      <c r="AK56" s="130"/>
      <c r="AL56" s="130"/>
      <c r="AM56" s="130"/>
      <c r="AN56" s="130"/>
      <c r="AO56" s="130"/>
      <c r="AP56" s="130"/>
      <c r="AQ56" s="130"/>
      <c r="AR56" s="144"/>
    </row>
    <row r="57" spans="1:44" ht="16" customHeight="1" x14ac:dyDescent="0.2">
      <c r="A57" s="146"/>
      <c r="B57" s="91">
        <v>4</v>
      </c>
      <c r="C57" s="95">
        <v>0.1152</v>
      </c>
      <c r="D57" s="93">
        <f>IF(Depreciation_Methodology?="MACRS",Depreciation_Basis*C57,IF(Depreciation_Methodology?="Bonus Depr.",((Depreciation_Basis*((1-Depreciation_Bonus_Rate)*C57))),"ERROR"))</f>
        <v>51224.143603823992</v>
      </c>
      <c r="E57" s="94">
        <f t="shared" si="0"/>
        <v>51224.143603823992</v>
      </c>
      <c r="F57" s="146"/>
      <c r="G57" s="198" t="s">
        <v>36</v>
      </c>
      <c r="H57" s="199"/>
      <c r="I57" s="157"/>
      <c r="J57" s="146"/>
      <c r="K57" s="148"/>
      <c r="L57" s="158"/>
      <c r="M57" s="128"/>
      <c r="N57" s="128"/>
      <c r="O57" s="128"/>
      <c r="P57" s="128"/>
      <c r="Q57" s="128"/>
      <c r="R57" s="128"/>
      <c r="S57" s="128"/>
      <c r="T57" s="128"/>
      <c r="U57" s="128"/>
      <c r="V57" s="143"/>
      <c r="W57" s="128"/>
      <c r="X57" s="72"/>
      <c r="Y57" s="72"/>
      <c r="Z57" s="64"/>
      <c r="AA57" s="104"/>
      <c r="AB57" s="128"/>
      <c r="AC57" s="128"/>
      <c r="AD57" s="130"/>
      <c r="AE57" s="130"/>
      <c r="AF57" s="130"/>
      <c r="AG57" s="130"/>
      <c r="AH57" s="130"/>
      <c r="AI57" s="130"/>
      <c r="AJ57" s="130"/>
      <c r="AK57" s="130"/>
      <c r="AL57" s="130"/>
      <c r="AM57" s="130"/>
      <c r="AN57" s="130"/>
      <c r="AO57" s="130"/>
      <c r="AP57" s="130"/>
      <c r="AQ57" s="130"/>
      <c r="AR57" s="144"/>
    </row>
    <row r="58" spans="1:44" ht="16" x14ac:dyDescent="0.2">
      <c r="A58" s="146"/>
      <c r="B58" s="91">
        <v>5</v>
      </c>
      <c r="C58" s="95">
        <v>0.1152</v>
      </c>
      <c r="D58" s="93">
        <f>IF(Depreciation_Methodology?="MACRS",Depreciation_Basis*C58,IF(Depreciation_Methodology?="Bonus Depr.",((Depreciation_Basis*((1-Depreciation_Bonus_Rate)*C58))),"ERROR"))</f>
        <v>51224.143603823992</v>
      </c>
      <c r="E58" s="94">
        <f t="shared" si="0"/>
        <v>51224.143603823992</v>
      </c>
      <c r="F58" s="146"/>
      <c r="G58" s="71" t="s">
        <v>37</v>
      </c>
      <c r="H58" s="200">
        <v>0.99</v>
      </c>
      <c r="I58" s="157"/>
      <c r="J58" s="146"/>
      <c r="K58" s="148"/>
      <c r="L58" s="158"/>
      <c r="M58" s="128"/>
      <c r="N58" s="517" t="s">
        <v>211</v>
      </c>
      <c r="O58" s="518"/>
      <c r="P58" s="525"/>
      <c r="Q58" s="128"/>
      <c r="R58" s="128"/>
      <c r="S58" s="128"/>
      <c r="T58" s="128"/>
      <c r="U58" s="128"/>
      <c r="V58" s="143"/>
      <c r="W58" s="128"/>
      <c r="X58" s="526" t="s">
        <v>313</v>
      </c>
      <c r="Y58" s="527"/>
      <c r="Z58" s="527"/>
      <c r="AA58" s="528"/>
      <c r="AB58" s="128"/>
      <c r="AC58" s="128"/>
      <c r="AD58" s="130"/>
      <c r="AE58" s="130"/>
      <c r="AF58" s="130"/>
      <c r="AG58" s="130"/>
      <c r="AH58" s="130"/>
      <c r="AI58" s="130"/>
      <c r="AJ58" s="130"/>
      <c r="AK58" s="130"/>
      <c r="AL58" s="130"/>
      <c r="AM58" s="130"/>
      <c r="AN58" s="130"/>
      <c r="AO58" s="130"/>
      <c r="AP58" s="130"/>
      <c r="AQ58" s="130"/>
      <c r="AR58" s="144"/>
    </row>
    <row r="59" spans="1:44" ht="16" x14ac:dyDescent="0.2">
      <c r="A59" s="146"/>
      <c r="B59" s="97">
        <v>6</v>
      </c>
      <c r="C59" s="95">
        <v>5.7599999999999998E-2</v>
      </c>
      <c r="D59" s="93">
        <f>IF(Depreciation_Methodology?="MACRS",Depreciation_Basis*C59,IF(Depreciation_Methodology?="Bonus Depr.",((Depreciation_Basis*((1-Depreciation_Bonus_Rate)*C59))),"ERROR"))</f>
        <v>25612.071801911996</v>
      </c>
      <c r="E59" s="94">
        <f t="shared" si="0"/>
        <v>25612.071801911996</v>
      </c>
      <c r="F59" s="146"/>
      <c r="G59" s="71" t="s">
        <v>38</v>
      </c>
      <c r="H59" s="258">
        <f>1-$H$58</f>
        <v>1.0000000000000009E-2</v>
      </c>
      <c r="I59" s="157"/>
      <c r="J59" s="146"/>
      <c r="K59" s="148"/>
      <c r="L59" s="158"/>
      <c r="M59" s="128"/>
      <c r="N59" s="270" t="s">
        <v>212</v>
      </c>
      <c r="O59" s="271"/>
      <c r="P59" s="300" t="str">
        <f>Unstructured!$C$84</f>
        <v>Pass</v>
      </c>
      <c r="Q59" s="128"/>
      <c r="R59" s="128"/>
      <c r="S59" s="128"/>
      <c r="T59" s="128"/>
      <c r="U59" s="128"/>
      <c r="V59" s="143"/>
      <c r="W59" s="128"/>
      <c r="X59" s="275"/>
      <c r="Y59" s="321" t="s">
        <v>173</v>
      </c>
      <c r="Z59" s="321" t="s">
        <v>153</v>
      </c>
      <c r="AA59" s="304" t="s">
        <v>154</v>
      </c>
      <c r="AB59" s="128"/>
      <c r="AC59" s="128"/>
      <c r="AD59" s="130"/>
      <c r="AE59" s="130"/>
      <c r="AF59" s="130"/>
      <c r="AG59" s="130"/>
      <c r="AH59" s="130"/>
      <c r="AI59" s="130"/>
      <c r="AJ59" s="130"/>
      <c r="AK59" s="130"/>
      <c r="AL59" s="130"/>
      <c r="AM59" s="130"/>
      <c r="AN59" s="130"/>
      <c r="AO59" s="130"/>
      <c r="AP59" s="130"/>
      <c r="AQ59" s="130"/>
      <c r="AR59" s="144"/>
    </row>
    <row r="60" spans="1:44" ht="16" x14ac:dyDescent="0.2">
      <c r="A60" s="146"/>
      <c r="B60" s="71"/>
      <c r="C60" s="98" t="s">
        <v>239</v>
      </c>
      <c r="D60" s="99">
        <f>SUM(D54:D59)</f>
        <v>444654.02433874988</v>
      </c>
      <c r="E60" s="100">
        <f>SUM(E54:E59)</f>
        <v>444654.02433874988</v>
      </c>
      <c r="F60" s="146"/>
      <c r="G60" s="71" t="s">
        <v>12</v>
      </c>
      <c r="H60" s="200">
        <v>0.05</v>
      </c>
      <c r="I60" s="157"/>
      <c r="J60" s="146"/>
      <c r="K60" s="148"/>
      <c r="L60" s="159"/>
      <c r="M60" s="128"/>
      <c r="N60" s="273" t="s">
        <v>117</v>
      </c>
      <c r="O60" s="264"/>
      <c r="P60" s="286" t="s">
        <v>234</v>
      </c>
      <c r="Q60" s="128"/>
      <c r="R60" s="128"/>
      <c r="S60" s="128"/>
      <c r="T60" s="128"/>
      <c r="U60" s="128"/>
      <c r="V60" s="143"/>
      <c r="W60" s="128"/>
      <c r="X60" s="270" t="s">
        <v>307</v>
      </c>
      <c r="Y60" s="313">
        <f>Dashboard!H23</f>
        <v>574682.63235239836</v>
      </c>
      <c r="Z60" s="313">
        <f>'Customer Analysis'!$J$34</f>
        <v>322851.29804160167</v>
      </c>
      <c r="AA60" s="314">
        <f>'Customer Analysis'!$M$34</f>
        <v>308409.53762612154</v>
      </c>
      <c r="AB60" s="128"/>
      <c r="AC60" s="128"/>
      <c r="AD60" s="130"/>
      <c r="AE60" s="130"/>
      <c r="AF60" s="130"/>
      <c r="AG60" s="130"/>
      <c r="AH60" s="130"/>
      <c r="AI60" s="130"/>
      <c r="AJ60" s="130"/>
      <c r="AK60" s="130"/>
      <c r="AL60" s="130"/>
      <c r="AM60" s="130"/>
      <c r="AN60" s="130"/>
      <c r="AO60" s="130"/>
      <c r="AP60" s="130"/>
      <c r="AQ60" s="130"/>
      <c r="AR60" s="144"/>
    </row>
    <row r="61" spans="1:44" ht="16" x14ac:dyDescent="0.2">
      <c r="A61" s="146"/>
      <c r="B61" s="80"/>
      <c r="C61" s="83"/>
      <c r="D61" s="83"/>
      <c r="E61" s="101"/>
      <c r="F61" s="146"/>
      <c r="G61" s="71" t="s">
        <v>13</v>
      </c>
      <c r="H61" s="258">
        <f>1-$H$60</f>
        <v>0.95</v>
      </c>
      <c r="I61" s="157"/>
      <c r="J61" s="146"/>
      <c r="K61" s="148"/>
      <c r="L61" s="159"/>
      <c r="M61" s="128"/>
      <c r="N61" s="276" t="s">
        <v>63</v>
      </c>
      <c r="O61" s="262"/>
      <c r="P61" s="301" t="s">
        <v>234</v>
      </c>
      <c r="Q61" s="128"/>
      <c r="R61" s="128"/>
      <c r="S61" s="128"/>
      <c r="T61" s="128"/>
      <c r="U61" s="128"/>
      <c r="V61" s="143"/>
      <c r="W61" s="128"/>
      <c r="X61" s="275"/>
      <c r="Y61" s="313"/>
      <c r="Z61" s="296"/>
      <c r="AA61" s="287"/>
      <c r="AB61" s="128"/>
      <c r="AC61" s="128"/>
      <c r="AD61" s="130"/>
      <c r="AE61" s="130"/>
      <c r="AF61" s="130"/>
      <c r="AG61" s="130"/>
      <c r="AH61" s="130"/>
      <c r="AI61" s="130"/>
      <c r="AJ61" s="130"/>
      <c r="AK61" s="130"/>
      <c r="AL61" s="130"/>
      <c r="AM61" s="130"/>
      <c r="AN61" s="130"/>
      <c r="AO61" s="130"/>
      <c r="AP61" s="130"/>
      <c r="AQ61" s="130"/>
      <c r="AR61" s="144"/>
    </row>
    <row r="62" spans="1:44" ht="16" x14ac:dyDescent="0.2">
      <c r="A62" s="146"/>
      <c r="B62" s="146"/>
      <c r="C62" s="146"/>
      <c r="D62" s="146"/>
      <c r="E62" s="146"/>
      <c r="F62" s="146"/>
      <c r="G62" s="71" t="s">
        <v>225</v>
      </c>
      <c r="H62" s="200">
        <v>0.45040000000000002</v>
      </c>
      <c r="I62" s="157"/>
      <c r="J62" s="146"/>
      <c r="K62" s="148"/>
      <c r="L62" s="159"/>
      <c r="M62" s="128"/>
      <c r="N62" s="269"/>
      <c r="O62" s="264"/>
      <c r="P62" s="287"/>
      <c r="Q62" s="128"/>
      <c r="R62" s="128"/>
      <c r="S62" s="128"/>
      <c r="T62" s="128"/>
      <c r="U62" s="128"/>
      <c r="V62" s="143"/>
      <c r="W62" s="128"/>
      <c r="X62" s="272" t="s">
        <v>308</v>
      </c>
      <c r="Y62" s="398">
        <f>'Customer Analysis'!$C$56</f>
        <v>5.8557699909813889E-2</v>
      </c>
      <c r="Z62" s="398">
        <f>'Customer Analysis'!$C$57</f>
        <v>5.9475790034520498E-2</v>
      </c>
      <c r="AA62" s="399">
        <f>'Customer Analysis'!$C$58</f>
        <v>6.8518920764190361E-2</v>
      </c>
      <c r="AB62" s="128"/>
      <c r="AC62" s="128"/>
      <c r="AD62" s="130"/>
      <c r="AE62" s="130"/>
      <c r="AF62" s="130"/>
      <c r="AG62" s="130"/>
      <c r="AH62" s="130"/>
      <c r="AI62" s="130"/>
      <c r="AJ62" s="130"/>
      <c r="AK62" s="130"/>
      <c r="AL62" s="130"/>
      <c r="AM62" s="130"/>
      <c r="AN62" s="130"/>
      <c r="AO62" s="130"/>
      <c r="AP62" s="130"/>
      <c r="AQ62" s="130"/>
      <c r="AR62" s="144"/>
    </row>
    <row r="63" spans="1:44" ht="16" x14ac:dyDescent="0.2">
      <c r="A63" s="146"/>
      <c r="B63" s="545" t="s">
        <v>428</v>
      </c>
      <c r="C63" s="546"/>
      <c r="D63" s="546"/>
      <c r="E63" s="547"/>
      <c r="F63" s="146"/>
      <c r="G63" s="71" t="s">
        <v>11</v>
      </c>
      <c r="H63" s="258">
        <f>1-Tax_Equity_Investment_Share</f>
        <v>0.54959999999999998</v>
      </c>
      <c r="I63" s="157"/>
      <c r="J63" s="146"/>
      <c r="K63" s="148"/>
      <c r="L63" s="159"/>
      <c r="M63" s="128"/>
      <c r="N63" s="269" t="s">
        <v>82</v>
      </c>
      <c r="O63" s="264"/>
      <c r="P63" s="288">
        <f>E32</f>
        <v>495589.62464999995</v>
      </c>
      <c r="Q63" s="128"/>
      <c r="R63" s="128"/>
      <c r="S63" s="128"/>
      <c r="T63" s="128"/>
      <c r="U63" s="128"/>
      <c r="V63" s="143"/>
      <c r="W63" s="128"/>
      <c r="X63" s="138"/>
      <c r="Y63" s="138"/>
      <c r="Z63" s="138"/>
      <c r="AA63" s="138"/>
      <c r="AB63" s="128"/>
      <c r="AC63" s="128"/>
      <c r="AD63" s="130"/>
      <c r="AE63" s="130"/>
      <c r="AF63" s="130"/>
      <c r="AG63" s="130"/>
      <c r="AH63" s="130"/>
      <c r="AI63" s="130"/>
      <c r="AJ63" s="130"/>
      <c r="AK63" s="130"/>
      <c r="AL63" s="130"/>
      <c r="AM63" s="130"/>
      <c r="AN63" s="130"/>
      <c r="AO63" s="130"/>
      <c r="AP63" s="130"/>
      <c r="AQ63" s="130"/>
      <c r="AR63" s="144"/>
    </row>
    <row r="64" spans="1:44" ht="16" x14ac:dyDescent="0.2">
      <c r="A64" s="146"/>
      <c r="B64" s="419" t="s">
        <v>421</v>
      </c>
      <c r="C64" s="409"/>
      <c r="D64" s="410" t="s">
        <v>422</v>
      </c>
      <c r="E64" s="420" t="s">
        <v>429</v>
      </c>
      <c r="F64" s="146"/>
      <c r="G64" s="71" t="s">
        <v>447</v>
      </c>
      <c r="H64" s="434">
        <v>5</v>
      </c>
      <c r="I64" s="146"/>
      <c r="J64" s="146"/>
      <c r="K64" s="148"/>
      <c r="L64" s="159"/>
      <c r="M64" s="128"/>
      <c r="N64" s="269" t="s">
        <v>310</v>
      </c>
      <c r="O64" s="264"/>
      <c r="P64" s="288">
        <f>Roof_Upgrade_Cost</f>
        <v>0</v>
      </c>
      <c r="Q64" s="128"/>
      <c r="R64" s="128"/>
      <c r="S64" s="128"/>
      <c r="T64" s="128"/>
      <c r="U64" s="128"/>
      <c r="V64" s="143"/>
      <c r="W64" s="128"/>
      <c r="X64" s="539" t="s">
        <v>469</v>
      </c>
      <c r="Y64" s="539"/>
      <c r="Z64" s="539"/>
      <c r="AA64" s="138"/>
      <c r="AB64" s="128"/>
      <c r="AC64" s="128"/>
      <c r="AD64" s="130"/>
      <c r="AE64" s="130"/>
      <c r="AF64" s="130"/>
      <c r="AG64" s="130"/>
      <c r="AH64" s="130"/>
      <c r="AI64" s="130"/>
      <c r="AJ64" s="130"/>
      <c r="AK64" s="130"/>
      <c r="AL64" s="130"/>
      <c r="AM64" s="130"/>
      <c r="AN64" s="130"/>
      <c r="AO64" s="130"/>
      <c r="AP64" s="130"/>
      <c r="AQ64" s="130"/>
      <c r="AR64" s="144"/>
    </row>
    <row r="65" spans="1:44" ht="16" x14ac:dyDescent="0.2">
      <c r="A65" s="146"/>
      <c r="B65" s="465" t="s">
        <v>423</v>
      </c>
      <c r="D65" s="418">
        <v>0.3</v>
      </c>
      <c r="E65" s="424" t="s">
        <v>419</v>
      </c>
      <c r="F65" s="146"/>
      <c r="G65" s="71" t="s">
        <v>355</v>
      </c>
      <c r="H65" s="258">
        <f>Investor_Discount_Rate</f>
        <v>6.5000000000000002E-2</v>
      </c>
      <c r="I65" s="146"/>
      <c r="J65" s="146"/>
      <c r="K65" s="148"/>
      <c r="L65" s="159"/>
      <c r="M65" s="128"/>
      <c r="N65" s="269" t="s">
        <v>58</v>
      </c>
      <c r="O65" s="271"/>
      <c r="P65" s="288">
        <f>E35</f>
        <v>55065.513849999996</v>
      </c>
      <c r="Q65" s="128"/>
      <c r="R65" s="128"/>
      <c r="S65" s="128"/>
      <c r="T65" s="128"/>
      <c r="U65" s="128"/>
      <c r="V65" s="143"/>
      <c r="W65" s="128"/>
      <c r="X65" s="316" t="s">
        <v>282</v>
      </c>
      <c r="Y65" s="317"/>
      <c r="Z65" s="315">
        <f>Y60</f>
        <v>574682.63235239836</v>
      </c>
      <c r="AA65" s="138"/>
      <c r="AB65" s="128"/>
      <c r="AC65" s="128"/>
      <c r="AD65" s="130"/>
      <c r="AE65" s="130"/>
      <c r="AF65" s="130"/>
      <c r="AG65" s="130"/>
      <c r="AH65" s="130"/>
      <c r="AI65" s="130"/>
      <c r="AJ65" s="130"/>
      <c r="AK65" s="130"/>
      <c r="AL65" s="130"/>
      <c r="AM65" s="130"/>
      <c r="AN65" s="130"/>
      <c r="AO65" s="130"/>
      <c r="AP65" s="130"/>
      <c r="AQ65" s="130"/>
      <c r="AR65" s="144"/>
    </row>
    <row r="66" spans="1:44" ht="16" x14ac:dyDescent="0.2">
      <c r="A66" s="146"/>
      <c r="B66" s="465" t="s">
        <v>424</v>
      </c>
      <c r="D66" s="418">
        <v>0.1</v>
      </c>
      <c r="E66" s="424" t="s">
        <v>309</v>
      </c>
      <c r="F66" s="146"/>
      <c r="G66" s="71" t="s">
        <v>356</v>
      </c>
      <c r="H66" s="201">
        <v>3.5000000000000003E-2</v>
      </c>
      <c r="I66" s="146"/>
      <c r="J66" s="146"/>
      <c r="K66" s="148"/>
      <c r="L66" s="159"/>
      <c r="M66" s="128"/>
      <c r="N66" s="269" t="s">
        <v>59</v>
      </c>
      <c r="O66" s="264"/>
      <c r="P66" s="288">
        <f>SUM(E36:E38)</f>
        <v>24027.493852398304</v>
      </c>
      <c r="Q66" s="128"/>
      <c r="R66" s="128"/>
      <c r="S66" s="128"/>
      <c r="T66" s="128"/>
      <c r="U66" s="128"/>
      <c r="V66" s="143"/>
      <c r="W66" s="128"/>
      <c r="X66" s="318" t="s">
        <v>283</v>
      </c>
      <c r="Y66" s="319"/>
      <c r="Z66" s="314">
        <f>'Customer Analysis'!$C$70</f>
        <v>-3981.0577844450577</v>
      </c>
      <c r="AA66" s="138"/>
      <c r="AB66" s="128"/>
      <c r="AC66" s="128"/>
      <c r="AD66" s="130"/>
      <c r="AE66" s="130"/>
      <c r="AF66" s="130"/>
      <c r="AG66" s="130"/>
      <c r="AH66" s="130"/>
      <c r="AI66" s="130"/>
      <c r="AJ66" s="130"/>
      <c r="AK66" s="130"/>
      <c r="AL66" s="130"/>
      <c r="AM66" s="130"/>
      <c r="AN66" s="130"/>
      <c r="AO66" s="130"/>
      <c r="AP66" s="130"/>
      <c r="AQ66" s="130"/>
      <c r="AR66" s="144"/>
    </row>
    <row r="67" spans="1:44" ht="17" thickBot="1" x14ac:dyDescent="0.25">
      <c r="A67" s="146"/>
      <c r="B67" s="465" t="s">
        <v>425</v>
      </c>
      <c r="D67" s="418">
        <v>0.1</v>
      </c>
      <c r="E67" s="424" t="s">
        <v>309</v>
      </c>
      <c r="F67" s="146"/>
      <c r="G67" s="80" t="s">
        <v>357</v>
      </c>
      <c r="H67" s="202">
        <v>0.9</v>
      </c>
      <c r="I67" s="157"/>
      <c r="J67" s="146"/>
      <c r="K67" s="148"/>
      <c r="L67" s="159"/>
      <c r="M67" s="128"/>
      <c r="N67" s="269" t="s">
        <v>92</v>
      </c>
      <c r="O67" s="274"/>
      <c r="P67" s="278">
        <f>$H$23-$E$39</f>
        <v>0</v>
      </c>
      <c r="Q67" s="128"/>
      <c r="R67" s="128"/>
      <c r="S67" s="128"/>
      <c r="T67" s="128"/>
      <c r="U67" s="128"/>
      <c r="V67" s="143"/>
      <c r="W67" s="128"/>
      <c r="X67" s="265" t="s">
        <v>220</v>
      </c>
      <c r="Y67" s="320"/>
      <c r="Z67" s="312">
        <f>'Customer Analysis'!$C$71</f>
        <v>8.8903331748362735E-2</v>
      </c>
      <c r="AA67" s="138"/>
      <c r="AB67" s="128"/>
      <c r="AC67" s="128"/>
      <c r="AD67" s="130"/>
      <c r="AE67" s="130"/>
      <c r="AF67" s="130"/>
      <c r="AG67" s="130"/>
      <c r="AH67" s="130"/>
      <c r="AI67" s="130"/>
      <c r="AJ67" s="130"/>
      <c r="AK67" s="130"/>
      <c r="AL67" s="130"/>
      <c r="AM67" s="130"/>
      <c r="AN67" s="130"/>
      <c r="AO67" s="130"/>
      <c r="AP67" s="130"/>
      <c r="AQ67" s="130"/>
      <c r="AR67" s="144"/>
    </row>
    <row r="68" spans="1:44" ht="17" thickTop="1" x14ac:dyDescent="0.2">
      <c r="A68" s="146"/>
      <c r="B68" s="466" t="s">
        <v>426</v>
      </c>
      <c r="C68" s="467"/>
      <c r="D68" s="421">
        <v>0.1</v>
      </c>
      <c r="E68" s="424" t="s">
        <v>309</v>
      </c>
      <c r="F68" s="146"/>
      <c r="G68" s="146"/>
      <c r="H68" s="146"/>
      <c r="I68" s="157"/>
      <c r="J68" s="438"/>
      <c r="K68" s="148"/>
      <c r="L68" s="159"/>
      <c r="M68" s="128"/>
      <c r="N68" s="270" t="s">
        <v>54</v>
      </c>
      <c r="O68" s="264"/>
      <c r="P68" s="288">
        <f>SUM(P63:P67)</f>
        <v>574682.63235239836</v>
      </c>
      <c r="Q68" s="128"/>
      <c r="R68" s="128"/>
      <c r="S68" s="130"/>
      <c r="T68" s="128"/>
      <c r="U68" s="128"/>
      <c r="V68" s="143"/>
      <c r="W68" s="128"/>
      <c r="X68" s="128"/>
      <c r="Y68" s="128"/>
      <c r="Z68" s="128"/>
      <c r="AA68" s="128"/>
      <c r="AB68" s="128"/>
      <c r="AC68" s="128"/>
      <c r="AD68" s="130"/>
      <c r="AE68" s="130"/>
      <c r="AF68" s="130"/>
      <c r="AG68" s="130"/>
      <c r="AH68" s="130"/>
      <c r="AI68" s="130"/>
      <c r="AJ68" s="130"/>
      <c r="AK68" s="130"/>
      <c r="AL68" s="130"/>
      <c r="AM68" s="130"/>
      <c r="AN68" s="130"/>
      <c r="AO68" s="130"/>
      <c r="AP68" s="130"/>
      <c r="AQ68" s="130"/>
      <c r="AR68" s="144"/>
    </row>
    <row r="69" spans="1:44" ht="16" x14ac:dyDescent="0.2">
      <c r="A69" s="146"/>
      <c r="B69" s="146"/>
      <c r="C69" s="146"/>
      <c r="D69" s="146"/>
      <c r="E69" s="146"/>
      <c r="F69" s="146"/>
      <c r="G69" s="146"/>
      <c r="H69" s="146"/>
      <c r="I69" s="157"/>
      <c r="J69" s="146"/>
      <c r="K69" s="148"/>
      <c r="L69" s="159"/>
      <c r="M69" s="128"/>
      <c r="N69" s="275"/>
      <c r="O69" s="264"/>
      <c r="P69" s="287"/>
      <c r="Q69" s="128"/>
      <c r="R69" s="128"/>
      <c r="S69" s="130"/>
      <c r="T69" s="128"/>
      <c r="U69" s="128"/>
      <c r="V69" s="143"/>
      <c r="W69" s="128"/>
      <c r="X69" s="128"/>
      <c r="Y69" s="128"/>
      <c r="Z69" s="128"/>
      <c r="AA69" s="128"/>
      <c r="AB69" s="128"/>
      <c r="AC69" s="128"/>
      <c r="AD69" s="130"/>
      <c r="AE69" s="130"/>
      <c r="AF69" s="130"/>
      <c r="AG69" s="130"/>
      <c r="AH69" s="130"/>
      <c r="AI69" s="130"/>
      <c r="AJ69" s="130"/>
      <c r="AK69" s="130"/>
      <c r="AL69" s="130"/>
      <c r="AM69" s="130"/>
      <c r="AN69" s="130"/>
      <c r="AO69" s="130"/>
      <c r="AP69" s="130"/>
      <c r="AQ69" s="130"/>
      <c r="AR69" s="144"/>
    </row>
    <row r="70" spans="1:44" ht="16" x14ac:dyDescent="0.2">
      <c r="A70" s="146"/>
      <c r="B70" s="533" t="s">
        <v>445</v>
      </c>
      <c r="C70" s="534"/>
      <c r="D70" s="534"/>
      <c r="E70" s="535"/>
      <c r="F70" s="146"/>
      <c r="G70" s="146"/>
      <c r="H70" s="160"/>
      <c r="I70" s="146"/>
      <c r="J70" s="146"/>
      <c r="K70" s="148"/>
      <c r="L70" s="159"/>
      <c r="M70" s="128"/>
      <c r="N70" s="272" t="s">
        <v>69</v>
      </c>
      <c r="O70" s="266"/>
      <c r="P70" s="289">
        <f>P51-H25</f>
        <v>-1.6824218595732909E-3</v>
      </c>
      <c r="Q70" s="128"/>
      <c r="R70" s="128"/>
      <c r="S70" s="130"/>
      <c r="T70" s="128"/>
      <c r="U70" s="128"/>
      <c r="V70" s="143"/>
      <c r="W70" s="128"/>
      <c r="X70" s="128"/>
      <c r="Y70" s="128"/>
      <c r="Z70" s="128"/>
      <c r="AA70" s="128"/>
      <c r="AB70" s="128"/>
      <c r="AC70" s="128"/>
      <c r="AD70" s="130"/>
      <c r="AE70" s="130"/>
      <c r="AF70" s="130"/>
      <c r="AG70" s="130"/>
      <c r="AH70" s="130"/>
      <c r="AI70" s="130"/>
      <c r="AJ70" s="130"/>
      <c r="AK70" s="130"/>
      <c r="AL70" s="130"/>
      <c r="AM70" s="130"/>
      <c r="AN70" s="130"/>
      <c r="AO70" s="130"/>
      <c r="AP70" s="130"/>
      <c r="AQ70" s="130"/>
      <c r="AR70" s="144"/>
    </row>
    <row r="71" spans="1:44" ht="14" x14ac:dyDescent="0.2">
      <c r="A71" s="146"/>
      <c r="B71" s="536"/>
      <c r="C71" s="537"/>
      <c r="D71" s="537"/>
      <c r="E71" s="538"/>
      <c r="F71" s="146"/>
      <c r="G71" s="146"/>
      <c r="H71" s="160"/>
      <c r="I71" s="146"/>
      <c r="J71" s="146"/>
      <c r="K71" s="148"/>
      <c r="L71" s="159"/>
      <c r="M71" s="128"/>
      <c r="N71" s="131"/>
      <c r="O71" s="131"/>
      <c r="P71" s="131"/>
      <c r="Q71" s="128"/>
      <c r="R71" s="128"/>
      <c r="S71" s="130"/>
      <c r="T71" s="128"/>
      <c r="U71" s="128"/>
      <c r="V71" s="143"/>
      <c r="W71" s="128"/>
      <c r="X71" s="128"/>
      <c r="Y71" s="128"/>
      <c r="Z71" s="128"/>
      <c r="AA71" s="128"/>
      <c r="AB71" s="128"/>
      <c r="AC71" s="128"/>
      <c r="AD71" s="130"/>
      <c r="AE71" s="130"/>
      <c r="AF71" s="130"/>
      <c r="AG71" s="130"/>
      <c r="AH71" s="130"/>
      <c r="AI71" s="130"/>
      <c r="AJ71" s="130"/>
      <c r="AK71" s="130"/>
      <c r="AL71" s="130"/>
      <c r="AM71" s="130"/>
      <c r="AN71" s="130"/>
      <c r="AO71" s="130"/>
      <c r="AP71" s="130"/>
      <c r="AQ71" s="130"/>
      <c r="AR71" s="144"/>
    </row>
    <row r="72" spans="1:44" ht="16" x14ac:dyDescent="0.2">
      <c r="A72" s="146"/>
      <c r="B72" s="431" t="s">
        <v>442</v>
      </c>
      <c r="C72" s="432">
        <v>0.12</v>
      </c>
      <c r="D72" s="432">
        <v>0.15</v>
      </c>
      <c r="E72" s="432">
        <v>0.18</v>
      </c>
      <c r="F72" s="146"/>
      <c r="G72" s="146"/>
      <c r="H72" s="160"/>
      <c r="I72" s="146"/>
      <c r="J72" s="146"/>
      <c r="K72" s="146"/>
      <c r="L72" s="159"/>
      <c r="M72" s="128"/>
      <c r="N72" s="128"/>
      <c r="O72" s="128"/>
      <c r="P72" s="128"/>
      <c r="Q72" s="128"/>
      <c r="R72" s="128"/>
      <c r="S72" s="128"/>
      <c r="T72" s="128"/>
      <c r="U72" s="128"/>
      <c r="V72" s="143"/>
      <c r="W72" s="128"/>
      <c r="X72" s="128"/>
      <c r="Y72" s="128"/>
      <c r="Z72" s="128"/>
      <c r="AA72" s="128"/>
      <c r="AB72" s="128"/>
      <c r="AC72" s="128"/>
      <c r="AD72" s="128"/>
      <c r="AE72" s="128"/>
      <c r="AF72" s="128"/>
      <c r="AG72" s="128"/>
      <c r="AH72" s="128"/>
      <c r="AI72" s="128"/>
      <c r="AJ72" s="128"/>
      <c r="AK72" s="128"/>
      <c r="AL72" s="128"/>
      <c r="AM72" s="128"/>
      <c r="AN72" s="128"/>
      <c r="AO72" s="128"/>
      <c r="AP72" s="128"/>
      <c r="AQ72" s="128"/>
      <c r="AR72" s="143"/>
    </row>
    <row r="73" spans="1:44" ht="16" x14ac:dyDescent="0.2">
      <c r="A73" s="146"/>
      <c r="B73" s="417" t="s">
        <v>443</v>
      </c>
      <c r="C73" s="426">
        <f>Aggregate_Project_Cost*C72</f>
        <v>68961.915882287794</v>
      </c>
      <c r="D73" s="426">
        <f>Aggregate_Project_Cost*D72</f>
        <v>86202.394852859754</v>
      </c>
      <c r="E73" s="427">
        <f>Aggregate_Project_Cost*E72</f>
        <v>103442.8738234317</v>
      </c>
      <c r="F73" s="146"/>
      <c r="G73" s="146"/>
      <c r="H73" s="160"/>
      <c r="I73" s="157"/>
      <c r="J73" s="146"/>
      <c r="K73" s="146"/>
      <c r="L73" s="159"/>
      <c r="M73" s="128"/>
      <c r="N73" s="128"/>
      <c r="O73" s="128"/>
      <c r="P73" s="128"/>
      <c r="Q73" s="128"/>
      <c r="R73" s="128"/>
      <c r="S73" s="128"/>
      <c r="T73" s="128"/>
      <c r="U73" s="128"/>
      <c r="V73" s="143"/>
      <c r="W73" s="128"/>
      <c r="X73" s="128"/>
      <c r="Y73" s="128"/>
      <c r="Z73" s="128"/>
      <c r="AA73" s="128"/>
      <c r="AB73" s="128"/>
      <c r="AC73" s="128"/>
      <c r="AD73" s="128"/>
      <c r="AE73" s="128"/>
      <c r="AF73" s="128"/>
      <c r="AG73" s="128"/>
      <c r="AH73" s="128"/>
      <c r="AI73" s="128"/>
      <c r="AJ73" s="128"/>
      <c r="AK73" s="128"/>
      <c r="AL73" s="128"/>
      <c r="AM73" s="128"/>
      <c r="AN73" s="128"/>
      <c r="AO73" s="128"/>
      <c r="AP73" s="128"/>
      <c r="AQ73" s="128"/>
      <c r="AR73" s="143"/>
    </row>
    <row r="74" spans="1:44" ht="16" x14ac:dyDescent="0.2">
      <c r="A74" s="146"/>
      <c r="B74" s="428" t="s">
        <v>444</v>
      </c>
      <c r="C74" s="429"/>
      <c r="D74" s="424" t="s">
        <v>311</v>
      </c>
      <c r="E74" s="430">
        <v>0.15</v>
      </c>
      <c r="F74" s="146"/>
      <c r="G74" s="146"/>
      <c r="H74" s="160"/>
      <c r="I74" s="157"/>
      <c r="J74" s="146"/>
      <c r="K74" s="146"/>
      <c r="L74" s="159"/>
      <c r="M74" s="128"/>
      <c r="N74" s="128"/>
      <c r="O74" s="128"/>
      <c r="P74" s="128"/>
      <c r="Q74" s="128"/>
      <c r="R74" s="128"/>
      <c r="S74" s="128"/>
      <c r="T74" s="128"/>
      <c r="U74" s="128"/>
      <c r="V74" s="143"/>
      <c r="W74" s="128"/>
      <c r="X74" s="128"/>
      <c r="Y74" s="128"/>
      <c r="Z74" s="128"/>
      <c r="AA74" s="128"/>
      <c r="AB74" s="128"/>
      <c r="AC74" s="128"/>
      <c r="AD74" s="128"/>
      <c r="AE74" s="128"/>
      <c r="AF74" s="128"/>
      <c r="AG74" s="128"/>
      <c r="AH74" s="128"/>
      <c r="AI74" s="128"/>
      <c r="AJ74" s="128"/>
      <c r="AK74" s="128"/>
      <c r="AL74" s="128"/>
      <c r="AM74" s="128"/>
      <c r="AN74" s="128"/>
      <c r="AO74" s="128"/>
      <c r="AP74" s="128"/>
      <c r="AQ74" s="128"/>
      <c r="AR74" s="143"/>
    </row>
    <row r="75" spans="1:44" ht="14" x14ac:dyDescent="0.2">
      <c r="A75" s="146"/>
      <c r="B75" s="146"/>
      <c r="C75" s="146"/>
      <c r="D75" s="146"/>
      <c r="E75" s="146"/>
      <c r="F75" s="146"/>
      <c r="G75" s="146"/>
      <c r="H75" s="160"/>
      <c r="I75" s="157"/>
      <c r="J75" s="146"/>
      <c r="K75" s="146"/>
      <c r="L75" s="159"/>
      <c r="M75" s="128"/>
      <c r="N75" s="128"/>
      <c r="O75" s="128"/>
      <c r="P75" s="128"/>
      <c r="Q75" s="128"/>
      <c r="R75" s="128"/>
      <c r="S75" s="128"/>
      <c r="T75" s="128"/>
      <c r="U75" s="128"/>
      <c r="V75" s="143"/>
      <c r="W75" s="128"/>
      <c r="X75" s="128"/>
      <c r="Y75" s="128"/>
      <c r="Z75" s="128"/>
      <c r="AA75" s="128"/>
      <c r="AB75" s="128"/>
      <c r="AC75" s="128"/>
      <c r="AD75" s="128"/>
      <c r="AE75" s="128"/>
      <c r="AF75" s="128"/>
      <c r="AG75" s="128"/>
      <c r="AH75" s="128"/>
      <c r="AI75" s="128"/>
      <c r="AJ75" s="128"/>
      <c r="AK75" s="128"/>
      <c r="AL75" s="128"/>
      <c r="AM75" s="128"/>
      <c r="AN75" s="128"/>
      <c r="AO75" s="128"/>
      <c r="AP75" s="128"/>
      <c r="AQ75" s="128"/>
      <c r="AR75" s="143"/>
    </row>
    <row r="76" spans="1:44" ht="14" x14ac:dyDescent="0.2">
      <c r="A76" s="146"/>
      <c r="B76" s="146"/>
      <c r="C76" s="146"/>
      <c r="D76" s="146"/>
      <c r="E76" s="146"/>
      <c r="F76" s="146"/>
      <c r="G76" s="146"/>
      <c r="H76" s="160"/>
      <c r="I76" s="157"/>
      <c r="J76" s="146"/>
      <c r="K76" s="146"/>
      <c r="L76" s="159"/>
      <c r="M76" s="128"/>
      <c r="N76" s="128"/>
      <c r="O76" s="128"/>
      <c r="P76" s="128"/>
      <c r="Q76" s="128"/>
      <c r="R76" s="128"/>
      <c r="S76" s="128"/>
      <c r="T76" s="128"/>
      <c r="U76" s="128"/>
      <c r="V76" s="143"/>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43"/>
    </row>
    <row r="77" spans="1:44" ht="14" x14ac:dyDescent="0.2">
      <c r="A77" s="146"/>
      <c r="B77" s="146"/>
      <c r="C77" s="146"/>
      <c r="D77" s="146"/>
      <c r="E77" s="146"/>
      <c r="F77" s="146"/>
      <c r="G77" s="146"/>
      <c r="H77" s="160"/>
      <c r="I77" s="157"/>
      <c r="J77" s="146"/>
      <c r="K77" s="146"/>
      <c r="L77" s="159"/>
      <c r="M77" s="128"/>
      <c r="N77" s="128"/>
      <c r="O77" s="128"/>
      <c r="P77" s="128"/>
      <c r="Q77" s="128"/>
      <c r="R77" s="128"/>
      <c r="S77" s="128"/>
      <c r="T77" s="128"/>
      <c r="U77" s="128"/>
      <c r="V77" s="143"/>
      <c r="W77" s="128"/>
      <c r="X77" s="128"/>
      <c r="Y77" s="128"/>
      <c r="Z77" s="128"/>
      <c r="AA77" s="128"/>
      <c r="AB77" s="128"/>
      <c r="AC77" s="128"/>
      <c r="AD77" s="128"/>
      <c r="AE77" s="128"/>
      <c r="AF77" s="128"/>
      <c r="AG77" s="128"/>
      <c r="AH77" s="128"/>
      <c r="AI77" s="128"/>
      <c r="AJ77" s="128"/>
      <c r="AK77" s="128"/>
      <c r="AL77" s="128"/>
      <c r="AM77" s="128"/>
      <c r="AN77" s="128"/>
      <c r="AO77" s="128"/>
      <c r="AP77" s="128"/>
      <c r="AQ77" s="128"/>
      <c r="AR77" s="143"/>
    </row>
    <row r="78" spans="1:44" ht="17" thickBot="1" x14ac:dyDescent="0.25">
      <c r="A78" s="448"/>
      <c r="B78" s="448"/>
      <c r="C78" s="448"/>
      <c r="D78" s="448"/>
      <c r="E78" s="448"/>
      <c r="F78" s="448"/>
      <c r="G78" s="448"/>
      <c r="H78" s="448"/>
      <c r="I78" s="448"/>
      <c r="J78" s="448"/>
      <c r="K78" s="448"/>
      <c r="L78" s="171"/>
      <c r="M78" s="128"/>
      <c r="N78" s="128"/>
      <c r="O78" s="128"/>
      <c r="P78" s="128"/>
      <c r="Q78" s="128"/>
      <c r="R78" s="128"/>
      <c r="S78" s="128"/>
      <c r="T78" s="128"/>
      <c r="U78" s="128"/>
      <c r="V78" s="143"/>
      <c r="W78" s="128"/>
      <c r="X78" s="128"/>
      <c r="Y78" s="128"/>
      <c r="Z78" s="128"/>
      <c r="AA78" s="128"/>
      <c r="AB78" s="128"/>
      <c r="AC78" s="128"/>
      <c r="AD78" s="128"/>
      <c r="AE78" s="128"/>
      <c r="AF78" s="128"/>
      <c r="AG78" s="128"/>
      <c r="AH78" s="128"/>
      <c r="AI78" s="128"/>
      <c r="AJ78" s="128"/>
      <c r="AK78" s="128"/>
      <c r="AL78" s="128"/>
      <c r="AM78" s="128"/>
      <c r="AN78" s="128"/>
      <c r="AO78" s="128"/>
      <c r="AP78" s="128"/>
      <c r="AQ78" s="128"/>
      <c r="AR78" s="143"/>
    </row>
    <row r="79" spans="1:44" ht="17" thickTop="1" x14ac:dyDescent="0.2">
      <c r="A79" s="146"/>
      <c r="B79" s="151"/>
      <c r="C79" s="146"/>
      <c r="D79" s="146"/>
      <c r="E79" s="146"/>
      <c r="F79" s="146"/>
      <c r="G79" s="146"/>
      <c r="H79" s="160"/>
      <c r="I79" s="157"/>
      <c r="J79" s="146"/>
      <c r="K79" s="146"/>
      <c r="L79" s="449"/>
      <c r="M79" s="128"/>
      <c r="N79" s="128"/>
      <c r="O79" s="128"/>
      <c r="P79" s="128"/>
      <c r="Q79" s="128"/>
      <c r="R79" s="128"/>
      <c r="S79" s="128"/>
      <c r="T79" s="128"/>
      <c r="U79" s="128"/>
      <c r="V79" s="143"/>
      <c r="W79" s="128"/>
      <c r="X79" s="128"/>
      <c r="Y79" s="128"/>
      <c r="Z79" s="128"/>
      <c r="AA79" s="128"/>
      <c r="AB79" s="128"/>
      <c r="AC79" s="128"/>
      <c r="AD79" s="128"/>
      <c r="AE79" s="128"/>
      <c r="AF79" s="128"/>
      <c r="AG79" s="128"/>
      <c r="AH79" s="128"/>
      <c r="AI79" s="128"/>
      <c r="AJ79" s="128"/>
      <c r="AK79" s="128"/>
      <c r="AL79" s="128"/>
      <c r="AM79" s="128"/>
      <c r="AN79" s="128"/>
      <c r="AO79" s="128"/>
      <c r="AP79" s="128"/>
      <c r="AQ79" s="128"/>
      <c r="AR79" s="143"/>
    </row>
    <row r="80" spans="1:44" ht="16" x14ac:dyDescent="0.2">
      <c r="A80" s="146"/>
      <c r="B80" s="447" t="s">
        <v>461</v>
      </c>
      <c r="C80" s="146"/>
      <c r="D80" s="146"/>
      <c r="E80" s="146"/>
      <c r="F80" s="146"/>
      <c r="G80" s="146"/>
      <c r="H80" s="160"/>
      <c r="I80" s="157"/>
      <c r="J80" s="146"/>
      <c r="K80" s="146"/>
      <c r="L80" s="159"/>
      <c r="M80" s="128"/>
      <c r="N80" s="128"/>
      <c r="O80" s="128"/>
      <c r="P80" s="128"/>
      <c r="Q80" s="128"/>
      <c r="R80" s="128"/>
      <c r="S80" s="128"/>
      <c r="T80" s="128"/>
      <c r="U80" s="128"/>
      <c r="V80" s="143"/>
      <c r="W80" s="128"/>
      <c r="X80" s="128"/>
      <c r="Y80" s="128"/>
      <c r="Z80" s="128"/>
      <c r="AA80" s="128"/>
      <c r="AB80" s="128"/>
      <c r="AC80" s="128"/>
      <c r="AD80" s="128"/>
      <c r="AE80" s="128"/>
      <c r="AF80" s="128"/>
      <c r="AG80" s="128"/>
      <c r="AH80" s="128"/>
      <c r="AI80" s="128"/>
      <c r="AJ80" s="128"/>
      <c r="AK80" s="128"/>
      <c r="AL80" s="128"/>
      <c r="AM80" s="128"/>
      <c r="AN80" s="128"/>
      <c r="AO80" s="128"/>
      <c r="AP80" s="128"/>
      <c r="AQ80" s="128"/>
      <c r="AR80" s="143"/>
    </row>
    <row r="81" spans="1:44" ht="16" x14ac:dyDescent="0.2">
      <c r="A81" s="146"/>
      <c r="B81" s="443" t="s">
        <v>457</v>
      </c>
      <c r="C81" s="444" t="str">
        <f>"Solar System size is set to "&amp;TEXT(Size_of_System_in_W_DC,"0,0")&amp;" W(dc), with an AC/DC Conversion Ratio of "&amp;TEXT($E$30*100,0)&amp;"%."</f>
        <v>Solar System size is set to 384,500 W(dc), with an AC/DC Conversion Ratio of 120%.</v>
      </c>
      <c r="D81" s="146"/>
      <c r="E81" s="146"/>
      <c r="F81" s="146"/>
      <c r="G81" s="146"/>
      <c r="H81" s="160"/>
      <c r="I81" s="157"/>
      <c r="J81" s="146"/>
      <c r="K81" s="146"/>
      <c r="L81" s="159"/>
      <c r="M81" s="128"/>
      <c r="N81" s="128"/>
      <c r="O81" s="128"/>
      <c r="P81" s="128"/>
      <c r="Q81" s="128"/>
      <c r="R81" s="128"/>
      <c r="S81" s="128"/>
      <c r="T81" s="128"/>
      <c r="U81" s="128"/>
      <c r="V81" s="143"/>
      <c r="W81" s="128"/>
      <c r="X81" s="128"/>
      <c r="Y81" s="128"/>
      <c r="Z81" s="128"/>
      <c r="AA81" s="128"/>
      <c r="AB81" s="128"/>
      <c r="AC81" s="128"/>
      <c r="AD81" s="128"/>
      <c r="AE81" s="128"/>
      <c r="AF81" s="128"/>
      <c r="AG81" s="128"/>
      <c r="AH81" s="128"/>
      <c r="AI81" s="128"/>
      <c r="AJ81" s="128"/>
      <c r="AK81" s="128"/>
      <c r="AL81" s="128"/>
      <c r="AM81" s="128"/>
      <c r="AN81" s="128"/>
      <c r="AO81" s="128"/>
      <c r="AP81" s="128"/>
      <c r="AQ81" s="128"/>
      <c r="AR81" s="143"/>
    </row>
    <row r="82" spans="1:44" ht="16" x14ac:dyDescent="0.2">
      <c r="A82" s="146"/>
      <c r="B82" s="443" t="s">
        <v>457</v>
      </c>
      <c r="C82" s="444" t="str">
        <f>"Solar Production is based upon a manual entry of "&amp;TEXT(Manual_Entry_Estimated_P50_Production,"0,0")&amp;" kWhs per kW(dc)."</f>
        <v>Solar Production is based upon a manual entry of 1,297 kWhs per kW(dc).</v>
      </c>
      <c r="D82" s="146"/>
      <c r="E82" s="146"/>
      <c r="F82" s="146"/>
      <c r="G82" s="146"/>
      <c r="H82" s="160"/>
      <c r="I82" s="157"/>
      <c r="J82" s="146"/>
      <c r="K82" s="146"/>
      <c r="L82" s="159"/>
      <c r="M82" s="128"/>
      <c r="N82" s="128"/>
      <c r="O82" s="128"/>
      <c r="P82" s="128"/>
      <c r="Q82" s="128"/>
      <c r="R82" s="128"/>
      <c r="S82" s="128"/>
      <c r="T82" s="128"/>
      <c r="U82" s="128"/>
      <c r="V82" s="143"/>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43"/>
    </row>
    <row r="83" spans="1:44" ht="16" x14ac:dyDescent="0.2">
      <c r="A83" s="146"/>
      <c r="B83" s="445" t="s">
        <v>457</v>
      </c>
      <c r="C83" s="446" t="str">
        <f>"P50 Solar Production for the 1st Year is estimated to be "&amp;TEXT(P50_Production_1st_Yr,"#,#")&amp;" kWhs."</f>
        <v>P50 Solar Production for the 1st Year is estimated to be 498,674 kWhs.</v>
      </c>
      <c r="D83" s="146"/>
      <c r="E83" s="146"/>
      <c r="F83" s="146"/>
      <c r="G83" s="146"/>
      <c r="H83" s="160"/>
      <c r="I83" s="157"/>
      <c r="J83" s="146"/>
      <c r="K83" s="146"/>
      <c r="L83" s="159"/>
      <c r="M83" s="128"/>
      <c r="N83" s="128"/>
      <c r="O83" s="128"/>
      <c r="P83" s="128"/>
      <c r="Q83" s="128"/>
      <c r="R83" s="128"/>
      <c r="S83" s="128"/>
      <c r="T83" s="128"/>
      <c r="U83" s="128"/>
      <c r="V83" s="143"/>
      <c r="W83" s="128"/>
      <c r="X83" s="128"/>
      <c r="Y83" s="128"/>
      <c r="Z83" s="128"/>
      <c r="AA83" s="128"/>
      <c r="AB83" s="128"/>
      <c r="AC83" s="128"/>
      <c r="AD83" s="128"/>
      <c r="AE83" s="128"/>
      <c r="AF83" s="128"/>
      <c r="AG83" s="128"/>
      <c r="AH83" s="128"/>
      <c r="AI83" s="128"/>
      <c r="AJ83" s="128"/>
      <c r="AK83" s="128"/>
      <c r="AL83" s="128"/>
      <c r="AM83" s="128"/>
      <c r="AN83" s="128"/>
      <c r="AO83" s="128"/>
      <c r="AP83" s="128"/>
      <c r="AQ83" s="128"/>
      <c r="AR83" s="143"/>
    </row>
    <row r="84" spans="1:44" ht="16" x14ac:dyDescent="0.2">
      <c r="A84" s="146"/>
      <c r="B84" s="443" t="s">
        <v>457</v>
      </c>
      <c r="C84" s="446" t="str">
        <f>"Federal ITC is set for "&amp;TEXT(100*Federal_ITC_Rate,0)&amp;"%."</f>
        <v>Federal ITC is set for 30%.</v>
      </c>
      <c r="D84" s="146"/>
      <c r="E84" s="146"/>
      <c r="F84" s="146"/>
      <c r="G84" s="146"/>
      <c r="H84" s="160"/>
      <c r="I84" s="157"/>
      <c r="J84" s="146"/>
      <c r="K84" s="146"/>
      <c r="L84" s="159"/>
      <c r="M84" s="128"/>
      <c r="N84" s="128"/>
      <c r="O84" s="128"/>
      <c r="P84" s="128"/>
      <c r="Q84" s="128"/>
      <c r="R84" s="128"/>
      <c r="S84" s="128"/>
      <c r="T84" s="128"/>
      <c r="U84" s="128"/>
      <c r="V84" s="143"/>
      <c r="W84" s="128"/>
      <c r="X84" s="128"/>
      <c r="Y84" s="128"/>
      <c r="Z84" s="128"/>
      <c r="AA84" s="128"/>
      <c r="AB84" s="128"/>
      <c r="AC84" s="128"/>
      <c r="AD84" s="128"/>
      <c r="AE84" s="128"/>
      <c r="AF84" s="128"/>
      <c r="AG84" s="128"/>
      <c r="AH84" s="128"/>
      <c r="AI84" s="128"/>
      <c r="AJ84" s="128"/>
      <c r="AK84" s="128"/>
      <c r="AL84" s="128"/>
      <c r="AM84" s="128"/>
      <c r="AN84" s="128"/>
      <c r="AO84" s="128"/>
      <c r="AP84" s="128"/>
      <c r="AQ84" s="128"/>
      <c r="AR84" s="143"/>
    </row>
    <row r="85" spans="1:44" ht="16" x14ac:dyDescent="0.2">
      <c r="A85" s="146"/>
      <c r="B85" s="443" t="s">
        <v>457</v>
      </c>
      <c r="C85" s="446" t="str">
        <f>"Development Margins are set to $"&amp;TEXT(D21,"0.00")&amp;" per W(dc), for a total Development Margin of $"&amp;TEXT(ROUNDUP(E35,0),"0,0")&amp;"."</f>
        <v>Development Margins are set to $0.14 per W(dc), for a total Development Margin of $55,066.</v>
      </c>
      <c r="D85" s="146"/>
      <c r="E85" s="146"/>
      <c r="F85" s="146"/>
      <c r="G85" s="146"/>
      <c r="H85" s="160"/>
      <c r="I85" s="157"/>
      <c r="J85" s="146"/>
      <c r="K85" s="146"/>
      <c r="L85" s="159"/>
      <c r="M85" s="128"/>
      <c r="N85" s="128"/>
      <c r="O85" s="128"/>
      <c r="P85" s="128"/>
      <c r="Q85" s="128"/>
      <c r="R85" s="128"/>
      <c r="S85" s="128"/>
      <c r="T85" s="128"/>
      <c r="U85" s="128"/>
      <c r="V85" s="143"/>
      <c r="W85" s="128"/>
      <c r="X85" s="128"/>
      <c r="Y85" s="128"/>
      <c r="Z85" s="128"/>
      <c r="AA85" s="128"/>
      <c r="AB85" s="128"/>
      <c r="AC85" s="128"/>
      <c r="AD85" s="128"/>
      <c r="AE85" s="128"/>
      <c r="AF85" s="128"/>
      <c r="AG85" s="128"/>
      <c r="AH85" s="128"/>
      <c r="AI85" s="128"/>
      <c r="AJ85" s="128"/>
      <c r="AK85" s="128"/>
      <c r="AL85" s="128"/>
      <c r="AM85" s="128"/>
      <c r="AN85" s="128"/>
      <c r="AO85" s="128"/>
      <c r="AP85" s="128"/>
      <c r="AQ85" s="128"/>
      <c r="AR85" s="143"/>
    </row>
    <row r="86" spans="1:44" ht="16" x14ac:dyDescent="0.2">
      <c r="A86" s="146"/>
      <c r="B86" s="443" t="s">
        <v>457</v>
      </c>
      <c r="C86" s="446" t="str">
        <f>"Constsruction Costs are set to $"&amp;TEXT(D18,"0.00")&amp;" per W(dc), for a total build cost of $"&amp;TEXT(ROUNDUP(Aggregate_Construction_Cost,0),"0,0")&amp;", excluding Interconnection Costs and Development Costs."</f>
        <v>Constsruction Costs are set to $1.29 per W(dc), for a total build cost of $495,590, excluding Interconnection Costs and Development Costs.</v>
      </c>
      <c r="D86" s="146"/>
      <c r="E86" s="146"/>
      <c r="F86" s="146"/>
      <c r="G86" s="146"/>
      <c r="H86" s="160"/>
      <c r="I86" s="157"/>
      <c r="J86" s="146"/>
      <c r="K86" s="146"/>
      <c r="L86" s="159"/>
      <c r="M86" s="128"/>
      <c r="N86" s="128"/>
      <c r="O86" s="128"/>
      <c r="P86" s="128"/>
      <c r="Q86" s="128"/>
      <c r="R86" s="128"/>
      <c r="S86" s="128"/>
      <c r="T86" s="128"/>
      <c r="U86" s="128"/>
      <c r="V86" s="143"/>
      <c r="W86" s="128"/>
      <c r="X86" s="128"/>
      <c r="Y86" s="128"/>
      <c r="Z86" s="128"/>
      <c r="AA86" s="128"/>
      <c r="AB86" s="128"/>
      <c r="AC86" s="128"/>
      <c r="AD86" s="128"/>
      <c r="AE86" s="128"/>
      <c r="AF86" s="128"/>
      <c r="AG86" s="128"/>
      <c r="AH86" s="128"/>
      <c r="AI86" s="128"/>
      <c r="AJ86" s="128"/>
      <c r="AK86" s="128"/>
      <c r="AL86" s="128"/>
      <c r="AM86" s="128"/>
      <c r="AN86" s="128"/>
      <c r="AO86" s="128"/>
      <c r="AP86" s="128"/>
      <c r="AQ86" s="128"/>
      <c r="AR86" s="143"/>
    </row>
    <row r="87" spans="1:44" ht="16" x14ac:dyDescent="0.2">
      <c r="A87" s="146"/>
      <c r="B87" s="443" t="s">
        <v>457</v>
      </c>
      <c r="C87" s="446" t="str">
        <f>"Interconnection Costs are set to $"&amp;TEXT(D20,"0.00")&amp;" per Watt(dc) for a total Interconnection cost of $"&amp;TEXT(ROUNDUP(Interconnection_Costs,0),"0,0")&amp;" (all non-ITC/MACRS eligible)."</f>
        <v>Interconnection Costs are set to $0.00 per Watt(dc) for a total Interconnection cost of $00 (all non-ITC/MACRS eligible).</v>
      </c>
      <c r="D87" s="146"/>
      <c r="E87" s="146"/>
      <c r="F87" s="146"/>
      <c r="G87" s="146"/>
      <c r="H87" s="160"/>
      <c r="I87" s="157"/>
      <c r="J87" s="146"/>
      <c r="K87" s="146"/>
      <c r="L87" s="159"/>
      <c r="M87" s="128"/>
      <c r="N87" s="128"/>
      <c r="O87" s="128"/>
      <c r="P87" s="128"/>
      <c r="Q87" s="128"/>
      <c r="R87" s="128"/>
      <c r="S87" s="128"/>
      <c r="T87" s="128"/>
      <c r="U87" s="128"/>
      <c r="V87" s="143"/>
      <c r="W87" s="128"/>
      <c r="X87" s="128"/>
      <c r="Y87" s="128"/>
      <c r="Z87" s="128"/>
      <c r="AA87" s="128"/>
      <c r="AB87" s="128"/>
      <c r="AC87" s="128"/>
      <c r="AD87" s="128"/>
      <c r="AE87" s="128"/>
      <c r="AF87" s="128"/>
      <c r="AG87" s="128"/>
      <c r="AH87" s="128"/>
      <c r="AI87" s="128"/>
      <c r="AJ87" s="128"/>
      <c r="AK87" s="128"/>
      <c r="AL87" s="128"/>
      <c r="AM87" s="128"/>
      <c r="AN87" s="128"/>
      <c r="AO87" s="128"/>
      <c r="AP87" s="128"/>
      <c r="AQ87" s="128"/>
      <c r="AR87" s="143"/>
    </row>
    <row r="88" spans="1:44" ht="16" x14ac:dyDescent="0.2">
      <c r="A88" s="146"/>
      <c r="B88" s="443" t="s">
        <v>457</v>
      </c>
      <c r="C88" s="446" t="str">
        <f>"Rooftop Upgrade &amp; Warranty Costs are set to $"&amp;TEXT(D19,"0.00")&amp;" per Watt(dc) for a total Rooftop Upgrade &amp; Warranty Cost of $"&amp;TEXT(ROUNDUP(Roof_Upgrade_Cost,0),"0,0.00")&amp;" (all non-ITC/MACRS eligible)."</f>
        <v>Rooftop Upgrade &amp; Warranty Costs are set to $0.00 per Watt(dc) for a total Rooftop Upgrade &amp; Warranty Cost of $00.00 (all non-ITC/MACRS eligible).</v>
      </c>
      <c r="D88" s="146"/>
      <c r="E88" s="146"/>
      <c r="F88" s="146"/>
      <c r="G88" s="146"/>
      <c r="H88" s="160"/>
      <c r="I88" s="157"/>
      <c r="J88" s="146"/>
      <c r="K88" s="146"/>
      <c r="L88" s="159"/>
      <c r="M88" s="128"/>
      <c r="N88" s="128"/>
      <c r="O88" s="128"/>
      <c r="P88" s="128"/>
      <c r="Q88" s="128"/>
      <c r="R88" s="128"/>
      <c r="S88" s="128"/>
      <c r="T88" s="128"/>
      <c r="U88" s="128"/>
      <c r="V88" s="143"/>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43"/>
    </row>
    <row r="89" spans="1:44" ht="16" x14ac:dyDescent="0.2">
      <c r="A89" s="146"/>
      <c r="B89" s="443" t="s">
        <v>457</v>
      </c>
      <c r="C89" s="446" t="str">
        <f>IF(Construction_Loan?="Yes", "Construction Loan is on, with a borrowing term of "&amp;TEXT(Construction_Loan_Term,0)&amp;" months, a loan amount of $"&amp;TEXT(Construction_Loan_Amount,"0,0")&amp;" at an interest rate of "&amp;TEXT(Construction_Loan_Rate*100,0)&amp;" % interest per year. Fees and closing costs are $"&amp;TEXT(Construction_Loan_Fee,"0,0.00")&amp;".", "There is no Consturction Loan.")</f>
        <v>There is no Consturction Loan.</v>
      </c>
      <c r="D89" s="146"/>
      <c r="E89" s="146"/>
      <c r="F89" s="146"/>
      <c r="G89" s="146"/>
      <c r="H89" s="160"/>
      <c r="I89" s="157"/>
      <c r="J89" s="146"/>
      <c r="K89" s="146"/>
      <c r="L89" s="159"/>
      <c r="M89" s="128"/>
      <c r="N89" s="128"/>
      <c r="O89" s="128"/>
      <c r="P89" s="128"/>
      <c r="Q89" s="128"/>
      <c r="R89" s="128"/>
      <c r="S89" s="128"/>
      <c r="T89" s="128"/>
      <c r="U89" s="128"/>
      <c r="V89" s="143"/>
      <c r="W89" s="128"/>
      <c r="X89" s="128"/>
      <c r="Y89" s="128"/>
      <c r="Z89" s="128"/>
      <c r="AA89" s="128"/>
      <c r="AB89" s="128"/>
      <c r="AC89" s="128"/>
      <c r="AD89" s="128"/>
      <c r="AE89" s="128"/>
      <c r="AF89" s="128"/>
      <c r="AG89" s="128"/>
      <c r="AH89" s="128"/>
      <c r="AI89" s="128"/>
      <c r="AJ89" s="128"/>
      <c r="AK89" s="128"/>
      <c r="AL89" s="128"/>
      <c r="AM89" s="128"/>
      <c r="AN89" s="128"/>
      <c r="AO89" s="128"/>
      <c r="AP89" s="128"/>
      <c r="AQ89" s="128"/>
      <c r="AR89" s="143"/>
    </row>
    <row r="90" spans="1:44" ht="16" x14ac:dyDescent="0.2">
      <c r="A90" s="146"/>
      <c r="B90" s="443" t="s">
        <v>457</v>
      </c>
      <c r="C90" s="446" t="str">
        <f>"PPA Term is set for 25 years, with a starting rate of $"&amp;TEXT(PPA_Price_kWh,"0.00")&amp;" per kWh, escalating at an annual rate of "&amp;TEXT(PPA_Price_Annual_Escalator*100,"0.00")&amp;"%."</f>
        <v>PPA Term is set for 25 years, with a starting rate of $0.07 per kWh, escalating at an annual rate of 2.50%.</v>
      </c>
      <c r="D90" s="146"/>
      <c r="E90" s="146"/>
      <c r="F90" s="146"/>
      <c r="G90" s="146"/>
      <c r="H90" s="160"/>
      <c r="I90" s="157"/>
      <c r="J90" s="146"/>
      <c r="K90" s="146"/>
      <c r="L90" s="159"/>
      <c r="M90" s="128"/>
      <c r="N90" s="128"/>
      <c r="O90" s="128"/>
      <c r="P90" s="128"/>
      <c r="Q90" s="128"/>
      <c r="R90" s="128"/>
      <c r="S90" s="128"/>
      <c r="T90" s="128"/>
      <c r="U90" s="128"/>
      <c r="V90" s="143"/>
      <c r="W90" s="128"/>
      <c r="X90" s="128"/>
      <c r="Y90" s="128"/>
      <c r="Z90" s="128"/>
      <c r="AA90" s="128"/>
      <c r="AB90" s="128"/>
      <c r="AC90" s="128"/>
      <c r="AD90" s="128"/>
      <c r="AE90" s="128"/>
      <c r="AF90" s="128"/>
      <c r="AG90" s="128"/>
      <c r="AH90" s="128"/>
      <c r="AI90" s="128"/>
      <c r="AJ90" s="128"/>
      <c r="AK90" s="128"/>
      <c r="AL90" s="128"/>
      <c r="AM90" s="128"/>
      <c r="AN90" s="128"/>
      <c r="AO90" s="128"/>
      <c r="AP90" s="128"/>
      <c r="AQ90" s="128"/>
      <c r="AR90" s="143"/>
    </row>
    <row r="91" spans="1:44" ht="16" x14ac:dyDescent="0.2">
      <c r="A91" s="146"/>
      <c r="B91" s="443" t="s">
        <v>457</v>
      </c>
      <c r="C91" s="446" t="str">
        <f>IF(SRECs_Applicable?="Yes", "SRECS are included, and priced at $"&amp;TEXT(SREC_Price,"0.00")&amp;" per SREC, with a "&amp;TEXT(100*SREC_Increase_Decrease,"0.00")&amp;"% annual escalator over a "&amp;TEXT(SREC_Term_Yrs,0)&amp;" year term.","No SRECS applicable.")</f>
        <v>No SRECS applicable.</v>
      </c>
      <c r="D91" s="146"/>
      <c r="E91" s="146"/>
      <c r="F91" s="146"/>
      <c r="G91" s="146"/>
      <c r="H91" s="160"/>
      <c r="I91" s="157"/>
      <c r="J91" s="146"/>
      <c r="K91" s="146"/>
      <c r="L91" s="159"/>
      <c r="M91" s="128"/>
      <c r="N91" s="128"/>
      <c r="O91" s="128"/>
      <c r="P91" s="128"/>
      <c r="Q91" s="128"/>
      <c r="R91" s="128"/>
      <c r="S91" s="128"/>
      <c r="T91" s="128"/>
      <c r="U91" s="128"/>
      <c r="V91" s="143"/>
      <c r="W91" s="128"/>
      <c r="X91" s="128"/>
      <c r="Y91" s="128"/>
      <c r="Z91" s="128"/>
      <c r="AA91" s="128"/>
      <c r="AB91" s="128"/>
      <c r="AC91" s="128"/>
      <c r="AD91" s="128"/>
      <c r="AE91" s="128"/>
      <c r="AF91" s="128"/>
      <c r="AG91" s="128"/>
      <c r="AH91" s="128"/>
      <c r="AI91" s="128"/>
      <c r="AJ91" s="128"/>
      <c r="AK91" s="128"/>
      <c r="AL91" s="128"/>
      <c r="AM91" s="128"/>
      <c r="AN91" s="128"/>
      <c r="AO91" s="128"/>
      <c r="AP91" s="128"/>
      <c r="AQ91" s="128"/>
      <c r="AR91" s="143"/>
    </row>
    <row r="92" spans="1:44" ht="16" x14ac:dyDescent="0.2">
      <c r="A92" s="146"/>
      <c r="B92" s="443" t="s">
        <v>457</v>
      </c>
      <c r="C92" s="446" t="str">
        <f>IF(Project_Debt?="Yes", "Project is leveraged with a loan amount of $"&amp;TEXT(Project_Loan_Amount,"0,0")&amp;" at "&amp;TEXT(100*Project_Loan_Rate,"0.00")&amp;"% requiring a Loan Payment Coverage Ratio of "&amp;TEXT(Project_Loan_Coverage_Ratio*100,"0.00")&amp;"% over a term of "&amp;TEXT(Project_Loan_Term?,"0")&amp;" years.","No debt leverage.")</f>
        <v>No debt leverage.</v>
      </c>
      <c r="D92" s="146"/>
      <c r="E92" s="146"/>
      <c r="F92" s="146"/>
      <c r="G92" s="154"/>
      <c r="H92" s="154"/>
      <c r="I92" s="157"/>
      <c r="J92" s="146"/>
      <c r="K92" s="146"/>
      <c r="L92" s="159"/>
      <c r="M92" s="128"/>
      <c r="N92" s="128"/>
      <c r="O92" s="128"/>
      <c r="P92" s="128"/>
      <c r="Q92" s="128"/>
      <c r="R92" s="128"/>
      <c r="S92" s="128"/>
      <c r="T92" s="128"/>
      <c r="U92" s="128"/>
      <c r="V92" s="143"/>
      <c r="W92" s="128"/>
      <c r="X92" s="128"/>
      <c r="Y92" s="128"/>
      <c r="Z92" s="128"/>
      <c r="AA92" s="128"/>
      <c r="AB92" s="128"/>
      <c r="AC92" s="128"/>
      <c r="AD92" s="128"/>
      <c r="AE92" s="128"/>
      <c r="AF92" s="128"/>
      <c r="AG92" s="128"/>
      <c r="AH92" s="128"/>
      <c r="AI92" s="128"/>
      <c r="AJ92" s="128"/>
      <c r="AK92" s="128"/>
      <c r="AL92" s="128"/>
      <c r="AM92" s="128"/>
      <c r="AN92" s="128"/>
      <c r="AO92" s="128"/>
      <c r="AP92" s="128"/>
      <c r="AQ92" s="128"/>
      <c r="AR92" s="143"/>
    </row>
    <row r="93" spans="1:44" ht="16" x14ac:dyDescent="0.2">
      <c r="A93" s="146"/>
      <c r="B93" s="443" t="s">
        <v>457</v>
      </c>
      <c r="C93" s="446" t="str">
        <f>"Project Cash Flow "&amp;IF(AND(Project_Debt?="Yes",P30="Pass"),"remains positive over the full Debt Term. ","does NOT remain positive over the full Debt Term. ")&amp;IF(P31="Yes","The loan fully amortizes over the debt term, and ","The loan FAILS to fully amortize over the debt term, and ")&amp;IF(P32="Pass","the cash flows are sufficient to support the Debt Coverage Ratio.","the cash flows are NOT sufficient to support the Debt Coverage Ratio.")</f>
        <v>Project Cash Flow does NOT remain positive over the full Debt Term. The loan FAILS to fully amortize over the debt term, and the cash flows are NOT sufficient to support the Debt Coverage Ratio.</v>
      </c>
      <c r="D93" s="146"/>
      <c r="E93" s="146"/>
      <c r="F93" s="146"/>
      <c r="G93" s="154"/>
      <c r="H93" s="154"/>
      <c r="I93" s="157"/>
      <c r="J93" s="146"/>
      <c r="K93" s="146"/>
      <c r="L93" s="159"/>
      <c r="M93" s="128"/>
      <c r="N93" s="128"/>
      <c r="O93" s="128"/>
      <c r="P93" s="128"/>
      <c r="Q93" s="128"/>
      <c r="R93" s="128"/>
      <c r="S93" s="128"/>
      <c r="T93" s="128"/>
      <c r="U93" s="128"/>
      <c r="V93" s="143"/>
      <c r="W93" s="128"/>
      <c r="X93" s="128"/>
      <c r="Y93" s="128"/>
      <c r="Z93" s="128"/>
      <c r="AA93" s="128"/>
      <c r="AB93" s="128"/>
      <c r="AC93" s="128"/>
      <c r="AD93" s="128"/>
      <c r="AE93" s="128"/>
      <c r="AF93" s="128"/>
      <c r="AG93" s="128"/>
      <c r="AH93" s="128"/>
      <c r="AI93" s="128"/>
      <c r="AJ93" s="128"/>
      <c r="AK93" s="128"/>
      <c r="AL93" s="128"/>
      <c r="AM93" s="128"/>
      <c r="AN93" s="128"/>
      <c r="AO93" s="128"/>
      <c r="AP93" s="128"/>
      <c r="AQ93" s="128"/>
      <c r="AR93" s="143"/>
    </row>
    <row r="94" spans="1:44" ht="16" x14ac:dyDescent="0.2">
      <c r="A94" s="154"/>
      <c r="B94" s="443" t="s">
        <v>457</v>
      </c>
      <c r="C94" s="446" t="str">
        <f>IF(Owner_is_Taxpayer_Non_Taxpayer?="Non-Taxpayer","Owner is treated as a Non-Taxpayer. ","Owner is treated as a Taxpayer. Taxpayer's tax efficiency setting is "&amp;TEXT(Tax_Efficient_Status?,0)&amp;", and Depreciation methodology is set for "&amp;TEXT(Depreciation_Methodology?,"")&amp;".")</f>
        <v>Owner is treated as a Taxpayer. Taxpayer's tax efficiency setting is State &amp; Federal, and Depreciation methodology is set for MACRS.</v>
      </c>
      <c r="D94" s="154"/>
      <c r="E94" s="154"/>
      <c r="F94" s="154"/>
      <c r="G94" s="154"/>
      <c r="H94" s="154"/>
      <c r="I94" s="154"/>
      <c r="J94" s="154"/>
      <c r="K94" s="154"/>
      <c r="L94" s="159"/>
      <c r="M94" s="128"/>
      <c r="N94" s="128"/>
      <c r="O94" s="128"/>
      <c r="P94" s="128"/>
      <c r="Q94" s="128"/>
      <c r="R94" s="128"/>
      <c r="S94" s="128"/>
      <c r="T94" s="128"/>
      <c r="U94" s="128"/>
      <c r="V94" s="143"/>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43"/>
    </row>
    <row r="95" spans="1:44" ht="16" x14ac:dyDescent="0.2">
      <c r="A95" s="154"/>
      <c r="B95" s="443" t="s">
        <v>457</v>
      </c>
      <c r="C95" s="446" t="str">
        <f>IF(Tax_Credit_Selector_ITC_or_PTC="PTC","Tax Credit selected is PTC with a term of "&amp;TEXT(PTC_Term_in_Years,0)&amp;" years, a starting PTC price of $"&amp;TEXT(PTC_Starting_Rate_Dollars_per_MWh,0)&amp;" per MWh.",IF(AND(Tax_Credit_Selector_ITC_or_PTC="ITC",Federal_ITC_Cash_Sale_OnOff="On"),"Tax Credit is set for ITC. The ITC Cash Sale is On, with a discount to the sale price of "&amp;TEXT(ITC_Cash_Sale_Discount_to_Purchase_Price*100,0)&amp;"%, payable in "&amp;TEXT(ITC_Cash_Sale_Number_of_Annual_Payments,0)&amp;" annual payment(s) beginning in model year "&amp;TEXT(ITC_Cash_Sale_First_Year_Payment,0)&amp;".","Tax Credit selected is ITC with NO cash sale."))</f>
        <v>Tax Credit selected is ITC with NO cash sale.</v>
      </c>
      <c r="D95" s="154"/>
      <c r="E95" s="154"/>
      <c r="F95" s="154"/>
      <c r="G95" s="154"/>
      <c r="H95" s="154"/>
      <c r="I95" s="154"/>
      <c r="J95" s="154"/>
      <c r="K95" s="154"/>
      <c r="L95" s="159"/>
      <c r="M95" s="128"/>
      <c r="N95" s="128"/>
      <c r="O95" s="128"/>
      <c r="P95" s="128"/>
      <c r="Q95" s="128"/>
      <c r="R95" s="128"/>
      <c r="S95" s="128"/>
      <c r="T95" s="128"/>
      <c r="U95" s="128"/>
      <c r="V95" s="143"/>
      <c r="W95" s="128"/>
      <c r="X95" s="128"/>
      <c r="Y95" s="128"/>
      <c r="Z95" s="128"/>
      <c r="AA95" s="128"/>
      <c r="AB95" s="128"/>
      <c r="AC95" s="128"/>
      <c r="AD95" s="128"/>
      <c r="AE95" s="128"/>
      <c r="AF95" s="128"/>
      <c r="AG95" s="128"/>
      <c r="AH95" s="128"/>
      <c r="AI95" s="128"/>
      <c r="AJ95" s="128"/>
      <c r="AK95" s="128"/>
      <c r="AL95" s="128"/>
      <c r="AM95" s="128"/>
      <c r="AN95" s="128"/>
      <c r="AO95" s="128"/>
      <c r="AP95" s="128"/>
      <c r="AQ95" s="128"/>
      <c r="AR95" s="143"/>
    </row>
    <row r="96" spans="1:44" ht="16" x14ac:dyDescent="0.2">
      <c r="A96" s="154"/>
      <c r="B96" s="443" t="s">
        <v>457</v>
      </c>
      <c r="C96" s="446" t="str">
        <f>IF(Tax_Credit_Selector_ITC_or_PTC="ITC","The calculated value of the ITC is "&amp;TEXT(Federal_ITC_Rate*100,0)&amp;"%. Be sure to check active and inactive Adders for accuracy.","Not Applicable")</f>
        <v>The calculated value of the ITC is 30%. Be sure to check active and inactive Adders for accuracy.</v>
      </c>
      <c r="D96" s="154"/>
      <c r="E96" s="154"/>
      <c r="F96" s="154"/>
      <c r="G96" s="154"/>
      <c r="H96" s="154"/>
      <c r="I96" s="154"/>
      <c r="J96" s="154"/>
      <c r="K96" s="154"/>
      <c r="L96" s="159"/>
      <c r="M96" s="128"/>
      <c r="N96" s="128"/>
      <c r="O96" s="128"/>
      <c r="P96" s="128"/>
      <c r="Q96" s="128"/>
      <c r="R96" s="128"/>
      <c r="S96" s="128"/>
      <c r="T96" s="128"/>
      <c r="U96" s="128"/>
      <c r="V96" s="143"/>
      <c r="W96" s="128"/>
      <c r="X96" s="128"/>
      <c r="Y96" s="128"/>
      <c r="Z96" s="128"/>
      <c r="AA96" s="128"/>
      <c r="AB96" s="128"/>
      <c r="AC96" s="128"/>
      <c r="AD96" s="128"/>
      <c r="AE96" s="128"/>
      <c r="AF96" s="128"/>
      <c r="AG96" s="128"/>
      <c r="AH96" s="128"/>
      <c r="AI96" s="128"/>
      <c r="AJ96" s="128"/>
      <c r="AK96" s="128"/>
      <c r="AL96" s="128"/>
      <c r="AM96" s="128"/>
      <c r="AN96" s="128"/>
      <c r="AO96" s="128"/>
      <c r="AP96" s="128"/>
      <c r="AQ96" s="128"/>
      <c r="AR96" s="143"/>
    </row>
    <row r="97" spans="1:44" ht="16" x14ac:dyDescent="0.2">
      <c r="A97" s="154"/>
      <c r="B97" s="443" t="s">
        <v>457</v>
      </c>
      <c r="C97" s="446" t="str">
        <f>IF(Termination_Value_OnOff="On","The model assumes a termination value at the end of the 25-year term, equal to "&amp;TEXT(Termination_Value_Percentage*100,0)&amp;"% of the original Project Sale Price of $"&amp;TEXT(Project_Sale_Price,"0,0")&amp;". That termination value is $"&amp;TEXT(Termination_Value_Percentage*Project_Sale_Price,"0,0")&amp;".", "There is no termination value in this model iteration.")</f>
        <v>The model assumes a termination value at the end of the 25-year term, equal to 15% of the original Project Sale Price of $574,683. That termination value is $86,202.</v>
      </c>
      <c r="D97" s="154"/>
      <c r="E97" s="154"/>
      <c r="F97" s="154"/>
      <c r="G97" s="154"/>
      <c r="H97" s="438"/>
      <c r="I97" s="154"/>
      <c r="J97" s="154"/>
      <c r="K97" s="154"/>
      <c r="L97" s="159"/>
      <c r="M97" s="128"/>
      <c r="N97" s="128"/>
      <c r="O97" s="128"/>
      <c r="P97" s="128"/>
      <c r="Q97" s="128"/>
      <c r="R97" s="128"/>
      <c r="S97" s="128"/>
      <c r="T97" s="128"/>
      <c r="U97" s="128"/>
      <c r="V97" s="143"/>
      <c r="W97" s="128"/>
      <c r="X97" s="128"/>
      <c r="Y97" s="128"/>
      <c r="Z97" s="128"/>
      <c r="AA97" s="128"/>
      <c r="AB97" s="128"/>
      <c r="AC97" s="128"/>
      <c r="AD97" s="128"/>
      <c r="AE97" s="128"/>
      <c r="AF97" s="128"/>
      <c r="AG97" s="128"/>
      <c r="AH97" s="128"/>
      <c r="AI97" s="128"/>
      <c r="AJ97" s="128"/>
      <c r="AK97" s="128"/>
      <c r="AL97" s="128"/>
      <c r="AM97" s="128"/>
      <c r="AN97" s="128"/>
      <c r="AO97" s="128"/>
      <c r="AP97" s="128"/>
      <c r="AQ97" s="128"/>
      <c r="AR97" s="143"/>
    </row>
    <row r="98" spans="1:44" ht="14" x14ac:dyDescent="0.2">
      <c r="A98" s="154"/>
      <c r="B98" s="154"/>
      <c r="C98" s="154"/>
      <c r="D98" s="439"/>
      <c r="E98" s="154"/>
      <c r="F98" s="154"/>
      <c r="G98" s="154"/>
      <c r="H98" s="160"/>
      <c r="I98" s="154"/>
      <c r="J98" s="154"/>
      <c r="K98" s="154"/>
      <c r="L98" s="159"/>
      <c r="M98" s="128"/>
      <c r="N98" s="128"/>
      <c r="O98" s="128"/>
      <c r="P98" s="128"/>
      <c r="Q98" s="128"/>
      <c r="R98" s="128"/>
      <c r="S98" s="128"/>
      <c r="T98" s="128"/>
      <c r="U98" s="128"/>
      <c r="V98" s="143"/>
      <c r="W98" s="128"/>
      <c r="X98" s="128"/>
      <c r="Y98" s="128"/>
      <c r="Z98" s="128"/>
      <c r="AA98" s="128"/>
      <c r="AB98" s="128"/>
      <c r="AC98" s="128"/>
      <c r="AD98" s="128"/>
      <c r="AE98" s="128"/>
      <c r="AF98" s="128"/>
      <c r="AG98" s="128"/>
      <c r="AH98" s="128"/>
      <c r="AI98" s="128"/>
      <c r="AJ98" s="128"/>
      <c r="AK98" s="128"/>
      <c r="AL98" s="128"/>
      <c r="AM98" s="128"/>
      <c r="AN98" s="128"/>
      <c r="AO98" s="128"/>
      <c r="AP98" s="128"/>
      <c r="AQ98" s="128"/>
      <c r="AR98" s="143"/>
    </row>
    <row r="99" spans="1:44" ht="14" x14ac:dyDescent="0.2">
      <c r="A99" s="154"/>
      <c r="B99" s="440"/>
      <c r="C99" s="438"/>
      <c r="D99" s="438"/>
      <c r="E99" s="154"/>
      <c r="F99" s="154"/>
      <c r="G99" s="154"/>
      <c r="H99" s="160"/>
      <c r="I99" s="154"/>
      <c r="J99" s="154"/>
      <c r="K99" s="154"/>
      <c r="L99" s="159"/>
      <c r="M99" s="128"/>
      <c r="N99" s="128"/>
      <c r="O99" s="128"/>
      <c r="P99" s="128"/>
      <c r="Q99" s="128"/>
      <c r="R99" s="128"/>
      <c r="S99" s="128"/>
      <c r="T99" s="128"/>
      <c r="U99" s="128"/>
      <c r="V99" s="143"/>
      <c r="W99" s="128"/>
      <c r="X99" s="128"/>
      <c r="Y99" s="128"/>
      <c r="Z99" s="128"/>
      <c r="AA99" s="128"/>
      <c r="AB99" s="128"/>
      <c r="AC99" s="128"/>
      <c r="AD99" s="128"/>
      <c r="AE99" s="128"/>
      <c r="AF99" s="128"/>
      <c r="AG99" s="128"/>
      <c r="AH99" s="128"/>
      <c r="AI99" s="128"/>
      <c r="AJ99" s="128"/>
      <c r="AK99" s="128"/>
      <c r="AL99" s="128"/>
      <c r="AM99" s="128"/>
      <c r="AN99" s="128"/>
      <c r="AO99" s="128"/>
      <c r="AP99" s="128"/>
      <c r="AQ99" s="128"/>
      <c r="AR99" s="143"/>
    </row>
    <row r="100" spans="1:44" ht="14" x14ac:dyDescent="0.2">
      <c r="A100" s="146"/>
      <c r="B100" s="154"/>
      <c r="C100" s="154"/>
      <c r="D100" s="438"/>
      <c r="E100" s="154"/>
      <c r="F100" s="154"/>
      <c r="G100" s="154"/>
      <c r="H100" s="160"/>
      <c r="I100" s="157"/>
      <c r="J100" s="146"/>
      <c r="K100" s="146"/>
      <c r="L100" s="159"/>
      <c r="M100" s="128"/>
      <c r="N100" s="128"/>
      <c r="O100" s="128"/>
      <c r="P100" s="128"/>
      <c r="Q100" s="128"/>
      <c r="R100" s="128"/>
      <c r="S100" s="128"/>
      <c r="T100" s="128"/>
      <c r="U100" s="128"/>
      <c r="V100" s="143"/>
      <c r="W100" s="128"/>
      <c r="X100" s="128"/>
      <c r="Y100" s="128"/>
      <c r="Z100" s="128"/>
      <c r="AA100" s="128"/>
      <c r="AB100" s="128"/>
      <c r="AC100" s="128"/>
      <c r="AD100" s="128"/>
      <c r="AE100" s="128"/>
      <c r="AF100" s="128"/>
      <c r="AG100" s="128"/>
      <c r="AH100" s="128"/>
      <c r="AI100" s="128"/>
      <c r="AJ100" s="128"/>
      <c r="AK100" s="128"/>
      <c r="AL100" s="128"/>
      <c r="AM100" s="128"/>
      <c r="AN100" s="128"/>
      <c r="AO100" s="128"/>
      <c r="AP100" s="128"/>
      <c r="AQ100" s="128"/>
      <c r="AR100" s="143"/>
    </row>
    <row r="101" spans="1:44" ht="14" x14ac:dyDescent="0.2">
      <c r="A101" s="146"/>
      <c r="B101" s="146"/>
      <c r="C101" s="146"/>
      <c r="D101" s="146"/>
      <c r="E101" s="438"/>
      <c r="F101" s="146"/>
      <c r="G101" s="146"/>
      <c r="H101" s="160"/>
      <c r="I101" s="157"/>
      <c r="J101" s="146"/>
      <c r="K101" s="146"/>
      <c r="L101" s="159"/>
      <c r="M101" s="128"/>
      <c r="N101" s="128"/>
      <c r="O101" s="128"/>
      <c r="P101" s="128"/>
      <c r="Q101" s="128"/>
      <c r="R101" s="128"/>
      <c r="S101" s="128"/>
      <c r="T101" s="128"/>
      <c r="U101" s="128"/>
      <c r="V101" s="143"/>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43"/>
    </row>
    <row r="102" spans="1:44" ht="14" x14ac:dyDescent="0.2">
      <c r="A102" s="146"/>
      <c r="B102" s="146"/>
      <c r="C102" s="146"/>
      <c r="D102" s="146"/>
      <c r="E102" s="438"/>
      <c r="F102" s="146"/>
      <c r="G102" s="146"/>
      <c r="H102" s="160"/>
      <c r="I102" s="157"/>
      <c r="J102" s="146"/>
      <c r="K102" s="146"/>
      <c r="L102" s="159"/>
      <c r="M102" s="128"/>
      <c r="N102" s="128"/>
      <c r="O102" s="128"/>
      <c r="P102" s="128"/>
      <c r="Q102" s="128"/>
      <c r="R102" s="128"/>
      <c r="S102" s="128"/>
      <c r="T102" s="128"/>
      <c r="U102" s="128"/>
      <c r="V102" s="143"/>
      <c r="W102" s="128"/>
      <c r="X102" s="128"/>
      <c r="Y102" s="128"/>
      <c r="Z102" s="128"/>
      <c r="AA102" s="128"/>
      <c r="AB102" s="128"/>
      <c r="AC102" s="128"/>
      <c r="AD102" s="128"/>
      <c r="AE102" s="128"/>
      <c r="AF102" s="128"/>
      <c r="AG102" s="128"/>
      <c r="AH102" s="128"/>
      <c r="AI102" s="128"/>
      <c r="AJ102" s="128"/>
      <c r="AK102" s="128"/>
      <c r="AL102" s="128"/>
      <c r="AM102" s="128"/>
      <c r="AN102" s="128"/>
      <c r="AO102" s="128"/>
      <c r="AP102" s="128"/>
      <c r="AQ102" s="128"/>
      <c r="AR102" s="143"/>
    </row>
    <row r="103" spans="1:44" ht="14" x14ac:dyDescent="0.2">
      <c r="A103" s="146"/>
      <c r="B103" s="146"/>
      <c r="C103" s="146"/>
      <c r="D103" s="146"/>
      <c r="E103" s="438"/>
      <c r="F103" s="146"/>
      <c r="G103" s="146"/>
      <c r="H103" s="160"/>
      <c r="I103" s="157"/>
      <c r="J103" s="146"/>
      <c r="K103" s="146"/>
      <c r="L103" s="159"/>
      <c r="M103" s="128"/>
      <c r="N103" s="128"/>
      <c r="O103" s="128"/>
      <c r="P103" s="128"/>
      <c r="Q103" s="128"/>
      <c r="R103" s="128"/>
      <c r="S103" s="128"/>
      <c r="T103" s="128"/>
      <c r="U103" s="128"/>
      <c r="V103" s="143"/>
      <c r="W103" s="128"/>
      <c r="X103" s="128"/>
      <c r="Y103" s="128"/>
      <c r="Z103" s="128"/>
      <c r="AA103" s="128"/>
      <c r="AB103" s="128"/>
      <c r="AC103" s="128"/>
      <c r="AD103" s="128"/>
      <c r="AE103" s="128"/>
      <c r="AF103" s="128"/>
      <c r="AG103" s="128"/>
      <c r="AH103" s="128"/>
      <c r="AI103" s="128"/>
      <c r="AJ103" s="128"/>
      <c r="AK103" s="128"/>
      <c r="AL103" s="128"/>
      <c r="AM103" s="128"/>
      <c r="AN103" s="128"/>
      <c r="AO103" s="128"/>
      <c r="AP103" s="128"/>
      <c r="AQ103" s="128"/>
      <c r="AR103" s="143"/>
    </row>
    <row r="104" spans="1:44" ht="14" x14ac:dyDescent="0.2">
      <c r="A104" s="146"/>
      <c r="B104" s="146"/>
      <c r="C104" s="146"/>
      <c r="D104" s="146"/>
      <c r="E104" s="146"/>
      <c r="F104" s="146"/>
      <c r="G104" s="146"/>
      <c r="H104" s="160"/>
      <c r="I104" s="157"/>
      <c r="J104" s="146"/>
      <c r="K104" s="146"/>
      <c r="L104" s="159"/>
      <c r="M104" s="128"/>
      <c r="N104" s="128"/>
      <c r="O104" s="128"/>
      <c r="P104" s="128"/>
      <c r="Q104" s="128"/>
      <c r="R104" s="128"/>
      <c r="S104" s="128"/>
      <c r="T104" s="128"/>
      <c r="U104" s="128"/>
      <c r="V104" s="143"/>
      <c r="W104" s="128"/>
      <c r="X104" s="128"/>
      <c r="Y104" s="128"/>
      <c r="Z104" s="128"/>
      <c r="AA104" s="128"/>
      <c r="AB104" s="128"/>
      <c r="AC104" s="128"/>
      <c r="AD104" s="128"/>
      <c r="AE104" s="128"/>
      <c r="AF104" s="128"/>
      <c r="AG104" s="128"/>
      <c r="AH104" s="128"/>
      <c r="AI104" s="128"/>
      <c r="AJ104" s="128"/>
      <c r="AK104" s="128"/>
      <c r="AL104" s="128"/>
      <c r="AM104" s="128"/>
      <c r="AN104" s="128"/>
      <c r="AO104" s="128"/>
      <c r="AP104" s="128"/>
      <c r="AQ104" s="128"/>
      <c r="AR104" s="143"/>
    </row>
    <row r="105" spans="1:44" ht="14" x14ac:dyDescent="0.2">
      <c r="A105" s="146"/>
      <c r="B105" s="146"/>
      <c r="C105" s="146"/>
      <c r="D105" s="438"/>
      <c r="E105" s="146"/>
      <c r="F105" s="146"/>
      <c r="G105" s="146"/>
      <c r="H105" s="160"/>
      <c r="I105" s="157"/>
      <c r="J105" s="146"/>
      <c r="K105" s="146"/>
      <c r="L105" s="159"/>
      <c r="M105" s="128"/>
      <c r="N105" s="128"/>
      <c r="O105" s="128"/>
      <c r="P105" s="128"/>
      <c r="Q105" s="128"/>
      <c r="R105" s="128"/>
      <c r="S105" s="128"/>
      <c r="T105" s="128"/>
      <c r="U105" s="128"/>
      <c r="V105" s="143"/>
      <c r="W105" s="128"/>
      <c r="X105" s="128"/>
      <c r="Y105" s="128"/>
      <c r="Z105" s="128"/>
      <c r="AA105" s="128"/>
      <c r="AB105" s="128"/>
      <c r="AC105" s="128"/>
      <c r="AD105" s="128"/>
      <c r="AE105" s="128"/>
      <c r="AF105" s="128"/>
      <c r="AG105" s="128"/>
      <c r="AH105" s="128"/>
      <c r="AI105" s="128"/>
      <c r="AJ105" s="128"/>
      <c r="AK105" s="128"/>
      <c r="AL105" s="128"/>
      <c r="AM105" s="128"/>
      <c r="AN105" s="128"/>
      <c r="AO105" s="128"/>
      <c r="AP105" s="128"/>
      <c r="AQ105" s="128"/>
      <c r="AR105" s="143"/>
    </row>
    <row r="106" spans="1:44" ht="14" x14ac:dyDescent="0.2">
      <c r="A106" s="146"/>
      <c r="B106" s="146"/>
      <c r="C106" s="146"/>
      <c r="D106" s="438"/>
      <c r="E106" s="146"/>
      <c r="F106" s="146"/>
      <c r="G106" s="146"/>
      <c r="H106" s="160"/>
      <c r="I106" s="157"/>
      <c r="J106" s="146"/>
      <c r="K106" s="146"/>
      <c r="L106" s="159"/>
      <c r="M106" s="128"/>
      <c r="N106" s="128"/>
      <c r="O106" s="128"/>
      <c r="P106" s="128"/>
      <c r="Q106" s="128"/>
      <c r="R106" s="128"/>
      <c r="S106" s="128"/>
      <c r="T106" s="128"/>
      <c r="U106" s="128"/>
      <c r="V106" s="143"/>
      <c r="W106" s="128"/>
      <c r="X106" s="128"/>
      <c r="Y106" s="128"/>
      <c r="Z106" s="128"/>
      <c r="AA106" s="128"/>
      <c r="AB106" s="128"/>
      <c r="AC106" s="128"/>
      <c r="AD106" s="128"/>
      <c r="AE106" s="128"/>
      <c r="AF106" s="128"/>
      <c r="AG106" s="128"/>
      <c r="AH106" s="128"/>
      <c r="AI106" s="128"/>
      <c r="AJ106" s="128"/>
      <c r="AK106" s="128"/>
      <c r="AL106" s="128"/>
      <c r="AM106" s="128"/>
      <c r="AN106" s="128"/>
      <c r="AO106" s="128"/>
      <c r="AP106" s="128"/>
      <c r="AQ106" s="128"/>
      <c r="AR106" s="143"/>
    </row>
    <row r="107" spans="1:44" ht="14" x14ac:dyDescent="0.2">
      <c r="A107" s="146"/>
      <c r="B107" s="146"/>
      <c r="C107" s="146"/>
      <c r="D107" s="146"/>
      <c r="E107" s="146"/>
      <c r="F107" s="146"/>
      <c r="G107" s="146"/>
      <c r="H107" s="160"/>
      <c r="I107" s="157"/>
      <c r="J107" s="146"/>
      <c r="K107" s="146"/>
      <c r="L107" s="159"/>
      <c r="M107" s="128"/>
      <c r="N107" s="128"/>
      <c r="O107" s="128"/>
      <c r="P107" s="128"/>
      <c r="Q107" s="128"/>
      <c r="R107" s="128"/>
      <c r="S107" s="128"/>
      <c r="T107" s="128"/>
      <c r="U107" s="128"/>
      <c r="V107" s="143"/>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43"/>
    </row>
    <row r="108" spans="1:44" ht="14" x14ac:dyDescent="0.2">
      <c r="A108" s="146"/>
      <c r="B108" s="146"/>
      <c r="C108" s="146"/>
      <c r="D108" s="146"/>
      <c r="E108" s="146"/>
      <c r="F108" s="146"/>
      <c r="G108" s="146"/>
      <c r="H108" s="160"/>
      <c r="I108" s="157"/>
      <c r="J108" s="146"/>
      <c r="K108" s="146"/>
      <c r="L108" s="159"/>
      <c r="M108" s="128"/>
      <c r="N108" s="128"/>
      <c r="O108" s="128"/>
      <c r="P108" s="128"/>
      <c r="Q108" s="128"/>
      <c r="R108" s="128"/>
      <c r="S108" s="128"/>
      <c r="T108" s="128"/>
      <c r="U108" s="128"/>
      <c r="V108" s="143"/>
      <c r="W108" s="128"/>
      <c r="X108" s="128"/>
      <c r="Y108" s="128"/>
      <c r="Z108" s="128"/>
      <c r="AA108" s="128"/>
      <c r="AB108" s="128"/>
      <c r="AC108" s="128"/>
      <c r="AD108" s="128"/>
      <c r="AE108" s="128"/>
      <c r="AF108" s="128"/>
      <c r="AG108" s="128"/>
      <c r="AH108" s="128"/>
      <c r="AI108" s="128"/>
      <c r="AJ108" s="128"/>
      <c r="AK108" s="128"/>
      <c r="AL108" s="128"/>
      <c r="AM108" s="128"/>
      <c r="AN108" s="128"/>
      <c r="AO108" s="128"/>
      <c r="AP108" s="128"/>
      <c r="AQ108" s="128"/>
      <c r="AR108" s="143"/>
    </row>
    <row r="109" spans="1:44" ht="14" x14ac:dyDescent="0.2">
      <c r="A109" s="146"/>
      <c r="B109" s="146"/>
      <c r="C109" s="146"/>
      <c r="D109" s="146"/>
      <c r="E109" s="146"/>
      <c r="F109" s="146"/>
      <c r="G109" s="146"/>
      <c r="H109" s="160"/>
      <c r="I109" s="157"/>
      <c r="J109" s="146"/>
      <c r="K109" s="146"/>
      <c r="L109" s="159"/>
      <c r="M109" s="128"/>
      <c r="N109" s="128"/>
      <c r="O109" s="128"/>
      <c r="P109" s="128"/>
      <c r="Q109" s="128"/>
      <c r="R109" s="128"/>
      <c r="S109" s="128"/>
      <c r="T109" s="128"/>
      <c r="U109" s="128"/>
      <c r="V109" s="143"/>
      <c r="W109" s="128"/>
      <c r="X109" s="128"/>
      <c r="Y109" s="128"/>
      <c r="Z109" s="128"/>
      <c r="AA109" s="128"/>
      <c r="AB109" s="128"/>
      <c r="AC109" s="128"/>
      <c r="AD109" s="128"/>
      <c r="AE109" s="128"/>
      <c r="AF109" s="128"/>
      <c r="AG109" s="128"/>
      <c r="AH109" s="128"/>
      <c r="AI109" s="128"/>
      <c r="AJ109" s="128"/>
      <c r="AK109" s="128"/>
      <c r="AL109" s="128"/>
      <c r="AM109" s="128"/>
      <c r="AN109" s="128"/>
      <c r="AO109" s="128"/>
      <c r="AP109" s="128"/>
      <c r="AQ109" s="128"/>
      <c r="AR109" s="143"/>
    </row>
    <row r="110" spans="1:44" ht="14" x14ac:dyDescent="0.2">
      <c r="A110" s="146"/>
      <c r="B110" s="146"/>
      <c r="C110" s="146"/>
      <c r="D110" s="146"/>
      <c r="E110" s="146"/>
      <c r="F110" s="146"/>
      <c r="G110" s="146"/>
      <c r="H110" s="160"/>
      <c r="I110" s="157"/>
      <c r="J110" s="146"/>
      <c r="K110" s="146"/>
      <c r="L110" s="159"/>
      <c r="M110" s="128"/>
      <c r="N110" s="128"/>
      <c r="O110" s="128"/>
      <c r="P110" s="128"/>
      <c r="Q110" s="128"/>
      <c r="R110" s="128"/>
      <c r="S110" s="128"/>
      <c r="T110" s="128"/>
      <c r="U110" s="128"/>
      <c r="V110" s="143"/>
      <c r="W110" s="128"/>
      <c r="X110" s="128"/>
      <c r="Y110" s="128"/>
      <c r="Z110" s="128"/>
      <c r="AA110" s="128"/>
      <c r="AB110" s="128"/>
      <c r="AC110" s="128"/>
      <c r="AD110" s="128"/>
      <c r="AE110" s="128"/>
      <c r="AF110" s="128"/>
      <c r="AG110" s="128"/>
      <c r="AH110" s="128"/>
      <c r="AI110" s="128"/>
      <c r="AJ110" s="128"/>
      <c r="AK110" s="128"/>
      <c r="AL110" s="128"/>
      <c r="AM110" s="128"/>
      <c r="AN110" s="128"/>
      <c r="AO110" s="128"/>
      <c r="AP110" s="128"/>
      <c r="AQ110" s="128"/>
      <c r="AR110" s="143"/>
    </row>
    <row r="111" spans="1:44" ht="14" x14ac:dyDescent="0.2">
      <c r="A111" s="146"/>
      <c r="B111" s="146"/>
      <c r="C111" s="146"/>
      <c r="D111" s="146"/>
      <c r="E111" s="146"/>
      <c r="F111" s="146"/>
      <c r="G111" s="146"/>
      <c r="H111" s="160"/>
      <c r="I111" s="157"/>
      <c r="J111" s="146"/>
      <c r="K111" s="146"/>
      <c r="L111" s="159"/>
      <c r="M111" s="128"/>
      <c r="N111" s="128"/>
      <c r="O111" s="128"/>
      <c r="P111" s="128"/>
      <c r="Q111" s="128"/>
      <c r="R111" s="128"/>
      <c r="S111" s="128"/>
      <c r="T111" s="128"/>
      <c r="U111" s="128"/>
      <c r="V111" s="143"/>
      <c r="W111" s="128"/>
      <c r="X111" s="128"/>
      <c r="Y111" s="128"/>
      <c r="Z111" s="128"/>
      <c r="AA111" s="128"/>
      <c r="AB111" s="128"/>
      <c r="AC111" s="128"/>
      <c r="AD111" s="128"/>
      <c r="AE111" s="128"/>
      <c r="AF111" s="128"/>
      <c r="AG111" s="128"/>
      <c r="AH111" s="128"/>
      <c r="AI111" s="128"/>
      <c r="AJ111" s="128"/>
      <c r="AK111" s="128"/>
      <c r="AL111" s="128"/>
      <c r="AM111" s="128"/>
      <c r="AN111" s="128"/>
      <c r="AO111" s="128"/>
      <c r="AP111" s="128"/>
      <c r="AQ111" s="128"/>
      <c r="AR111" s="143"/>
    </row>
    <row r="112" spans="1:44" ht="14" x14ac:dyDescent="0.2">
      <c r="A112" s="146"/>
      <c r="B112" s="146"/>
      <c r="C112" s="146"/>
      <c r="D112" s="146"/>
      <c r="E112" s="146"/>
      <c r="F112" s="146"/>
      <c r="G112" s="146"/>
      <c r="H112" s="160"/>
      <c r="I112" s="157"/>
      <c r="J112" s="146"/>
      <c r="K112" s="146"/>
      <c r="L112" s="159"/>
      <c r="M112" s="128"/>
      <c r="N112" s="128"/>
      <c r="O112" s="128"/>
      <c r="P112" s="128"/>
      <c r="Q112" s="128"/>
      <c r="R112" s="128"/>
      <c r="S112" s="128"/>
      <c r="T112" s="128"/>
      <c r="U112" s="128"/>
      <c r="V112" s="143"/>
      <c r="W112" s="128"/>
      <c r="X112" s="128"/>
      <c r="Y112" s="128"/>
      <c r="Z112" s="128"/>
      <c r="AA112" s="128"/>
      <c r="AB112" s="128"/>
      <c r="AC112" s="128"/>
      <c r="AD112" s="128"/>
      <c r="AE112" s="128"/>
      <c r="AF112" s="128"/>
      <c r="AG112" s="128"/>
      <c r="AH112" s="128"/>
      <c r="AI112" s="128"/>
      <c r="AJ112" s="128"/>
      <c r="AK112" s="128"/>
      <c r="AL112" s="128"/>
      <c r="AM112" s="128"/>
      <c r="AN112" s="128"/>
      <c r="AO112" s="128"/>
      <c r="AP112" s="128"/>
      <c r="AQ112" s="128"/>
      <c r="AR112" s="143"/>
    </row>
    <row r="113" spans="1:44" ht="14" x14ac:dyDescent="0.2">
      <c r="A113" s="155"/>
      <c r="B113" s="157"/>
      <c r="C113" s="157"/>
      <c r="D113" s="157"/>
      <c r="E113" s="157"/>
      <c r="F113" s="146"/>
      <c r="G113" s="146"/>
      <c r="H113" s="160"/>
      <c r="I113" s="157"/>
      <c r="J113" s="157"/>
      <c r="K113" s="157"/>
      <c r="L113" s="159"/>
      <c r="M113" s="128"/>
      <c r="N113" s="128"/>
      <c r="O113" s="128"/>
      <c r="P113" s="128"/>
      <c r="Q113" s="128"/>
      <c r="R113" s="128"/>
      <c r="S113" s="128"/>
      <c r="T113" s="128"/>
      <c r="U113" s="128"/>
      <c r="V113" s="143"/>
      <c r="W113" s="128"/>
      <c r="X113" s="128"/>
      <c r="Y113" s="128"/>
      <c r="Z113" s="128"/>
      <c r="AA113" s="128"/>
      <c r="AB113" s="128"/>
      <c r="AC113" s="128"/>
      <c r="AD113" s="128"/>
      <c r="AE113" s="128"/>
      <c r="AF113" s="128"/>
      <c r="AG113" s="128"/>
      <c r="AH113" s="128"/>
      <c r="AI113" s="128"/>
      <c r="AJ113" s="128"/>
      <c r="AK113" s="128"/>
      <c r="AL113" s="128"/>
      <c r="AM113" s="128"/>
      <c r="AN113" s="128"/>
      <c r="AO113" s="128"/>
      <c r="AP113" s="128"/>
      <c r="AQ113" s="128"/>
      <c r="AR113" s="143"/>
    </row>
    <row r="114" spans="1:44" ht="15" thickBot="1" x14ac:dyDescent="0.25">
      <c r="A114" s="156"/>
      <c r="B114" s="170"/>
      <c r="C114" s="170"/>
      <c r="D114" s="170"/>
      <c r="E114" s="170"/>
      <c r="F114" s="170"/>
      <c r="G114" s="170"/>
      <c r="H114" s="170"/>
      <c r="I114" s="170"/>
      <c r="J114" s="170"/>
      <c r="K114" s="170"/>
      <c r="L114" s="171"/>
      <c r="M114" s="136"/>
      <c r="N114" s="136"/>
      <c r="O114" s="136"/>
      <c r="P114" s="136"/>
      <c r="Q114" s="136"/>
      <c r="R114" s="136"/>
      <c r="S114" s="136"/>
      <c r="T114" s="136"/>
      <c r="U114" s="136"/>
      <c r="V114" s="145"/>
      <c r="W114" s="136"/>
      <c r="X114" s="136"/>
      <c r="Y114" s="136"/>
      <c r="Z114" s="136"/>
      <c r="AA114" s="136"/>
      <c r="AB114" s="136"/>
      <c r="AC114" s="136"/>
      <c r="AD114" s="136"/>
      <c r="AE114" s="136"/>
      <c r="AF114" s="136"/>
      <c r="AG114" s="136"/>
      <c r="AH114" s="136"/>
      <c r="AI114" s="136"/>
      <c r="AJ114" s="136"/>
      <c r="AK114" s="136"/>
      <c r="AL114" s="136"/>
      <c r="AM114" s="136"/>
      <c r="AN114" s="136"/>
      <c r="AO114" s="136"/>
      <c r="AP114" s="136"/>
      <c r="AQ114" s="136"/>
      <c r="AR114" s="145"/>
    </row>
    <row r="115" spans="1:44" ht="15" thickTop="1" x14ac:dyDescent="0.2">
      <c r="G115"/>
      <c r="H115"/>
      <c r="I115" s="2"/>
      <c r="L115" s="2"/>
      <c r="N115"/>
      <c r="O115"/>
      <c r="P115"/>
      <c r="Q115"/>
      <c r="R115"/>
      <c r="T115" s="2"/>
      <c r="U115" s="2"/>
      <c r="V115" s="2"/>
      <c r="W115" s="2"/>
      <c r="X115" s="2"/>
      <c r="Y115" s="2"/>
      <c r="Z115" s="2"/>
      <c r="AA115" s="2"/>
      <c r="AB115" s="2"/>
      <c r="AC115" s="2"/>
    </row>
    <row r="116" spans="1:44" ht="14" x14ac:dyDescent="0.2">
      <c r="D116"/>
      <c r="E116"/>
      <c r="G116"/>
      <c r="H116"/>
      <c r="I116" s="2"/>
      <c r="L116" s="2"/>
      <c r="N116"/>
      <c r="O116"/>
      <c r="P116"/>
      <c r="Q116"/>
      <c r="R116"/>
      <c r="T116" s="2"/>
      <c r="U116" s="2"/>
      <c r="V116" s="2"/>
      <c r="W116" s="2"/>
      <c r="X116" s="2"/>
      <c r="Y116" s="2"/>
      <c r="Z116" s="2"/>
      <c r="AA116" s="2"/>
      <c r="AB116" s="2"/>
      <c r="AC116" s="2"/>
    </row>
    <row r="117" spans="1:44" ht="14" x14ac:dyDescent="0.2">
      <c r="D117"/>
      <c r="E117"/>
      <c r="F117"/>
      <c r="G117"/>
      <c r="H117"/>
      <c r="I117"/>
      <c r="J117"/>
      <c r="K117"/>
      <c r="L117"/>
      <c r="N117"/>
      <c r="O117"/>
      <c r="P117"/>
      <c r="Q117"/>
      <c r="R117"/>
      <c r="T117" s="2"/>
      <c r="U117" s="2"/>
      <c r="V117" s="2"/>
      <c r="W117" s="2"/>
      <c r="X117" s="2"/>
      <c r="Y117" s="2"/>
      <c r="Z117" s="2"/>
      <c r="AA117" s="2"/>
      <c r="AB117" s="2"/>
      <c r="AC117" s="2"/>
    </row>
    <row r="118" spans="1:44" ht="14" x14ac:dyDescent="0.2">
      <c r="D118"/>
      <c r="E118"/>
      <c r="F118"/>
      <c r="G118"/>
      <c r="H118"/>
      <c r="I118"/>
      <c r="J118"/>
      <c r="K118"/>
      <c r="L118"/>
      <c r="N118"/>
      <c r="O118"/>
      <c r="P118"/>
      <c r="Q118"/>
      <c r="R118"/>
      <c r="T118" s="2"/>
      <c r="U118" s="2"/>
      <c r="V118" s="2"/>
      <c r="W118" s="2"/>
      <c r="X118" s="2"/>
      <c r="Y118" s="2"/>
      <c r="Z118" s="2"/>
      <c r="AA118" s="2"/>
      <c r="AB118" s="2"/>
      <c r="AC118" s="2"/>
    </row>
    <row r="119" spans="1:44" ht="14" x14ac:dyDescent="0.2">
      <c r="D119"/>
      <c r="E119"/>
      <c r="F119"/>
      <c r="G119"/>
      <c r="H119"/>
      <c r="I119"/>
      <c r="J119"/>
      <c r="K119"/>
      <c r="L119"/>
      <c r="N119"/>
      <c r="O119"/>
      <c r="P119"/>
      <c r="Q119"/>
      <c r="R119"/>
      <c r="T119" s="2"/>
      <c r="U119" s="2"/>
      <c r="V119" s="2"/>
      <c r="W119" s="2"/>
      <c r="X119" s="2"/>
      <c r="Y119" s="2"/>
      <c r="Z119" s="2"/>
      <c r="AA119" s="2"/>
      <c r="AB119" s="2"/>
      <c r="AC119" s="2"/>
    </row>
    <row r="120" spans="1:44" ht="14" x14ac:dyDescent="0.2">
      <c r="D120"/>
      <c r="E120"/>
      <c r="F120"/>
      <c r="G120"/>
      <c r="H120"/>
      <c r="I120"/>
      <c r="J120"/>
      <c r="K120"/>
      <c r="L120"/>
      <c r="N120"/>
      <c r="O120"/>
      <c r="P120"/>
      <c r="Q120"/>
      <c r="R120"/>
      <c r="T120" s="2"/>
      <c r="U120" s="2"/>
      <c r="V120" s="2"/>
      <c r="W120" s="2"/>
      <c r="X120" s="2"/>
      <c r="Y120" s="2"/>
      <c r="Z120" s="2"/>
      <c r="AA120" s="2"/>
      <c r="AB120" s="2"/>
      <c r="AC120" s="2"/>
    </row>
    <row r="121" spans="1:44" ht="14" x14ac:dyDescent="0.2">
      <c r="D121"/>
      <c r="E121"/>
      <c r="F121"/>
      <c r="G121"/>
      <c r="H121"/>
      <c r="I121"/>
      <c r="J121"/>
      <c r="K121"/>
      <c r="L121"/>
      <c r="N121" s="1"/>
      <c r="Q121"/>
      <c r="R121"/>
      <c r="T121" s="2"/>
      <c r="U121" s="2"/>
      <c r="V121" s="2"/>
      <c r="W121" s="2"/>
      <c r="X121" s="2"/>
      <c r="Y121" s="2"/>
      <c r="Z121" s="2"/>
      <c r="AA121" s="2"/>
      <c r="AB121" s="2"/>
      <c r="AC121" s="2"/>
    </row>
    <row r="122" spans="1:44" ht="14" x14ac:dyDescent="0.2">
      <c r="D122"/>
      <c r="E122"/>
      <c r="F122"/>
      <c r="G122"/>
      <c r="H122"/>
      <c r="I122"/>
      <c r="J122"/>
      <c r="K122"/>
      <c r="L122"/>
      <c r="N122" s="1"/>
      <c r="T122" s="2"/>
      <c r="U122" s="2"/>
      <c r="V122" s="2"/>
      <c r="W122" s="2"/>
      <c r="X122" s="2"/>
      <c r="Y122" s="2"/>
      <c r="Z122" s="2"/>
      <c r="AA122" s="2"/>
      <c r="AB122" s="2"/>
      <c r="AC122" s="2"/>
    </row>
    <row r="123" spans="1:44" ht="17" customHeight="1" x14ac:dyDescent="0.2">
      <c r="D123"/>
      <c r="E123"/>
      <c r="F123"/>
      <c r="G123"/>
      <c r="H123"/>
      <c r="I123"/>
      <c r="N123" s="1"/>
      <c r="T123" s="2"/>
      <c r="U123" s="2"/>
      <c r="V123" s="2"/>
      <c r="W123" s="2"/>
      <c r="X123" s="2"/>
      <c r="Y123" s="2"/>
      <c r="Z123" s="2"/>
      <c r="AA123" s="2"/>
      <c r="AB123" s="2"/>
      <c r="AC123" s="2"/>
    </row>
    <row r="124" spans="1:44" ht="14" x14ac:dyDescent="0.2">
      <c r="D124"/>
      <c r="E124"/>
      <c r="F124"/>
      <c r="G124"/>
      <c r="H124"/>
      <c r="I124"/>
      <c r="N124" s="1"/>
      <c r="T124" s="2"/>
      <c r="U124" s="2"/>
      <c r="V124" s="2"/>
      <c r="W124" s="2"/>
      <c r="X124" s="2"/>
      <c r="Y124" s="2"/>
      <c r="Z124" s="2"/>
      <c r="AA124" s="2"/>
      <c r="AB124" s="2"/>
      <c r="AC124" s="2"/>
    </row>
    <row r="125" spans="1:44" ht="14" x14ac:dyDescent="0.2">
      <c r="D125"/>
      <c r="E125"/>
      <c r="F125"/>
      <c r="G125"/>
      <c r="H125"/>
      <c r="I125"/>
      <c r="N125" s="1"/>
      <c r="O125"/>
      <c r="P125"/>
      <c r="T125" s="2"/>
      <c r="U125" s="2"/>
      <c r="V125" s="2"/>
      <c r="W125" s="2"/>
      <c r="X125" s="2"/>
      <c r="Y125" s="2"/>
      <c r="Z125" s="2"/>
      <c r="AA125" s="2"/>
      <c r="AB125" s="2"/>
      <c r="AC125" s="2"/>
    </row>
    <row r="126" spans="1:44" ht="14" x14ac:dyDescent="0.2">
      <c r="D126"/>
      <c r="E126"/>
      <c r="F126"/>
      <c r="G126"/>
      <c r="H126"/>
      <c r="I126"/>
      <c r="N126" s="1"/>
      <c r="O126"/>
      <c r="P126"/>
      <c r="Q126"/>
      <c r="R126"/>
      <c r="S126"/>
      <c r="T126" s="2"/>
      <c r="U126" s="2"/>
      <c r="V126" s="2"/>
      <c r="W126" s="2"/>
      <c r="X126" s="2"/>
      <c r="Y126" s="2"/>
      <c r="Z126" s="2"/>
      <c r="AA126" s="2"/>
      <c r="AB126" s="2"/>
      <c r="AC126" s="2"/>
    </row>
    <row r="127" spans="1:44" ht="14" x14ac:dyDescent="0.2">
      <c r="D127"/>
      <c r="E127"/>
      <c r="F127"/>
      <c r="G127"/>
      <c r="H127"/>
      <c r="I127"/>
      <c r="J127"/>
      <c r="K127"/>
      <c r="L127"/>
      <c r="M127" s="2"/>
      <c r="N127" s="1"/>
      <c r="O127"/>
      <c r="P127"/>
      <c r="Q127"/>
      <c r="R127"/>
      <c r="S127"/>
      <c r="T127" s="2"/>
      <c r="U127" s="2"/>
      <c r="V127" s="2"/>
      <c r="W127" s="2"/>
      <c r="X127" s="2"/>
      <c r="Y127" s="2"/>
      <c r="Z127" s="2"/>
      <c r="AA127" s="2"/>
      <c r="AB127" s="2"/>
      <c r="AC127" s="2"/>
    </row>
    <row r="128" spans="1:44" ht="14" x14ac:dyDescent="0.2">
      <c r="D128"/>
      <c r="E128"/>
      <c r="F128"/>
      <c r="G128"/>
      <c r="H128"/>
      <c r="I128"/>
      <c r="J128"/>
      <c r="K128"/>
      <c r="L128"/>
      <c r="M128"/>
      <c r="N128" s="1"/>
      <c r="O128"/>
      <c r="P128"/>
      <c r="Q128"/>
      <c r="R128"/>
      <c r="S128"/>
      <c r="T128" s="2"/>
      <c r="U128" s="2"/>
      <c r="V128" s="2"/>
      <c r="W128" s="2"/>
      <c r="X128" s="2"/>
      <c r="Y128" s="2"/>
      <c r="Z128" s="2"/>
      <c r="AA128" s="2"/>
      <c r="AB128" s="2"/>
      <c r="AC128" s="2"/>
    </row>
    <row r="129" spans="4:29" ht="14" x14ac:dyDescent="0.2">
      <c r="D129"/>
      <c r="E129"/>
      <c r="F129"/>
      <c r="G129"/>
      <c r="H129"/>
      <c r="I129"/>
      <c r="J129" s="34"/>
      <c r="K129"/>
      <c r="L129"/>
      <c r="M129"/>
      <c r="N129" s="1"/>
      <c r="O129"/>
      <c r="P129"/>
      <c r="Q129"/>
      <c r="R129"/>
      <c r="S129"/>
      <c r="T129" s="2"/>
      <c r="U129" s="2"/>
      <c r="V129" s="2"/>
      <c r="W129" s="2"/>
      <c r="X129" s="2"/>
      <c r="Y129" s="2"/>
      <c r="Z129" s="2"/>
      <c r="AA129" s="2"/>
      <c r="AB129" s="2"/>
      <c r="AC129" s="2"/>
    </row>
    <row r="130" spans="4:29" ht="14" x14ac:dyDescent="0.2">
      <c r="D130"/>
      <c r="E130"/>
      <c r="F130"/>
      <c r="G130"/>
      <c r="H130"/>
      <c r="I130"/>
      <c r="M130" s="415"/>
      <c r="N130" s="1"/>
      <c r="O130"/>
      <c r="P130"/>
      <c r="Q130"/>
      <c r="R130"/>
      <c r="S130"/>
      <c r="T130" s="2"/>
      <c r="U130" s="2"/>
      <c r="V130" s="2"/>
      <c r="W130" s="2"/>
      <c r="X130" s="2"/>
      <c r="Y130" s="2"/>
      <c r="Z130" s="2"/>
      <c r="AA130" s="2"/>
      <c r="AB130" s="2"/>
      <c r="AC130" s="2"/>
    </row>
    <row r="131" spans="4:29" ht="14" x14ac:dyDescent="0.2">
      <c r="D131"/>
      <c r="E131"/>
      <c r="F131"/>
      <c r="G131"/>
      <c r="H131"/>
      <c r="I131"/>
      <c r="M131" s="416"/>
      <c r="N131" s="2"/>
      <c r="O131" s="2"/>
      <c r="P131" s="2"/>
      <c r="Q131"/>
      <c r="R131"/>
      <c r="S131"/>
      <c r="T131" s="2"/>
      <c r="U131" s="2"/>
      <c r="V131" s="2"/>
      <c r="W131" s="2"/>
      <c r="X131" s="2"/>
      <c r="Y131" s="2"/>
      <c r="Z131" s="2"/>
      <c r="AA131" s="2"/>
      <c r="AB131" s="2"/>
      <c r="AC131" s="2"/>
    </row>
    <row r="132" spans="4:29" ht="14" x14ac:dyDescent="0.2">
      <c r="D132"/>
      <c r="E132"/>
      <c r="F132"/>
      <c r="H132"/>
      <c r="I132"/>
      <c r="J132"/>
      <c r="K132"/>
      <c r="L132"/>
      <c r="M132"/>
      <c r="N132" s="2"/>
      <c r="O132" s="2"/>
      <c r="P132" s="2"/>
      <c r="Q132" s="2"/>
      <c r="R132" s="2"/>
      <c r="S132"/>
      <c r="T132" s="2"/>
      <c r="U132" s="2"/>
      <c r="V132" s="2"/>
      <c r="W132" s="2"/>
      <c r="X132" s="2"/>
      <c r="Y132" s="2"/>
      <c r="Z132" s="2"/>
      <c r="AA132" s="2"/>
    </row>
    <row r="133" spans="4:29" ht="14" x14ac:dyDescent="0.2">
      <c r="D133"/>
      <c r="E133"/>
      <c r="F133"/>
      <c r="H133"/>
      <c r="I133"/>
      <c r="J133"/>
      <c r="K133"/>
      <c r="L133"/>
      <c r="N133" s="2"/>
      <c r="O133" s="2"/>
      <c r="P133" s="2"/>
      <c r="Q133" s="2"/>
      <c r="R133" s="2"/>
      <c r="S133" s="2"/>
      <c r="T133" s="2"/>
      <c r="U133" s="2"/>
      <c r="V133" s="2"/>
      <c r="W133" s="2"/>
      <c r="X133" s="2"/>
      <c r="Y133" s="2"/>
      <c r="Z133" s="2"/>
    </row>
    <row r="134" spans="4:29" ht="14" x14ac:dyDescent="0.2">
      <c r="D134"/>
      <c r="E134"/>
      <c r="F134"/>
      <c r="H134"/>
      <c r="I134"/>
      <c r="J134"/>
      <c r="K134"/>
      <c r="L134"/>
      <c r="N134" s="2"/>
      <c r="O134" s="2"/>
      <c r="P134" s="2"/>
      <c r="Q134" s="2"/>
      <c r="R134" s="2"/>
      <c r="S134" s="2"/>
      <c r="T134" s="2"/>
      <c r="U134" s="2"/>
      <c r="V134" s="2"/>
      <c r="W134" s="2"/>
      <c r="X134" s="2"/>
      <c r="Y134" s="2"/>
      <c r="Z134" s="2"/>
    </row>
    <row r="135" spans="4:29" ht="14" x14ac:dyDescent="0.2">
      <c r="F135"/>
      <c r="H135"/>
      <c r="I135"/>
      <c r="J135"/>
      <c r="K135"/>
      <c r="L135"/>
      <c r="N135" s="2"/>
      <c r="O135" s="2"/>
      <c r="P135" s="2"/>
      <c r="Q135" s="2"/>
      <c r="R135" s="2"/>
      <c r="S135" s="2"/>
      <c r="T135" s="2"/>
      <c r="U135" s="2"/>
      <c r="V135" s="2"/>
      <c r="W135" s="2"/>
      <c r="X135" s="2"/>
      <c r="Y135" s="2"/>
      <c r="Z135" s="2"/>
    </row>
    <row r="136" spans="4:29" ht="14" x14ac:dyDescent="0.2">
      <c r="H136"/>
      <c r="I136"/>
      <c r="J136"/>
      <c r="K136"/>
      <c r="L136"/>
      <c r="N136" s="2"/>
      <c r="O136" s="2"/>
      <c r="P136" s="2"/>
      <c r="Q136" s="2"/>
      <c r="R136" s="2"/>
      <c r="S136" s="2"/>
      <c r="T136" s="2"/>
      <c r="U136" s="2"/>
      <c r="V136" s="2"/>
      <c r="W136" s="2"/>
      <c r="X136" s="2"/>
      <c r="Y136" s="2"/>
      <c r="Z136" s="2"/>
    </row>
    <row r="137" spans="4:29" ht="14" x14ac:dyDescent="0.2">
      <c r="H137"/>
      <c r="I137"/>
      <c r="J137"/>
      <c r="K137"/>
      <c r="L137"/>
      <c r="N137" s="2"/>
      <c r="O137" s="2"/>
      <c r="P137" s="2"/>
      <c r="Q137" s="2"/>
      <c r="R137" s="2"/>
      <c r="S137" s="2"/>
      <c r="T137" s="2"/>
      <c r="U137" s="2"/>
      <c r="V137" s="2"/>
      <c r="W137" s="2"/>
      <c r="X137" s="2"/>
      <c r="Y137" s="2"/>
      <c r="Z137" s="2"/>
    </row>
    <row r="138" spans="4:29" ht="19" x14ac:dyDescent="0.25">
      <c r="H138"/>
      <c r="I138"/>
      <c r="J138" s="31" t="s">
        <v>407</v>
      </c>
      <c r="K138" s="31"/>
      <c r="M138" s="28" t="s">
        <v>149</v>
      </c>
      <c r="N138" s="29"/>
      <c r="O138" s="29"/>
      <c r="P138" s="2"/>
      <c r="Q138" s="2"/>
      <c r="R138" s="2"/>
      <c r="S138" s="2"/>
      <c r="T138" s="2"/>
      <c r="U138" s="2"/>
      <c r="V138" s="2"/>
      <c r="W138" s="2"/>
      <c r="X138" s="2"/>
      <c r="Y138" s="2"/>
      <c r="Z138" s="2"/>
    </row>
    <row r="139" spans="4:29" ht="16" x14ac:dyDescent="0.2">
      <c r="H139"/>
      <c r="I139"/>
      <c r="J139" s="32" t="s">
        <v>27</v>
      </c>
      <c r="K139" s="32"/>
      <c r="P139" s="2"/>
      <c r="Q139" s="2"/>
      <c r="R139" s="2"/>
      <c r="S139" s="2"/>
      <c r="T139" s="2"/>
      <c r="U139" s="2"/>
      <c r="V139" s="2"/>
      <c r="W139" s="2"/>
      <c r="X139" s="2"/>
      <c r="Y139" s="2"/>
      <c r="Z139" s="2"/>
      <c r="AA139" s="2"/>
      <c r="AB139" s="2"/>
    </row>
    <row r="140" spans="4:29" ht="20" thickBot="1" x14ac:dyDescent="0.3">
      <c r="H140"/>
      <c r="I140"/>
      <c r="J140" s="173"/>
      <c r="K140" s="174"/>
      <c r="L140"/>
      <c r="M140"/>
      <c r="N140" s="541" t="s">
        <v>470</v>
      </c>
      <c r="O140" s="541"/>
      <c r="P140" s="2"/>
      <c r="Q140" s="2"/>
      <c r="R140" s="2"/>
      <c r="S140" s="2"/>
      <c r="T140" s="2"/>
      <c r="U140" s="2"/>
      <c r="V140" s="2"/>
      <c r="W140" s="2"/>
      <c r="X140" s="2"/>
      <c r="Y140" s="2"/>
      <c r="Z140" s="2"/>
      <c r="AA140" s="2"/>
      <c r="AB140" s="2"/>
    </row>
    <row r="141" spans="4:29" ht="16" x14ac:dyDescent="0.2">
      <c r="H141"/>
      <c r="I141"/>
      <c r="J141" s="542" t="s">
        <v>199</v>
      </c>
      <c r="K141" s="442" t="s">
        <v>314</v>
      </c>
      <c r="L141"/>
      <c r="M141"/>
      <c r="N141" s="541"/>
      <c r="O141" s="541"/>
      <c r="P141" s="2"/>
      <c r="Q141" s="2"/>
      <c r="R141" s="2"/>
      <c r="S141" s="2"/>
      <c r="T141" s="2"/>
      <c r="U141" s="2"/>
      <c r="V141" s="2"/>
      <c r="W141" s="2"/>
      <c r="X141" s="2"/>
      <c r="Y141" s="2"/>
      <c r="Z141" s="2"/>
      <c r="AA141" s="2"/>
    </row>
    <row r="142" spans="4:29" ht="16" x14ac:dyDescent="0.2">
      <c r="H142"/>
      <c r="I142"/>
      <c r="J142" s="543"/>
      <c r="K142" s="122" t="s">
        <v>245</v>
      </c>
      <c r="M142" s="14"/>
      <c r="N142" s="541"/>
      <c r="O142" s="541"/>
      <c r="P142" s="2"/>
      <c r="Q142" s="2"/>
      <c r="R142" s="2"/>
      <c r="S142" s="2"/>
      <c r="T142" s="2"/>
      <c r="U142" s="2"/>
      <c r="V142" s="2"/>
      <c r="W142" s="2"/>
      <c r="X142" s="2"/>
      <c r="Y142" s="2"/>
      <c r="Z142" s="2"/>
      <c r="AA142" s="2"/>
    </row>
    <row r="143" spans="4:29" ht="15" thickBot="1" x14ac:dyDescent="0.25">
      <c r="H143"/>
      <c r="I143"/>
      <c r="J143" s="544"/>
      <c r="K143" s="172" t="s">
        <v>219</v>
      </c>
      <c r="M143"/>
      <c r="N143" s="541"/>
      <c r="O143" s="541"/>
      <c r="P143" s="2"/>
      <c r="Q143" s="2"/>
      <c r="R143" s="2"/>
      <c r="S143" s="2"/>
      <c r="T143" s="2"/>
      <c r="U143" s="2"/>
      <c r="V143" s="2"/>
      <c r="W143" s="2"/>
      <c r="X143" s="2"/>
      <c r="Y143" s="2"/>
      <c r="Z143" s="2"/>
    </row>
    <row r="144" spans="4:29" ht="15" thickBot="1" x14ac:dyDescent="0.25">
      <c r="H144"/>
      <c r="I144"/>
      <c r="P144" s="2"/>
      <c r="Q144" s="2"/>
      <c r="R144" s="2"/>
      <c r="S144" s="2"/>
      <c r="T144" s="2"/>
      <c r="U144" s="2"/>
      <c r="V144" s="2"/>
      <c r="W144" s="2"/>
      <c r="X144" s="2"/>
      <c r="Y144" s="2"/>
      <c r="Z144" s="2"/>
    </row>
    <row r="145" spans="1:27" ht="16" x14ac:dyDescent="0.2">
      <c r="H145"/>
      <c r="I145"/>
      <c r="J145" s="175" t="s">
        <v>214</v>
      </c>
      <c r="K145" s="529"/>
      <c r="L145" s="530"/>
      <c r="P145" s="2"/>
      <c r="Q145" s="2"/>
      <c r="R145" s="2"/>
      <c r="S145" s="2"/>
      <c r="T145" s="2"/>
      <c r="U145" s="2"/>
      <c r="V145" s="2"/>
      <c r="W145" s="2"/>
      <c r="X145" s="2"/>
      <c r="Y145" s="2"/>
      <c r="Z145" s="2"/>
    </row>
    <row r="146" spans="1:27" ht="17" thickBot="1" x14ac:dyDescent="0.25">
      <c r="H146"/>
      <c r="I146"/>
      <c r="J146" s="176" t="s">
        <v>216</v>
      </c>
      <c r="K146" s="531"/>
      <c r="L146" s="532"/>
      <c r="N146"/>
      <c r="P146" s="2"/>
      <c r="Q146" s="2"/>
      <c r="R146" s="2"/>
      <c r="S146" s="2"/>
      <c r="T146" s="2"/>
      <c r="U146" s="2"/>
      <c r="V146" s="2"/>
      <c r="W146" s="2"/>
      <c r="X146" s="2"/>
      <c r="Y146" s="2"/>
      <c r="Z146" s="2"/>
    </row>
    <row r="147" spans="1:27" ht="14" x14ac:dyDescent="0.2">
      <c r="H147"/>
      <c r="I147"/>
      <c r="N147"/>
      <c r="P147" s="2"/>
      <c r="Q147" s="2"/>
      <c r="R147" s="2"/>
      <c r="S147" s="2"/>
      <c r="T147" s="2"/>
      <c r="U147" s="2"/>
      <c r="V147" s="2"/>
      <c r="W147" s="2"/>
      <c r="X147" s="2"/>
      <c r="Y147" s="2"/>
      <c r="Z147" s="2"/>
      <c r="AA147" s="2"/>
    </row>
    <row r="148" spans="1:27" ht="14" x14ac:dyDescent="0.2">
      <c r="H148"/>
      <c r="I148"/>
      <c r="J148"/>
      <c r="K148"/>
      <c r="L148"/>
      <c r="M148"/>
      <c r="O148" s="2"/>
      <c r="P148" s="2"/>
      <c r="Q148" s="2"/>
      <c r="R148" s="2"/>
      <c r="S148" s="2"/>
      <c r="T148" s="2"/>
      <c r="U148" s="2"/>
      <c r="V148" s="2"/>
      <c r="W148" s="2"/>
      <c r="X148" s="2"/>
      <c r="Y148" s="2"/>
      <c r="Z148" s="2"/>
      <c r="AA148" s="2"/>
    </row>
    <row r="149" spans="1:27" ht="14" x14ac:dyDescent="0.2">
      <c r="H149"/>
      <c r="I149"/>
      <c r="J149"/>
      <c r="K149"/>
      <c r="L149"/>
      <c r="M149"/>
      <c r="O149" s="2"/>
      <c r="P149" s="2"/>
      <c r="Q149" s="2"/>
      <c r="R149" s="2"/>
      <c r="S149" s="2"/>
      <c r="T149" s="2"/>
      <c r="U149" s="2"/>
      <c r="V149" s="2"/>
      <c r="W149" s="2"/>
      <c r="X149" s="2"/>
      <c r="Y149" s="2"/>
      <c r="Z149" s="2"/>
      <c r="AA149" s="2"/>
    </row>
    <row r="150" spans="1:27" ht="14" x14ac:dyDescent="0.2">
      <c r="H150"/>
      <c r="I150"/>
      <c r="J150"/>
      <c r="K150"/>
      <c r="L150"/>
      <c r="M150"/>
      <c r="O150" s="2"/>
      <c r="P150" s="2"/>
      <c r="Q150" s="2"/>
      <c r="R150" s="2"/>
      <c r="S150" s="2"/>
      <c r="T150" s="2"/>
      <c r="U150" s="2"/>
      <c r="V150" s="2"/>
      <c r="W150" s="2"/>
      <c r="X150" s="2"/>
      <c r="Y150" s="2"/>
      <c r="Z150" s="2"/>
      <c r="AA150" s="2"/>
    </row>
    <row r="151" spans="1:27" ht="14" x14ac:dyDescent="0.2">
      <c r="H151"/>
      <c r="I151"/>
      <c r="J151"/>
      <c r="K151"/>
      <c r="L151"/>
      <c r="M151"/>
      <c r="O151" s="2"/>
      <c r="P151" s="2"/>
      <c r="Q151" s="2"/>
      <c r="R151" s="2"/>
      <c r="S151" s="2"/>
      <c r="T151" s="2"/>
      <c r="U151" s="2"/>
      <c r="V151" s="2"/>
      <c r="W151" s="2"/>
      <c r="X151" s="2"/>
      <c r="Y151" s="2"/>
      <c r="Z151" s="2"/>
      <c r="AA151" s="2"/>
    </row>
    <row r="152" spans="1:27" ht="14" x14ac:dyDescent="0.2">
      <c r="H152"/>
      <c r="I152"/>
      <c r="J152"/>
      <c r="K152"/>
      <c r="L152"/>
      <c r="M152"/>
      <c r="O152" s="2"/>
      <c r="P152" s="2"/>
      <c r="Q152" s="2"/>
      <c r="R152" s="2"/>
      <c r="S152" s="2"/>
      <c r="T152" s="2"/>
      <c r="U152" s="2"/>
      <c r="V152" s="2"/>
      <c r="W152" s="2"/>
      <c r="X152" s="2"/>
      <c r="Y152" s="2"/>
      <c r="Z152" s="2"/>
      <c r="AA152" s="2"/>
    </row>
    <row r="153" spans="1:27" ht="14" x14ac:dyDescent="0.2">
      <c r="H153"/>
      <c r="I153"/>
      <c r="J153"/>
      <c r="K153"/>
      <c r="L153"/>
      <c r="M153"/>
      <c r="O153" s="2"/>
      <c r="P153" s="2"/>
      <c r="Q153" s="2"/>
      <c r="R153" s="2"/>
      <c r="S153" s="2"/>
      <c r="T153" s="2"/>
      <c r="U153" s="2"/>
      <c r="V153" s="2"/>
      <c r="W153" s="2"/>
      <c r="X153" s="2"/>
      <c r="Y153" s="2"/>
      <c r="Z153" s="2"/>
      <c r="AA153" s="2"/>
    </row>
    <row r="154" spans="1:27" ht="14" x14ac:dyDescent="0.2">
      <c r="H154"/>
      <c r="I154"/>
      <c r="J154"/>
      <c r="K154"/>
      <c r="L154"/>
      <c r="M154"/>
      <c r="O154"/>
      <c r="P154"/>
      <c r="Q154" s="2"/>
      <c r="R154" s="2"/>
      <c r="S154" s="2"/>
      <c r="T154" s="2"/>
      <c r="U154" s="2"/>
      <c r="V154" s="2"/>
      <c r="W154" s="2"/>
      <c r="X154" s="2"/>
      <c r="Y154" s="2"/>
      <c r="Z154" s="2"/>
      <c r="AA154" s="2"/>
    </row>
    <row r="155" spans="1:27" ht="14" x14ac:dyDescent="0.2">
      <c r="H155"/>
      <c r="I155"/>
      <c r="J155"/>
      <c r="K155"/>
      <c r="L155"/>
      <c r="M155"/>
      <c r="O155"/>
      <c r="P155"/>
      <c r="Q155"/>
      <c r="R155"/>
      <c r="S155" s="2"/>
      <c r="T155" s="2"/>
      <c r="U155" s="2"/>
      <c r="V155" s="2"/>
      <c r="W155" s="2"/>
      <c r="X155" s="2"/>
      <c r="Y155" s="2"/>
      <c r="Z155" s="2"/>
      <c r="AA155" s="2"/>
    </row>
    <row r="156" spans="1:27" customFormat="1" x14ac:dyDescent="0.15">
      <c r="A156" s="3"/>
      <c r="B156" s="3"/>
      <c r="C156" s="3"/>
      <c r="D156" s="3"/>
      <c r="E156" s="3"/>
      <c r="F156" s="3"/>
      <c r="G156" s="3"/>
      <c r="N156" s="3"/>
      <c r="O156" s="3"/>
      <c r="P156" s="3"/>
    </row>
    <row r="157" spans="1:27" customFormat="1" x14ac:dyDescent="0.15">
      <c r="A157" s="3"/>
      <c r="B157" s="3"/>
      <c r="C157" s="3"/>
      <c r="D157" s="3"/>
      <c r="E157" s="3"/>
      <c r="F157" s="3"/>
      <c r="G157" s="3"/>
      <c r="N157" s="3"/>
      <c r="O157" s="3"/>
      <c r="P157" s="3"/>
      <c r="Q157" s="3"/>
      <c r="R157" s="3"/>
    </row>
    <row r="158" spans="1:27" x14ac:dyDescent="0.15">
      <c r="H158"/>
      <c r="I158"/>
      <c r="J158"/>
      <c r="K158"/>
      <c r="L158"/>
      <c r="M158"/>
    </row>
    <row r="159" spans="1:27" x14ac:dyDescent="0.15">
      <c r="H159"/>
      <c r="I159"/>
      <c r="J159"/>
      <c r="K159"/>
      <c r="L159"/>
      <c r="M159"/>
    </row>
    <row r="160" spans="1:27" x14ac:dyDescent="0.15">
      <c r="H160"/>
      <c r="I160"/>
      <c r="J160"/>
      <c r="K160"/>
      <c r="L160"/>
      <c r="M160"/>
    </row>
    <row r="161" spans="1:18" x14ac:dyDescent="0.15">
      <c r="H161"/>
      <c r="I161"/>
      <c r="J161"/>
      <c r="K161"/>
      <c r="L161"/>
      <c r="M161"/>
    </row>
    <row r="162" spans="1:18" x14ac:dyDescent="0.15">
      <c r="H162"/>
      <c r="I162"/>
      <c r="J162"/>
      <c r="K162"/>
      <c r="L162"/>
      <c r="M162"/>
    </row>
    <row r="163" spans="1:18" x14ac:dyDescent="0.15">
      <c r="H163"/>
      <c r="I163"/>
      <c r="J163"/>
      <c r="K163"/>
      <c r="L163"/>
      <c r="M163"/>
    </row>
    <row r="164" spans="1:18" x14ac:dyDescent="0.15">
      <c r="G164"/>
      <c r="H164"/>
      <c r="I164"/>
      <c r="J164"/>
      <c r="K164"/>
      <c r="L164"/>
      <c r="M164"/>
    </row>
    <row r="165" spans="1:18" x14ac:dyDescent="0.15">
      <c r="G165"/>
      <c r="H165"/>
      <c r="I165"/>
      <c r="J165"/>
      <c r="K165"/>
      <c r="L165"/>
      <c r="M165"/>
    </row>
    <row r="166" spans="1:18" x14ac:dyDescent="0.15">
      <c r="G166"/>
      <c r="H166"/>
      <c r="I166"/>
      <c r="J166"/>
      <c r="K166"/>
      <c r="L166"/>
      <c r="M166"/>
    </row>
    <row r="167" spans="1:18" x14ac:dyDescent="0.15">
      <c r="B167"/>
      <c r="C167"/>
      <c r="D167"/>
      <c r="E167"/>
      <c r="G167"/>
      <c r="H167"/>
      <c r="I167"/>
      <c r="J167"/>
      <c r="K167"/>
      <c r="L167"/>
      <c r="M167"/>
    </row>
    <row r="168" spans="1:18" ht="14" x14ac:dyDescent="0.2">
      <c r="A168" s="1"/>
      <c r="B168"/>
      <c r="C168"/>
      <c r="D168"/>
      <c r="E168"/>
      <c r="F168"/>
      <c r="G168"/>
      <c r="H168"/>
      <c r="I168"/>
      <c r="J168"/>
      <c r="K168"/>
      <c r="L168"/>
      <c r="M168"/>
      <c r="O168"/>
      <c r="P168"/>
    </row>
    <row r="169" spans="1:18" ht="14" x14ac:dyDescent="0.2">
      <c r="A169" s="1"/>
      <c r="B169"/>
      <c r="C169"/>
      <c r="D169"/>
      <c r="E169"/>
      <c r="F169"/>
      <c r="G169"/>
      <c r="H169"/>
      <c r="I169"/>
      <c r="J169"/>
      <c r="K169"/>
      <c r="L169"/>
      <c r="M169"/>
      <c r="O169"/>
      <c r="P169"/>
      <c r="Q169"/>
      <c r="R169"/>
    </row>
    <row r="170" spans="1:18" customFormat="1" ht="14" x14ac:dyDescent="0.2">
      <c r="A170" s="1"/>
      <c r="N170" s="3"/>
      <c r="O170" s="3"/>
      <c r="P170" s="3"/>
    </row>
    <row r="171" spans="1:18" customFormat="1" ht="14" x14ac:dyDescent="0.2">
      <c r="A171" s="1"/>
      <c r="N171" s="3"/>
      <c r="O171" s="3"/>
      <c r="P171" s="3"/>
      <c r="Q171" s="3"/>
      <c r="R171" s="3"/>
    </row>
    <row r="172" spans="1:18" ht="14" x14ac:dyDescent="0.2">
      <c r="A172" s="1"/>
      <c r="B172"/>
      <c r="C172"/>
      <c r="D172"/>
      <c r="E172"/>
      <c r="F172"/>
      <c r="G172"/>
      <c r="H172"/>
      <c r="I172"/>
      <c r="J172"/>
      <c r="K172"/>
      <c r="L172"/>
      <c r="M172"/>
    </row>
    <row r="173" spans="1:18" ht="14" x14ac:dyDescent="0.2">
      <c r="A173" s="1"/>
      <c r="B173"/>
      <c r="C173"/>
      <c r="D173"/>
      <c r="E173"/>
      <c r="F173"/>
      <c r="G173"/>
      <c r="H173"/>
      <c r="I173"/>
      <c r="J173"/>
      <c r="K173"/>
      <c r="L173"/>
      <c r="M173"/>
    </row>
    <row r="174" spans="1:18" ht="14" x14ac:dyDescent="0.2">
      <c r="A174" s="1"/>
      <c r="B174"/>
      <c r="C174"/>
      <c r="D174"/>
      <c r="E174"/>
      <c r="F174"/>
      <c r="G174"/>
      <c r="H174"/>
      <c r="I174"/>
      <c r="J174"/>
      <c r="K174"/>
      <c r="L174"/>
      <c r="M174"/>
    </row>
    <row r="175" spans="1:18" ht="14" x14ac:dyDescent="0.2">
      <c r="A175" s="1"/>
      <c r="B175"/>
      <c r="C175"/>
      <c r="D175"/>
      <c r="E175"/>
      <c r="F175"/>
      <c r="G175"/>
      <c r="H175"/>
      <c r="I175"/>
      <c r="J175"/>
      <c r="K175"/>
      <c r="L175"/>
      <c r="M175"/>
    </row>
    <row r="176" spans="1:18" ht="14" x14ac:dyDescent="0.2">
      <c r="A176" s="1"/>
      <c r="B176"/>
      <c r="C176"/>
      <c r="D176"/>
      <c r="E176"/>
      <c r="F176"/>
      <c r="G176"/>
      <c r="H176"/>
      <c r="I176"/>
      <c r="J176"/>
      <c r="K176"/>
      <c r="L176"/>
      <c r="M176"/>
    </row>
    <row r="177" spans="1:13" ht="14" x14ac:dyDescent="0.2">
      <c r="A177" s="1"/>
      <c r="B177"/>
      <c r="C177"/>
      <c r="D177"/>
      <c r="E177"/>
      <c r="F177"/>
      <c r="G177"/>
      <c r="H177"/>
      <c r="I177"/>
      <c r="J177"/>
      <c r="K177"/>
      <c r="L177"/>
      <c r="M177"/>
    </row>
    <row r="178" spans="1:13" ht="14" x14ac:dyDescent="0.2">
      <c r="A178" s="1"/>
      <c r="B178"/>
      <c r="C178"/>
      <c r="D178"/>
      <c r="E178"/>
      <c r="F178"/>
      <c r="G178"/>
      <c r="H178"/>
      <c r="I178"/>
      <c r="J178"/>
      <c r="K178"/>
      <c r="L178"/>
      <c r="M178"/>
    </row>
    <row r="179" spans="1:13" ht="14" x14ac:dyDescent="0.2">
      <c r="A179" s="1"/>
      <c r="B179"/>
      <c r="C179"/>
      <c r="D179"/>
      <c r="E179"/>
      <c r="F179"/>
      <c r="G179"/>
      <c r="H179"/>
      <c r="I179"/>
      <c r="J179"/>
      <c r="K179"/>
      <c r="L179"/>
      <c r="M179"/>
    </row>
    <row r="180" spans="1:13" ht="14" x14ac:dyDescent="0.2">
      <c r="A180" s="1"/>
      <c r="B180"/>
      <c r="C180"/>
      <c r="D180"/>
      <c r="E180"/>
      <c r="F180"/>
      <c r="G180"/>
      <c r="H180"/>
      <c r="I180"/>
      <c r="J180"/>
      <c r="K180"/>
      <c r="L180"/>
      <c r="M180"/>
    </row>
    <row r="181" spans="1:13" x14ac:dyDescent="0.15">
      <c r="A181"/>
      <c r="B181"/>
      <c r="C181"/>
      <c r="D181"/>
      <c r="E181"/>
      <c r="F181"/>
      <c r="G181"/>
      <c r="H181"/>
      <c r="I181"/>
      <c r="J181"/>
      <c r="K181"/>
      <c r="L181"/>
      <c r="M181"/>
    </row>
    <row r="182" spans="1:13" x14ac:dyDescent="0.15">
      <c r="A182"/>
      <c r="B182"/>
      <c r="C182"/>
      <c r="D182"/>
      <c r="E182"/>
      <c r="F182"/>
      <c r="G182"/>
      <c r="H182"/>
      <c r="I182"/>
      <c r="J182"/>
      <c r="K182"/>
      <c r="L182"/>
      <c r="M182"/>
    </row>
    <row r="183" spans="1:13" x14ac:dyDescent="0.15">
      <c r="A183"/>
      <c r="B183"/>
      <c r="C183"/>
      <c r="D183"/>
      <c r="E183"/>
      <c r="F183"/>
      <c r="G183"/>
      <c r="H183"/>
      <c r="I183"/>
      <c r="J183"/>
      <c r="K183"/>
      <c r="L183"/>
      <c r="M183"/>
    </row>
    <row r="184" spans="1:13" x14ac:dyDescent="0.15">
      <c r="A184"/>
      <c r="B184"/>
      <c r="C184"/>
      <c r="D184"/>
      <c r="E184"/>
      <c r="F184"/>
      <c r="G184"/>
      <c r="H184"/>
      <c r="I184"/>
      <c r="J184"/>
      <c r="K184"/>
      <c r="L184"/>
      <c r="M184"/>
    </row>
    <row r="185" spans="1:13" x14ac:dyDescent="0.15">
      <c r="A185"/>
      <c r="B185"/>
      <c r="C185"/>
      <c r="D185"/>
      <c r="E185"/>
      <c r="F185"/>
      <c r="G185"/>
      <c r="H185"/>
      <c r="I185"/>
      <c r="J185"/>
      <c r="K185"/>
      <c r="L185"/>
      <c r="M185"/>
    </row>
    <row r="186" spans="1:13" x14ac:dyDescent="0.15">
      <c r="A186"/>
      <c r="B186"/>
      <c r="C186"/>
      <c r="D186"/>
      <c r="E186"/>
      <c r="F186"/>
      <c r="G186"/>
      <c r="H186"/>
      <c r="I186"/>
      <c r="J186"/>
      <c r="K186"/>
      <c r="L186"/>
      <c r="M186"/>
    </row>
    <row r="187" spans="1:13" x14ac:dyDescent="0.15">
      <c r="A187"/>
      <c r="B187"/>
      <c r="C187"/>
      <c r="D187"/>
      <c r="E187"/>
      <c r="F187"/>
      <c r="G187"/>
      <c r="H187"/>
      <c r="I187"/>
      <c r="J187"/>
      <c r="K187"/>
      <c r="L187"/>
      <c r="M187"/>
    </row>
    <row r="188" spans="1:13" ht="14" x14ac:dyDescent="0.2">
      <c r="A188" s="1"/>
      <c r="B188"/>
      <c r="C188"/>
      <c r="D188"/>
      <c r="E188"/>
      <c r="F188"/>
      <c r="G188"/>
      <c r="H188"/>
      <c r="I188"/>
      <c r="J188"/>
      <c r="K188"/>
      <c r="L188"/>
      <c r="M188"/>
    </row>
    <row r="189" spans="1:13" ht="14" x14ac:dyDescent="0.2">
      <c r="A189" s="1"/>
      <c r="B189"/>
      <c r="C189"/>
      <c r="D189"/>
      <c r="E189"/>
      <c r="F189"/>
      <c r="G189"/>
      <c r="H189"/>
      <c r="I189"/>
      <c r="J189"/>
      <c r="K189"/>
      <c r="L189"/>
      <c r="M189"/>
    </row>
    <row r="190" spans="1:13" x14ac:dyDescent="0.15">
      <c r="B190"/>
      <c r="C190"/>
      <c r="D190"/>
      <c r="E190"/>
      <c r="F190"/>
      <c r="G190"/>
      <c r="H190"/>
      <c r="I190"/>
      <c r="J190"/>
      <c r="K190"/>
      <c r="L190"/>
      <c r="M190"/>
    </row>
    <row r="191" spans="1:13" x14ac:dyDescent="0.15">
      <c r="B191"/>
      <c r="C191"/>
      <c r="D191"/>
      <c r="E191"/>
      <c r="F191"/>
      <c r="G191"/>
      <c r="H191"/>
      <c r="I191"/>
      <c r="J191"/>
      <c r="K191"/>
      <c r="L191"/>
      <c r="M191"/>
    </row>
    <row r="192" spans="1:13" x14ac:dyDescent="0.15">
      <c r="B192"/>
      <c r="C192"/>
      <c r="D192"/>
      <c r="E192"/>
      <c r="F192"/>
      <c r="G192"/>
      <c r="H192"/>
      <c r="I192"/>
      <c r="J192"/>
      <c r="K192"/>
      <c r="L192"/>
      <c r="M192"/>
    </row>
    <row r="193" spans="2:13" x14ac:dyDescent="0.15">
      <c r="B193"/>
      <c r="C193"/>
      <c r="D193"/>
      <c r="E193"/>
      <c r="F193"/>
      <c r="G193"/>
      <c r="H193"/>
      <c r="I193"/>
      <c r="J193"/>
      <c r="K193"/>
      <c r="L193"/>
      <c r="M193"/>
    </row>
    <row r="194" spans="2:13" x14ac:dyDescent="0.15">
      <c r="B194"/>
      <c r="C194"/>
      <c r="D194"/>
      <c r="E194"/>
      <c r="F194"/>
      <c r="G194"/>
      <c r="H194"/>
      <c r="I194"/>
      <c r="J194"/>
      <c r="K194"/>
      <c r="L194"/>
      <c r="M194"/>
    </row>
    <row r="195" spans="2:13" x14ac:dyDescent="0.15">
      <c r="B195"/>
      <c r="C195"/>
      <c r="D195"/>
      <c r="E195"/>
      <c r="F195"/>
      <c r="G195"/>
      <c r="H195"/>
      <c r="I195"/>
      <c r="J195"/>
      <c r="K195"/>
      <c r="L195"/>
      <c r="M195"/>
    </row>
    <row r="196" spans="2:13" x14ac:dyDescent="0.15">
      <c r="B196"/>
      <c r="C196"/>
      <c r="D196"/>
      <c r="E196"/>
      <c r="F196"/>
      <c r="G196"/>
      <c r="H196"/>
      <c r="I196"/>
      <c r="J196"/>
      <c r="K196"/>
      <c r="L196"/>
      <c r="M196"/>
    </row>
    <row r="197" spans="2:13" x14ac:dyDescent="0.15">
      <c r="B197"/>
      <c r="C197"/>
      <c r="D197"/>
      <c r="E197"/>
      <c r="F197"/>
      <c r="G197"/>
      <c r="H197"/>
      <c r="I197"/>
      <c r="J197"/>
      <c r="K197"/>
      <c r="L197"/>
      <c r="M197"/>
    </row>
    <row r="198" spans="2:13" x14ac:dyDescent="0.15">
      <c r="B198"/>
      <c r="C198"/>
      <c r="D198"/>
      <c r="E198"/>
      <c r="F198"/>
      <c r="G198"/>
      <c r="H198"/>
      <c r="I198"/>
      <c r="J198"/>
      <c r="K198"/>
      <c r="L198"/>
      <c r="M198"/>
    </row>
    <row r="199" spans="2:13" x14ac:dyDescent="0.15">
      <c r="B199"/>
      <c r="C199"/>
      <c r="D199"/>
      <c r="E199"/>
      <c r="F199"/>
      <c r="G199"/>
      <c r="H199"/>
      <c r="I199"/>
      <c r="J199"/>
      <c r="K199"/>
      <c r="L199"/>
      <c r="M199"/>
    </row>
    <row r="200" spans="2:13" x14ac:dyDescent="0.15">
      <c r="B200"/>
      <c r="C200"/>
      <c r="D200"/>
      <c r="E200"/>
      <c r="F200"/>
      <c r="G200"/>
      <c r="H200"/>
      <c r="I200"/>
      <c r="J200"/>
      <c r="K200"/>
      <c r="L200"/>
      <c r="M200"/>
    </row>
    <row r="201" spans="2:13" x14ac:dyDescent="0.15">
      <c r="B201"/>
      <c r="C201"/>
      <c r="D201"/>
      <c r="E201"/>
      <c r="F201"/>
      <c r="G201"/>
      <c r="H201"/>
      <c r="I201"/>
      <c r="J201"/>
      <c r="K201"/>
      <c r="L201"/>
      <c r="M201"/>
    </row>
    <row r="202" spans="2:13" x14ac:dyDescent="0.15">
      <c r="B202"/>
      <c r="C202"/>
      <c r="D202"/>
      <c r="E202"/>
      <c r="F202"/>
      <c r="G202"/>
      <c r="H202"/>
      <c r="I202"/>
      <c r="J202"/>
      <c r="K202"/>
      <c r="L202"/>
      <c r="M202"/>
    </row>
    <row r="203" spans="2:13" x14ac:dyDescent="0.15">
      <c r="B203"/>
      <c r="C203"/>
      <c r="D203"/>
      <c r="E203"/>
      <c r="F203"/>
      <c r="G203"/>
      <c r="H203"/>
      <c r="I203"/>
      <c r="J203"/>
      <c r="K203"/>
      <c r="L203"/>
      <c r="M203"/>
    </row>
    <row r="204" spans="2:13" x14ac:dyDescent="0.15">
      <c r="B204"/>
      <c r="C204"/>
      <c r="D204"/>
      <c r="E204"/>
      <c r="F204"/>
      <c r="G204"/>
      <c r="H204"/>
      <c r="I204"/>
      <c r="J204"/>
      <c r="K204"/>
      <c r="L204"/>
      <c r="M204"/>
    </row>
    <row r="205" spans="2:13" x14ac:dyDescent="0.15">
      <c r="B205"/>
      <c r="C205"/>
      <c r="D205"/>
      <c r="E205"/>
      <c r="F205"/>
      <c r="G205"/>
      <c r="H205"/>
      <c r="I205"/>
      <c r="J205"/>
      <c r="K205"/>
      <c r="L205"/>
      <c r="M205"/>
    </row>
    <row r="206" spans="2:13" x14ac:dyDescent="0.15">
      <c r="B206"/>
      <c r="C206"/>
      <c r="D206"/>
      <c r="E206"/>
      <c r="F206"/>
      <c r="G206"/>
      <c r="H206"/>
      <c r="I206"/>
      <c r="J206"/>
      <c r="K206"/>
      <c r="L206"/>
      <c r="M206"/>
    </row>
    <row r="207" spans="2:13" x14ac:dyDescent="0.15">
      <c r="B207"/>
      <c r="C207"/>
      <c r="D207"/>
      <c r="E207"/>
      <c r="F207"/>
      <c r="G207"/>
      <c r="H207"/>
      <c r="I207"/>
      <c r="J207"/>
      <c r="K207"/>
      <c r="L207"/>
      <c r="M207"/>
    </row>
    <row r="208" spans="2:13" x14ac:dyDescent="0.15">
      <c r="B208"/>
      <c r="C208"/>
      <c r="D208"/>
      <c r="E208"/>
      <c r="F208"/>
      <c r="G208"/>
      <c r="H208"/>
      <c r="I208"/>
      <c r="J208"/>
      <c r="K208"/>
      <c r="L208"/>
      <c r="M208"/>
    </row>
    <row r="209" spans="2:13" x14ac:dyDescent="0.15">
      <c r="B209"/>
      <c r="C209"/>
      <c r="D209"/>
      <c r="E209"/>
      <c r="F209"/>
      <c r="G209"/>
      <c r="H209"/>
      <c r="I209"/>
      <c r="J209"/>
      <c r="K209"/>
      <c r="L209"/>
      <c r="M209"/>
    </row>
    <row r="210" spans="2:13" x14ac:dyDescent="0.15">
      <c r="B210"/>
      <c r="C210"/>
      <c r="D210"/>
      <c r="E210"/>
      <c r="F210"/>
      <c r="I210"/>
      <c r="J210"/>
      <c r="K210"/>
      <c r="L210"/>
      <c r="M210"/>
    </row>
    <row r="211" spans="2:13" x14ac:dyDescent="0.15">
      <c r="B211"/>
      <c r="C211"/>
      <c r="D211"/>
      <c r="E211"/>
      <c r="F211"/>
      <c r="I211"/>
      <c r="J211"/>
      <c r="K211"/>
      <c r="L211"/>
      <c r="M211"/>
    </row>
    <row r="212" spans="2:13" x14ac:dyDescent="0.15">
      <c r="B212"/>
      <c r="C212"/>
      <c r="D212"/>
      <c r="E212"/>
      <c r="F212"/>
      <c r="I212"/>
      <c r="J212"/>
      <c r="K212"/>
      <c r="L212"/>
      <c r="M212"/>
    </row>
    <row r="213" spans="2:13" x14ac:dyDescent="0.15">
      <c r="F213"/>
      <c r="I213"/>
      <c r="J213"/>
      <c r="K213"/>
      <c r="L213"/>
      <c r="M213"/>
    </row>
  </sheetData>
  <mergeCells count="26">
    <mergeCell ref="K145:L145"/>
    <mergeCell ref="K146:L146"/>
    <mergeCell ref="B70:E71"/>
    <mergeCell ref="X64:Z64"/>
    <mergeCell ref="R46:T48"/>
    <mergeCell ref="N140:O143"/>
    <mergeCell ref="J141:J143"/>
    <mergeCell ref="X58:AA58"/>
    <mergeCell ref="B63:E63"/>
    <mergeCell ref="G51:H51"/>
    <mergeCell ref="B31:E31"/>
    <mergeCell ref="B41:E41"/>
    <mergeCell ref="B49:E49"/>
    <mergeCell ref="G33:H33"/>
    <mergeCell ref="N58:P58"/>
    <mergeCell ref="N48:P48"/>
    <mergeCell ref="H10:I10"/>
    <mergeCell ref="H11:I11"/>
    <mergeCell ref="P3:X3"/>
    <mergeCell ref="P4:X10"/>
    <mergeCell ref="X48:AA48"/>
    <mergeCell ref="N21:P21"/>
    <mergeCell ref="N29:P29"/>
    <mergeCell ref="N16:P16"/>
    <mergeCell ref="H6:I8"/>
    <mergeCell ref="L5:N10"/>
  </mergeCells>
  <phoneticPr fontId="8" type="noConversion"/>
  <conditionalFormatting sqref="P30 P32 P59">
    <cfRule type="cellIs" dxfId="1" priority="0" stopIfTrue="1" operator="equal">
      <formula>"Fail"</formula>
    </cfRule>
  </conditionalFormatting>
  <conditionalFormatting sqref="P31">
    <cfRule type="cellIs" dxfId="0" priority="1" stopIfTrue="1" operator="equal">
      <formula>"No"</formula>
    </cfRule>
  </conditionalFormatting>
  <dataValidations xWindow="631" yWindow="336" count="13">
    <dataValidation type="list" allowBlank="1" showInputMessage="1" showErrorMessage="1" sqref="H36" xr:uid="{00000000-0002-0000-0100-000001000000}">
      <formula1>"MACRS, Bonus Depr."</formula1>
    </dataValidation>
    <dataValidation type="list" allowBlank="1" showInputMessage="1" showErrorMessage="1" sqref="D74 H53 H40" xr:uid="{00000000-0002-0000-0100-000002000000}">
      <formula1>"On,Off"</formula1>
    </dataValidation>
    <dataValidation type="list" allowBlank="1" showInputMessage="1" showErrorMessage="1" sqref="H35" xr:uid="{00000000-0002-0000-0100-000003000000}">
      <formula1>"State &amp; Federal, Federal Only, Not Efficient"</formula1>
    </dataValidation>
    <dataValidation type="list" allowBlank="1" showInputMessage="1" showErrorMessage="1" sqref="K20 H27 E65:E68 K36" xr:uid="{00000000-0002-0000-0100-000004000000}">
      <formula1>"Yes, No"</formula1>
    </dataValidation>
    <dataValidation type="list" allowBlank="1" showInputMessage="1" showErrorMessage="1" sqref="K33" xr:uid="{00000000-0002-0000-0100-000005000000}">
      <formula1>"Purchase, Lease"</formula1>
    </dataValidation>
    <dataValidation type="list" allowBlank="1" showInputMessage="1" showErrorMessage="1" sqref="K35" xr:uid="{00000000-0002-0000-0100-000006000000}">
      <formula1>"Fixed, % of Revenue"</formula1>
    </dataValidation>
    <dataValidation type="list" allowBlank="1" showInputMessage="1" showErrorMessage="1" sqref="H44" xr:uid="{DA8860C5-4E29-C346-A53C-D175A4021752}">
      <formula1>"1,2"</formula1>
    </dataValidation>
    <dataValidation type="list" allowBlank="1" showInputMessage="1" showErrorMessage="1" sqref="H43" xr:uid="{88F94184-6CA7-B746-B627-A3E6659DD42B}">
      <formula1>"1,2,3,4,5"</formula1>
    </dataValidation>
    <dataValidation type="list" allowBlank="1" showInputMessage="1" showErrorMessage="1" sqref="H39" xr:uid="{43448A8D-2A78-8A46-8469-BF55AEEFEAC8}">
      <formula1>"ITC,PTC"</formula1>
    </dataValidation>
    <dataValidation type="list" allowBlank="1" showInputMessage="1" showErrorMessage="1" sqref="E74" xr:uid="{41E4CE57-F1DA-CE47-9F02-3124DABED45A}">
      <formula1>$C$72:$E$72</formula1>
    </dataValidation>
    <dataValidation type="whole" operator="greaterThanOrEqual" allowBlank="1" showInputMessage="1" showErrorMessage="1" sqref="H64" xr:uid="{5FBEAD66-B52E-A147-AA8B-290495FA5F19}">
      <formula1>5</formula1>
    </dataValidation>
    <dataValidation type="list" allowBlank="1" showInputMessage="1" showErrorMessage="1" sqref="H34" xr:uid="{6C88FEEF-6E5D-6046-BAC5-C338C84D2EDA}">
      <formula1>"Taxpayer, Non-Taxpayer"</formula1>
    </dataValidation>
    <dataValidation type="list" allowBlank="1" showInputMessage="1" showErrorMessage="1" sqref="H17" xr:uid="{26C7E0A0-43BB-0145-BD42-EDDDCF8EE9DF}">
      <formula1>"Yes,No"</formula1>
    </dataValidation>
  </dataValidations>
  <pageMargins left="0.75" right="0.75" top="1" bottom="1" header="0.5" footer="0.5"/>
  <ignoredErrors>
    <ignoredError sqref="D19:D20 E47" unlockedFormula="1"/>
  </ignoredErrors>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S202"/>
  <sheetViews>
    <sheetView showGridLines="0" topLeftCell="A35" zoomScaleNormal="100" workbookViewId="0">
      <selection activeCell="D20" sqref="D20"/>
    </sheetView>
  </sheetViews>
  <sheetFormatPr baseColWidth="10" defaultColWidth="11" defaultRowHeight="13" x14ac:dyDescent="0.15"/>
  <cols>
    <col min="2" max="2" width="27.83203125" customWidth="1"/>
    <col min="3" max="3" width="12.33203125" customWidth="1"/>
    <col min="4" max="23" width="10.83203125" customWidth="1"/>
    <col min="24" max="24" width="11.83203125" bestFit="1" customWidth="1"/>
    <col min="29" max="29" width="3.83203125" customWidth="1"/>
    <col min="30" max="30" width="13.83203125" bestFit="1" customWidth="1"/>
  </cols>
  <sheetData>
    <row r="1" spans="1:71" x14ac:dyDescent="0.1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row>
    <row r="2" spans="1:71" ht="19" x14ac:dyDescent="0.25">
      <c r="A2" s="3"/>
      <c r="B2" s="3"/>
      <c r="C2" s="3"/>
      <c r="D2" s="3"/>
      <c r="E2" s="3"/>
      <c r="F2" s="3"/>
      <c r="G2" s="3"/>
      <c r="H2" s="26" t="s">
        <v>149</v>
      </c>
      <c r="I2" s="3"/>
      <c r="J2" s="3"/>
      <c r="M2" s="3"/>
      <c r="N2" s="27"/>
      <c r="O2" s="27"/>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row>
    <row r="3" spans="1:71" x14ac:dyDescent="0.15">
      <c r="A3" s="3"/>
      <c r="B3" s="3"/>
      <c r="C3" s="3"/>
      <c r="D3" s="3"/>
      <c r="E3" s="3"/>
      <c r="F3" s="3"/>
      <c r="G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row>
    <row r="4" spans="1:71" ht="19" x14ac:dyDescent="0.25">
      <c r="A4" s="13"/>
      <c r="B4" s="13"/>
      <c r="C4" s="13"/>
      <c r="D4" s="13"/>
      <c r="E4" s="13"/>
      <c r="F4" s="13"/>
      <c r="G4" s="13"/>
      <c r="H4" s="31" t="s">
        <v>408</v>
      </c>
      <c r="I4" s="3"/>
      <c r="M4" s="13"/>
      <c r="O4" s="562" t="s">
        <v>0</v>
      </c>
      <c r="P4" s="563"/>
      <c r="Q4" s="563"/>
      <c r="R4" s="563"/>
      <c r="S4" s="563"/>
      <c r="T4" s="563"/>
      <c r="U4" s="563"/>
      <c r="V4" s="563"/>
      <c r="W4" s="563"/>
      <c r="X4" s="563"/>
      <c r="Y4" s="563"/>
      <c r="Z4" s="563"/>
      <c r="AA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row>
    <row r="5" spans="1:71" ht="16" x14ac:dyDescent="0.2">
      <c r="H5" s="32" t="s">
        <v>129</v>
      </c>
      <c r="I5" s="3"/>
      <c r="J5" s="3"/>
      <c r="K5" s="3"/>
      <c r="L5" s="3"/>
      <c r="N5" s="62"/>
      <c r="O5" s="564" t="s">
        <v>134</v>
      </c>
      <c r="P5" s="565"/>
      <c r="Q5" s="565"/>
      <c r="R5" s="565"/>
      <c r="S5" s="565"/>
      <c r="T5" s="565"/>
      <c r="U5" s="565"/>
      <c r="V5" s="565"/>
      <c r="W5" s="565"/>
      <c r="X5" s="565"/>
      <c r="Y5" s="565"/>
      <c r="Z5" s="566"/>
      <c r="AA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row>
    <row r="6" spans="1:71" ht="24" customHeight="1" x14ac:dyDescent="0.25">
      <c r="K6" s="13"/>
      <c r="L6" s="13"/>
      <c r="N6" s="62"/>
      <c r="O6" s="567"/>
      <c r="P6" s="568"/>
      <c r="Q6" s="568"/>
      <c r="R6" s="568"/>
      <c r="S6" s="568"/>
      <c r="T6" s="568"/>
      <c r="U6" s="568"/>
      <c r="V6" s="568"/>
      <c r="W6" s="568"/>
      <c r="X6" s="568"/>
      <c r="Y6" s="568"/>
      <c r="Z6" s="569"/>
      <c r="AA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row>
    <row r="7" spans="1:71" ht="24" customHeight="1" x14ac:dyDescent="0.15">
      <c r="H7" s="473" t="s">
        <v>64</v>
      </c>
      <c r="I7" s="473"/>
      <c r="J7" s="473"/>
      <c r="K7" s="473"/>
      <c r="L7" s="473"/>
      <c r="N7" s="62"/>
      <c r="O7" s="567"/>
      <c r="P7" s="568"/>
      <c r="Q7" s="568"/>
      <c r="R7" s="568"/>
      <c r="S7" s="568"/>
      <c r="T7" s="568"/>
      <c r="U7" s="568"/>
      <c r="V7" s="568"/>
      <c r="W7" s="568"/>
      <c r="X7" s="568"/>
      <c r="Y7" s="568"/>
      <c r="Z7" s="569"/>
      <c r="AA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row>
    <row r="8" spans="1:71" ht="24" customHeight="1" x14ac:dyDescent="0.15">
      <c r="A8" s="3"/>
      <c r="B8" s="3"/>
      <c r="C8" s="3"/>
      <c r="D8" s="3"/>
      <c r="E8" s="3"/>
      <c r="F8" s="3"/>
      <c r="G8" s="3"/>
      <c r="H8" s="473"/>
      <c r="I8" s="473"/>
      <c r="J8" s="473"/>
      <c r="K8" s="473"/>
      <c r="L8" s="473"/>
      <c r="M8" s="3"/>
      <c r="O8" s="567"/>
      <c r="P8" s="568"/>
      <c r="Q8" s="568"/>
      <c r="R8" s="568"/>
      <c r="S8" s="568"/>
      <c r="T8" s="568"/>
      <c r="U8" s="568"/>
      <c r="V8" s="568"/>
      <c r="W8" s="568"/>
      <c r="X8" s="568"/>
      <c r="Y8" s="568"/>
      <c r="Z8" s="569"/>
      <c r="AA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row>
    <row r="9" spans="1:71" ht="24" customHeight="1" thickBot="1" x14ac:dyDescent="0.25">
      <c r="A9" s="3"/>
      <c r="B9" s="3"/>
      <c r="C9" s="3"/>
      <c r="D9" s="3"/>
      <c r="E9" s="3"/>
      <c r="F9" s="3"/>
      <c r="G9" s="3"/>
      <c r="H9" s="63"/>
      <c r="I9" s="63"/>
      <c r="J9" s="63"/>
      <c r="M9" s="3"/>
      <c r="O9" s="567"/>
      <c r="P9" s="568"/>
      <c r="Q9" s="568"/>
      <c r="R9" s="568"/>
      <c r="S9" s="568"/>
      <c r="T9" s="568"/>
      <c r="U9" s="568"/>
      <c r="V9" s="568"/>
      <c r="W9" s="568"/>
      <c r="X9" s="568"/>
      <c r="Y9" s="568"/>
      <c r="Z9" s="569"/>
      <c r="AA9" s="1"/>
      <c r="AN9" s="2"/>
      <c r="AO9" s="2"/>
      <c r="AP9" s="2"/>
      <c r="AQ9" s="2"/>
      <c r="AR9" s="2"/>
      <c r="AS9" s="2"/>
      <c r="AT9" s="2"/>
      <c r="AU9" s="2"/>
      <c r="AV9" s="2"/>
      <c r="AW9" s="2"/>
      <c r="AX9" s="2"/>
      <c r="AY9" s="2"/>
      <c r="AZ9" s="2"/>
      <c r="BA9" s="2"/>
      <c r="BB9" s="2"/>
      <c r="BC9" s="3"/>
      <c r="BD9" s="3"/>
      <c r="BE9" s="3"/>
      <c r="BF9" s="3"/>
      <c r="BG9" s="3"/>
      <c r="BH9" s="3"/>
      <c r="BI9" s="3"/>
      <c r="BJ9" s="3"/>
      <c r="BK9" s="3"/>
      <c r="BL9" s="3"/>
      <c r="BM9" s="3"/>
      <c r="BN9" s="3"/>
      <c r="BO9" s="3"/>
      <c r="BP9" s="3"/>
      <c r="BQ9" s="3"/>
      <c r="BR9" s="3"/>
      <c r="BS9" s="3"/>
    </row>
    <row r="10" spans="1:71" ht="16" x14ac:dyDescent="0.2">
      <c r="A10" s="3"/>
      <c r="B10" s="3"/>
      <c r="C10" s="3"/>
      <c r="D10" s="3"/>
      <c r="E10" s="3"/>
      <c r="F10" s="3"/>
      <c r="G10" s="3"/>
      <c r="H10" s="486" t="s">
        <v>214</v>
      </c>
      <c r="I10" s="487"/>
      <c r="J10" s="580"/>
      <c r="K10" s="581"/>
      <c r="L10" s="3"/>
      <c r="M10" s="3"/>
      <c r="O10" s="567"/>
      <c r="P10" s="568"/>
      <c r="Q10" s="568"/>
      <c r="R10" s="568"/>
      <c r="S10" s="568"/>
      <c r="T10" s="568"/>
      <c r="U10" s="568"/>
      <c r="V10" s="568"/>
      <c r="W10" s="568"/>
      <c r="X10" s="568"/>
      <c r="Y10" s="568"/>
      <c r="Z10" s="569"/>
      <c r="AA10" s="1"/>
      <c r="AN10" s="2"/>
      <c r="AO10" s="2"/>
      <c r="AP10" s="2"/>
      <c r="AQ10" s="2"/>
      <c r="AR10" s="2"/>
      <c r="AS10" s="2"/>
      <c r="AT10" s="2"/>
      <c r="AU10" s="2"/>
      <c r="AV10" s="2"/>
      <c r="AW10" s="2"/>
      <c r="AX10" s="2"/>
      <c r="AY10" s="2"/>
      <c r="AZ10" s="2"/>
      <c r="BA10" s="2"/>
      <c r="BB10" s="2"/>
      <c r="BC10" s="3"/>
      <c r="BD10" s="3"/>
      <c r="BE10" s="3"/>
      <c r="BF10" s="3"/>
      <c r="BG10" s="3"/>
      <c r="BH10" s="3"/>
      <c r="BI10" s="3"/>
      <c r="BJ10" s="3"/>
      <c r="BK10" s="3"/>
      <c r="BL10" s="3"/>
      <c r="BM10" s="3"/>
      <c r="BN10" s="3"/>
      <c r="BO10" s="3"/>
      <c r="BP10" s="3"/>
      <c r="BQ10" s="3"/>
      <c r="BR10" s="3"/>
      <c r="BS10" s="3"/>
    </row>
    <row r="11" spans="1:71" ht="17" thickBot="1" x14ac:dyDescent="0.25">
      <c r="H11" s="557" t="s">
        <v>216</v>
      </c>
      <c r="I11" s="558"/>
      <c r="J11" s="582"/>
      <c r="K11" s="583"/>
      <c r="L11" s="3"/>
      <c r="O11" s="570"/>
      <c r="P11" s="571"/>
      <c r="Q11" s="571"/>
      <c r="R11" s="571"/>
      <c r="S11" s="571"/>
      <c r="T11" s="571"/>
      <c r="U11" s="571"/>
      <c r="V11" s="571"/>
      <c r="W11" s="571"/>
      <c r="X11" s="571"/>
      <c r="Y11" s="571"/>
      <c r="Z11" s="572"/>
    </row>
    <row r="12" spans="1:71" ht="15" thickBot="1" x14ac:dyDescent="0.25">
      <c r="A12" s="8"/>
      <c r="B12" s="8"/>
      <c r="C12" s="8"/>
      <c r="D12" s="8"/>
      <c r="E12" s="8"/>
      <c r="F12" s="8"/>
      <c r="G12" s="8"/>
      <c r="H12" s="8"/>
      <c r="I12" s="9"/>
      <c r="J12" s="9"/>
      <c r="K12" s="9"/>
      <c r="L12" s="9"/>
      <c r="M12" s="9"/>
      <c r="N12" s="9"/>
      <c r="O12" s="9"/>
      <c r="P12" s="9"/>
      <c r="Q12" s="9"/>
      <c r="R12" s="9"/>
      <c r="S12" s="9"/>
      <c r="T12" s="9"/>
      <c r="U12" s="9"/>
      <c r="V12" s="9"/>
      <c r="W12" s="9"/>
      <c r="X12" s="9"/>
      <c r="Y12" s="9"/>
      <c r="Z12" s="9"/>
      <c r="AA12" s="9"/>
      <c r="AB12" s="9"/>
      <c r="AC12" s="9"/>
      <c r="AD12" s="2"/>
      <c r="AE12" s="2"/>
      <c r="AF12" s="2"/>
      <c r="AG12" s="2"/>
      <c r="AH12" s="2"/>
      <c r="AN12" s="2"/>
      <c r="AO12" s="2"/>
      <c r="AP12" s="2"/>
      <c r="AQ12" s="2"/>
      <c r="AR12" s="2"/>
      <c r="AS12" s="3"/>
      <c r="AT12" s="3"/>
      <c r="AU12" s="3"/>
      <c r="AV12" s="3"/>
      <c r="AW12" s="3"/>
      <c r="AX12" s="3"/>
      <c r="AY12" s="3"/>
      <c r="AZ12" s="3"/>
      <c r="BA12" s="3"/>
      <c r="BB12" s="3"/>
      <c r="BC12" s="3"/>
      <c r="BD12" s="3"/>
      <c r="BE12" s="3"/>
      <c r="BF12" s="3"/>
      <c r="BG12" s="3"/>
      <c r="BH12" s="3"/>
      <c r="BI12" s="3"/>
    </row>
    <row r="13" spans="1:71" ht="20" thickTop="1" x14ac:dyDescent="0.25">
      <c r="A13" s="3"/>
      <c r="B13" s="11" t="s">
        <v>108</v>
      </c>
      <c r="C13" s="3"/>
      <c r="D13" s="3"/>
      <c r="E13" s="3"/>
      <c r="F13" s="3"/>
      <c r="G13" s="3"/>
      <c r="H13" s="3"/>
      <c r="I13" s="1"/>
      <c r="J13" s="1"/>
      <c r="K13" s="1"/>
      <c r="L13" s="1"/>
      <c r="M13" s="1"/>
      <c r="N13" s="1"/>
      <c r="O13" s="1"/>
      <c r="P13" s="1"/>
      <c r="Q13" s="1"/>
      <c r="R13" s="1"/>
      <c r="S13" s="1"/>
      <c r="T13" s="1"/>
      <c r="U13" s="1"/>
      <c r="V13" s="1"/>
      <c r="W13" s="1"/>
      <c r="X13" s="1"/>
      <c r="Y13" s="1"/>
      <c r="Z13" s="1"/>
      <c r="AA13" s="1"/>
      <c r="AB13" s="1"/>
      <c r="AC13" s="1"/>
    </row>
    <row r="14" spans="1:71" ht="19" x14ac:dyDescent="0.25">
      <c r="A14" s="3"/>
      <c r="B14" s="11" t="s">
        <v>285</v>
      </c>
      <c r="C14" s="3"/>
      <c r="D14" s="3"/>
      <c r="E14" s="3"/>
      <c r="F14" s="30"/>
      <c r="G14" s="3"/>
      <c r="H14" s="3"/>
      <c r="I14" s="1"/>
      <c r="J14" s="1"/>
      <c r="K14" s="1"/>
      <c r="L14" s="1"/>
      <c r="M14" s="1"/>
      <c r="N14" s="1"/>
      <c r="O14" s="1"/>
      <c r="P14" s="1"/>
      <c r="Q14" s="1"/>
      <c r="R14" s="1"/>
      <c r="S14" s="1"/>
      <c r="T14" s="1"/>
      <c r="U14" s="1"/>
      <c r="V14" s="1"/>
      <c r="W14" s="1"/>
      <c r="X14" s="1"/>
      <c r="Y14" s="1"/>
      <c r="Z14" s="1"/>
      <c r="AA14" s="1"/>
      <c r="AB14" s="1"/>
      <c r="AC14" s="1"/>
    </row>
    <row r="15" spans="1:71" ht="14" x14ac:dyDescent="0.2">
      <c r="A15" s="3"/>
      <c r="B15" s="2"/>
      <c r="C15" s="2"/>
      <c r="D15" s="5"/>
      <c r="E15" s="2"/>
      <c r="F15" s="2"/>
      <c r="G15" s="2"/>
      <c r="H15" s="6"/>
      <c r="I15" s="6"/>
      <c r="J15" s="6"/>
      <c r="K15" s="2"/>
      <c r="L15" s="2"/>
      <c r="M15" s="2"/>
      <c r="N15" s="2"/>
      <c r="O15" s="2"/>
      <c r="P15" s="2"/>
      <c r="Q15" s="2"/>
      <c r="R15" s="2"/>
      <c r="S15" s="2"/>
      <c r="T15" s="2"/>
      <c r="U15" s="2"/>
      <c r="V15" s="2"/>
      <c r="W15" s="2"/>
      <c r="X15" s="2"/>
      <c r="Y15" s="2"/>
      <c r="Z15" s="2"/>
      <c r="AA15" s="2"/>
      <c r="AB15" s="2"/>
      <c r="AC15" s="2"/>
    </row>
    <row r="16" spans="1:71" ht="16" x14ac:dyDescent="0.2">
      <c r="A16" s="3"/>
      <c r="B16" s="577" t="s">
        <v>284</v>
      </c>
      <c r="C16" s="578"/>
      <c r="D16" s="578"/>
      <c r="E16" s="2"/>
      <c r="F16" s="2"/>
      <c r="G16" s="2"/>
      <c r="H16" s="2"/>
      <c r="I16" s="2"/>
      <c r="J16" s="2"/>
      <c r="K16" s="2"/>
      <c r="L16" s="2"/>
      <c r="M16" s="2"/>
      <c r="N16" s="2"/>
      <c r="O16" s="2"/>
      <c r="P16" s="2"/>
      <c r="Q16" s="2"/>
      <c r="R16" s="2"/>
      <c r="S16" s="2"/>
      <c r="T16" s="2"/>
      <c r="U16" s="2"/>
      <c r="V16" s="2"/>
      <c r="W16" s="2"/>
      <c r="X16" s="2"/>
      <c r="Y16" s="2"/>
      <c r="Z16" s="2"/>
      <c r="AA16" s="2"/>
      <c r="AB16" s="2"/>
      <c r="AC16" s="2"/>
    </row>
    <row r="17" spans="1:29" ht="14" x14ac:dyDescent="0.2">
      <c r="A17" s="3"/>
      <c r="B17" s="330" t="s">
        <v>32</v>
      </c>
      <c r="C17" s="331">
        <v>0</v>
      </c>
      <c r="D17" s="177">
        <f t="shared" ref="D17:V17" si="0">C17+1</f>
        <v>1</v>
      </c>
      <c r="E17" s="177">
        <f t="shared" si="0"/>
        <v>2</v>
      </c>
      <c r="F17" s="177">
        <f t="shared" si="0"/>
        <v>3</v>
      </c>
      <c r="G17" s="177">
        <f t="shared" si="0"/>
        <v>4</v>
      </c>
      <c r="H17" s="177">
        <f t="shared" si="0"/>
        <v>5</v>
      </c>
      <c r="I17" s="177">
        <f t="shared" si="0"/>
        <v>6</v>
      </c>
      <c r="J17" s="177">
        <f t="shared" si="0"/>
        <v>7</v>
      </c>
      <c r="K17" s="177">
        <f t="shared" si="0"/>
        <v>8</v>
      </c>
      <c r="L17" s="177">
        <f t="shared" si="0"/>
        <v>9</v>
      </c>
      <c r="M17" s="177">
        <f t="shared" si="0"/>
        <v>10</v>
      </c>
      <c r="N17" s="177">
        <f t="shared" si="0"/>
        <v>11</v>
      </c>
      <c r="O17" s="177">
        <f t="shared" si="0"/>
        <v>12</v>
      </c>
      <c r="P17" s="177">
        <f t="shared" si="0"/>
        <v>13</v>
      </c>
      <c r="Q17" s="177">
        <f t="shared" si="0"/>
        <v>14</v>
      </c>
      <c r="R17" s="177">
        <f t="shared" si="0"/>
        <v>15</v>
      </c>
      <c r="S17" s="177">
        <f t="shared" si="0"/>
        <v>16</v>
      </c>
      <c r="T17" s="177">
        <f t="shared" si="0"/>
        <v>17</v>
      </c>
      <c r="U17" s="177">
        <f t="shared" si="0"/>
        <v>18</v>
      </c>
      <c r="V17" s="177">
        <f t="shared" si="0"/>
        <v>19</v>
      </c>
      <c r="W17" s="177">
        <f t="shared" ref="W17:AB17" si="1">V17+1</f>
        <v>20</v>
      </c>
      <c r="X17" s="177">
        <f t="shared" si="1"/>
        <v>21</v>
      </c>
      <c r="Y17" s="177">
        <f t="shared" si="1"/>
        <v>22</v>
      </c>
      <c r="Z17" s="177">
        <f t="shared" si="1"/>
        <v>23</v>
      </c>
      <c r="AA17" s="177">
        <f t="shared" si="1"/>
        <v>24</v>
      </c>
      <c r="AB17" s="177">
        <f t="shared" si="1"/>
        <v>25</v>
      </c>
      <c r="AC17" s="177"/>
    </row>
    <row r="18" spans="1:29" ht="14" x14ac:dyDescent="0.2">
      <c r="A18" s="3"/>
      <c r="B18" s="332" t="s">
        <v>371</v>
      </c>
      <c r="C18" s="192"/>
      <c r="D18" s="333"/>
      <c r="E18" s="333"/>
      <c r="F18" s="333"/>
      <c r="G18" s="333"/>
      <c r="H18" s="333"/>
      <c r="I18" s="333"/>
      <c r="J18" s="333"/>
      <c r="K18" s="333"/>
      <c r="L18" s="333"/>
      <c r="M18" s="333"/>
      <c r="N18" s="333"/>
      <c r="O18" s="333"/>
      <c r="P18" s="333"/>
      <c r="Q18" s="333"/>
      <c r="R18" s="333"/>
      <c r="S18" s="333"/>
      <c r="T18" s="333"/>
      <c r="U18" s="333"/>
      <c r="V18" s="333"/>
      <c r="W18" s="333"/>
      <c r="X18" s="333"/>
      <c r="Y18" s="333"/>
      <c r="Z18" s="333"/>
      <c r="AA18" s="333"/>
      <c r="AB18" s="333"/>
      <c r="AC18" s="333"/>
    </row>
    <row r="19" spans="1:29" ht="14" x14ac:dyDescent="0.2">
      <c r="A19" s="3"/>
      <c r="B19" s="210" t="s">
        <v>163</v>
      </c>
      <c r="C19" s="229"/>
      <c r="D19" s="249">
        <f>PPA_Price_kWh</f>
        <v>7.3031580167629145E-2</v>
      </c>
      <c r="E19" s="249">
        <f t="shared" ref="E19:V19" si="2">D19*(1+PPA_Price_Annual_Escalator)</f>
        <v>7.4857369671819871E-2</v>
      </c>
      <c r="F19" s="249">
        <f t="shared" si="2"/>
        <v>7.6728803913615362E-2</v>
      </c>
      <c r="G19" s="249">
        <f t="shared" si="2"/>
        <v>7.8647024011455735E-2</v>
      </c>
      <c r="H19" s="249">
        <f t="shared" si="2"/>
        <v>8.0613199611742126E-2</v>
      </c>
      <c r="I19" s="249">
        <f t="shared" si="2"/>
        <v>8.2628529602035677E-2</v>
      </c>
      <c r="J19" s="249">
        <f t="shared" si="2"/>
        <v>8.4694242842086556E-2</v>
      </c>
      <c r="K19" s="249">
        <f t="shared" si="2"/>
        <v>8.6811598913138707E-2</v>
      </c>
      <c r="L19" s="249">
        <f t="shared" si="2"/>
        <v>8.898188888596717E-2</v>
      </c>
      <c r="M19" s="249">
        <f t="shared" si="2"/>
        <v>9.1206436108116337E-2</v>
      </c>
      <c r="N19" s="249">
        <f t="shared" si="2"/>
        <v>9.3486597010819239E-2</v>
      </c>
      <c r="O19" s="249">
        <f t="shared" si="2"/>
        <v>9.5823761936089713E-2</v>
      </c>
      <c r="P19" s="249">
        <f t="shared" si="2"/>
        <v>9.8219355984491941E-2</v>
      </c>
      <c r="Q19" s="249">
        <f t="shared" si="2"/>
        <v>0.10067483988410424</v>
      </c>
      <c r="R19" s="249">
        <f t="shared" si="2"/>
        <v>0.10319171088120684</v>
      </c>
      <c r="S19" s="249">
        <f t="shared" si="2"/>
        <v>0.105771503653237</v>
      </c>
      <c r="T19" s="249">
        <f t="shared" si="2"/>
        <v>0.10841579124456791</v>
      </c>
      <c r="U19" s="249">
        <f t="shared" si="2"/>
        <v>0.1111261860256821</v>
      </c>
      <c r="V19" s="249">
        <f t="shared" si="2"/>
        <v>0.11390434067632414</v>
      </c>
      <c r="W19" s="249">
        <f t="shared" ref="W19:AB19" si="3">V19*(1+PPA_Price_Annual_Escalator)</f>
        <v>0.11675194919323223</v>
      </c>
      <c r="X19" s="249">
        <f t="shared" si="3"/>
        <v>0.11967074792306302</v>
      </c>
      <c r="Y19" s="249">
        <f t="shared" si="3"/>
        <v>0.12266251662113958</v>
      </c>
      <c r="Z19" s="249">
        <f t="shared" si="3"/>
        <v>0.12572907953666806</v>
      </c>
      <c r="AA19" s="249">
        <f t="shared" si="3"/>
        <v>0.12887230652508475</v>
      </c>
      <c r="AB19" s="249">
        <f t="shared" si="3"/>
        <v>0.13209411418821185</v>
      </c>
      <c r="AC19" s="249"/>
    </row>
    <row r="20" spans="1:29" ht="14" x14ac:dyDescent="0.2">
      <c r="A20" s="3"/>
      <c r="B20" s="210" t="s">
        <v>100</v>
      </c>
      <c r="C20" s="229"/>
      <c r="D20" s="325">
        <f>IF(AND(SRECs_Applicable?="Yes",D17&lt;=SREC_Term_Yrs),SREC_Price,0)</f>
        <v>0</v>
      </c>
      <c r="E20" s="325">
        <f t="shared" ref="E20:V20" si="4">IF(AND(SRECs_Applicable?="Yes",E17&lt;=SREC_Term_Yrs),D20,0)*(1+SREC_Increase_Decrease)</f>
        <v>0</v>
      </c>
      <c r="F20" s="325">
        <f t="shared" si="4"/>
        <v>0</v>
      </c>
      <c r="G20" s="325">
        <f t="shared" si="4"/>
        <v>0</v>
      </c>
      <c r="H20" s="325">
        <f t="shared" si="4"/>
        <v>0</v>
      </c>
      <c r="I20" s="325">
        <f t="shared" si="4"/>
        <v>0</v>
      </c>
      <c r="J20" s="325">
        <f t="shared" si="4"/>
        <v>0</v>
      </c>
      <c r="K20" s="325">
        <f t="shared" si="4"/>
        <v>0</v>
      </c>
      <c r="L20" s="325">
        <f t="shared" si="4"/>
        <v>0</v>
      </c>
      <c r="M20" s="325">
        <f t="shared" si="4"/>
        <v>0</v>
      </c>
      <c r="N20" s="325">
        <f t="shared" si="4"/>
        <v>0</v>
      </c>
      <c r="O20" s="325">
        <f t="shared" si="4"/>
        <v>0</v>
      </c>
      <c r="P20" s="325">
        <f t="shared" si="4"/>
        <v>0</v>
      </c>
      <c r="Q20" s="325">
        <f t="shared" si="4"/>
        <v>0</v>
      </c>
      <c r="R20" s="325">
        <f t="shared" si="4"/>
        <v>0</v>
      </c>
      <c r="S20" s="325">
        <f t="shared" si="4"/>
        <v>0</v>
      </c>
      <c r="T20" s="325">
        <f t="shared" si="4"/>
        <v>0</v>
      </c>
      <c r="U20" s="325">
        <f t="shared" si="4"/>
        <v>0</v>
      </c>
      <c r="V20" s="325">
        <f t="shared" si="4"/>
        <v>0</v>
      </c>
      <c r="W20" s="325">
        <f t="shared" ref="W20:AB20" si="5">IF(AND(SRECs_Applicable?="Yes",W17&lt;=SREC_Term_Yrs),V20,0)*(1+SREC_Increase_Decrease)</f>
        <v>0</v>
      </c>
      <c r="X20" s="325">
        <f t="shared" si="5"/>
        <v>0</v>
      </c>
      <c r="Y20" s="325">
        <f t="shared" si="5"/>
        <v>0</v>
      </c>
      <c r="Z20" s="325">
        <f t="shared" si="5"/>
        <v>0</v>
      </c>
      <c r="AA20" s="325">
        <f t="shared" si="5"/>
        <v>0</v>
      </c>
      <c r="AB20" s="325">
        <f t="shared" si="5"/>
        <v>0</v>
      </c>
      <c r="AC20" s="325"/>
    </row>
    <row r="21" spans="1:29" ht="14" x14ac:dyDescent="0.2">
      <c r="A21" s="3"/>
      <c r="B21" s="210" t="s">
        <v>241</v>
      </c>
      <c r="C21" s="229"/>
      <c r="D21" s="250">
        <f>P50_Production_1st_Yr</f>
        <v>498673.62999999925</v>
      </c>
      <c r="E21" s="250">
        <f t="shared" ref="E21:V21" si="6">D21*(1-Panel_Degradation_Rate)</f>
        <v>496180.26184999925</v>
      </c>
      <c r="F21" s="250">
        <f t="shared" si="6"/>
        <v>493699.36054074927</v>
      </c>
      <c r="G21" s="250">
        <f t="shared" si="6"/>
        <v>491230.8637380455</v>
      </c>
      <c r="H21" s="250">
        <f t="shared" si="6"/>
        <v>488774.70941935526</v>
      </c>
      <c r="I21" s="250">
        <f t="shared" si="6"/>
        <v>486330.83587225847</v>
      </c>
      <c r="J21" s="250">
        <f t="shared" si="6"/>
        <v>483899.18169289717</v>
      </c>
      <c r="K21" s="250">
        <f t="shared" si="6"/>
        <v>481479.68578443269</v>
      </c>
      <c r="L21" s="250">
        <f t="shared" si="6"/>
        <v>479072.28735551052</v>
      </c>
      <c r="M21" s="250">
        <f t="shared" si="6"/>
        <v>476676.92591873294</v>
      </c>
      <c r="N21" s="250">
        <f t="shared" si="6"/>
        <v>474293.54128913931</v>
      </c>
      <c r="O21" s="250">
        <f t="shared" si="6"/>
        <v>471922.07358269359</v>
      </c>
      <c r="P21" s="250">
        <f t="shared" si="6"/>
        <v>469562.46321478009</v>
      </c>
      <c r="Q21" s="250">
        <f t="shared" si="6"/>
        <v>467214.65089870617</v>
      </c>
      <c r="R21" s="250">
        <f t="shared" si="6"/>
        <v>464878.57764421264</v>
      </c>
      <c r="S21" s="250">
        <f t="shared" si="6"/>
        <v>462554.18475599156</v>
      </c>
      <c r="T21" s="250">
        <f t="shared" si="6"/>
        <v>460241.41383221158</v>
      </c>
      <c r="U21" s="250">
        <f t="shared" si="6"/>
        <v>457940.20676305052</v>
      </c>
      <c r="V21" s="250">
        <f t="shared" si="6"/>
        <v>455650.50572923524</v>
      </c>
      <c r="W21" s="250">
        <f t="shared" ref="W21:AB21" si="7">V21*(1-Panel_Degradation_Rate)</f>
        <v>453372.25320058904</v>
      </c>
      <c r="X21" s="250">
        <f t="shared" si="7"/>
        <v>451105.39193458611</v>
      </c>
      <c r="Y21" s="250">
        <f t="shared" si="7"/>
        <v>448849.86497491319</v>
      </c>
      <c r="Z21" s="250">
        <f t="shared" si="7"/>
        <v>446605.61565003864</v>
      </c>
      <c r="AA21" s="250">
        <f t="shared" si="7"/>
        <v>444372.58757178846</v>
      </c>
      <c r="AB21" s="250">
        <f t="shared" si="7"/>
        <v>442150.72463392949</v>
      </c>
      <c r="AC21" s="250"/>
    </row>
    <row r="22" spans="1:29" ht="14" x14ac:dyDescent="0.2">
      <c r="A22" s="3"/>
      <c r="B22" s="210" t="s">
        <v>455</v>
      </c>
      <c r="C22" s="229"/>
      <c r="D22" s="325">
        <f>PTC_Starting_Rate_Dollars_per_MWh</f>
        <v>26</v>
      </c>
      <c r="E22" s="325">
        <f t="shared" ref="E22:AB22" si="8">IF(E17&lt;=PTC_Term_in_Years,D22*(1+PTC_Annual_Inflator_Rate_Percent),0)</f>
        <v>26.52</v>
      </c>
      <c r="F22" s="325">
        <f t="shared" si="8"/>
        <v>27.0504</v>
      </c>
      <c r="G22" s="325">
        <f t="shared" si="8"/>
        <v>27.591408000000001</v>
      </c>
      <c r="H22" s="325">
        <f t="shared" si="8"/>
        <v>28.143236160000001</v>
      </c>
      <c r="I22" s="325">
        <f t="shared" si="8"/>
        <v>28.706100883200001</v>
      </c>
      <c r="J22" s="325">
        <f t="shared" si="8"/>
        <v>29.280222900864</v>
      </c>
      <c r="K22" s="325">
        <f t="shared" si="8"/>
        <v>29.86582735888128</v>
      </c>
      <c r="L22" s="325">
        <f t="shared" si="8"/>
        <v>30.463143906058907</v>
      </c>
      <c r="M22" s="325">
        <f t="shared" si="8"/>
        <v>31.072406784180085</v>
      </c>
      <c r="N22" s="325">
        <f t="shared" si="8"/>
        <v>0</v>
      </c>
      <c r="O22" s="325">
        <f t="shared" si="8"/>
        <v>0</v>
      </c>
      <c r="P22" s="325">
        <f t="shared" si="8"/>
        <v>0</v>
      </c>
      <c r="Q22" s="325">
        <f t="shared" si="8"/>
        <v>0</v>
      </c>
      <c r="R22" s="325">
        <f t="shared" si="8"/>
        <v>0</v>
      </c>
      <c r="S22" s="325">
        <f t="shared" si="8"/>
        <v>0</v>
      </c>
      <c r="T22" s="325">
        <f t="shared" si="8"/>
        <v>0</v>
      </c>
      <c r="U22" s="325">
        <f t="shared" si="8"/>
        <v>0</v>
      </c>
      <c r="V22" s="325">
        <f t="shared" si="8"/>
        <v>0</v>
      </c>
      <c r="W22" s="325">
        <f t="shared" si="8"/>
        <v>0</v>
      </c>
      <c r="X22" s="325">
        <f t="shared" si="8"/>
        <v>0</v>
      </c>
      <c r="Y22" s="325">
        <f t="shared" si="8"/>
        <v>0</v>
      </c>
      <c r="Z22" s="325">
        <f t="shared" si="8"/>
        <v>0</v>
      </c>
      <c r="AA22" s="325">
        <f t="shared" si="8"/>
        <v>0</v>
      </c>
      <c r="AB22" s="325">
        <f t="shared" si="8"/>
        <v>0</v>
      </c>
      <c r="AC22" s="250"/>
    </row>
    <row r="23" spans="1:29" ht="14" x14ac:dyDescent="0.2">
      <c r="A23" s="3"/>
      <c r="B23" s="210" t="s">
        <v>252</v>
      </c>
      <c r="C23" s="229"/>
      <c r="D23" s="250">
        <f t="shared" ref="D23:AB23" si="9">IF(D17&lt;=SREC_Term_Yrs,D21/SREC_Size_kWh_per_SREC,0)</f>
        <v>498.67362999999926</v>
      </c>
      <c r="E23" s="250">
        <f t="shared" si="9"/>
        <v>496.18026184999923</v>
      </c>
      <c r="F23" s="250">
        <f t="shared" si="9"/>
        <v>493.6993605407493</v>
      </c>
      <c r="G23" s="250">
        <f t="shared" si="9"/>
        <v>491.23086373804551</v>
      </c>
      <c r="H23" s="250">
        <f t="shared" si="9"/>
        <v>488.77470941935525</v>
      </c>
      <c r="I23" s="250">
        <f t="shared" si="9"/>
        <v>486.33083587225849</v>
      </c>
      <c r="J23" s="250">
        <f t="shared" si="9"/>
        <v>483.89918169289717</v>
      </c>
      <c r="K23" s="250">
        <f t="shared" si="9"/>
        <v>481.47968578443266</v>
      </c>
      <c r="L23" s="250">
        <f t="shared" si="9"/>
        <v>479.07228735551053</v>
      </c>
      <c r="M23" s="250">
        <f t="shared" si="9"/>
        <v>476.67692591873293</v>
      </c>
      <c r="N23" s="250">
        <f t="shared" si="9"/>
        <v>0</v>
      </c>
      <c r="O23" s="250">
        <f t="shared" si="9"/>
        <v>0</v>
      </c>
      <c r="P23" s="250">
        <f t="shared" si="9"/>
        <v>0</v>
      </c>
      <c r="Q23" s="250">
        <f t="shared" si="9"/>
        <v>0</v>
      </c>
      <c r="R23" s="250">
        <f t="shared" si="9"/>
        <v>0</v>
      </c>
      <c r="S23" s="250">
        <f t="shared" si="9"/>
        <v>0</v>
      </c>
      <c r="T23" s="250">
        <f t="shared" si="9"/>
        <v>0</v>
      </c>
      <c r="U23" s="250">
        <f t="shared" si="9"/>
        <v>0</v>
      </c>
      <c r="V23" s="250">
        <f t="shared" si="9"/>
        <v>0</v>
      </c>
      <c r="W23" s="250">
        <f t="shared" si="9"/>
        <v>0</v>
      </c>
      <c r="X23" s="250">
        <f t="shared" si="9"/>
        <v>0</v>
      </c>
      <c r="Y23" s="250">
        <f t="shared" si="9"/>
        <v>0</v>
      </c>
      <c r="Z23" s="250">
        <f t="shared" si="9"/>
        <v>0</v>
      </c>
      <c r="AA23" s="250">
        <f t="shared" si="9"/>
        <v>0</v>
      </c>
      <c r="AB23" s="250">
        <f t="shared" si="9"/>
        <v>0</v>
      </c>
      <c r="AC23" s="250"/>
    </row>
    <row r="24" spans="1:29" ht="14" x14ac:dyDescent="0.2">
      <c r="A24" s="3"/>
      <c r="B24" s="210"/>
      <c r="C24" s="229"/>
      <c r="D24" s="250"/>
      <c r="E24" s="250"/>
      <c r="F24" s="250"/>
      <c r="G24" s="250"/>
      <c r="H24" s="250"/>
      <c r="I24" s="250"/>
      <c r="J24" s="250"/>
      <c r="K24" s="250"/>
      <c r="L24" s="250"/>
      <c r="M24" s="250"/>
      <c r="N24" s="250"/>
      <c r="O24" s="250"/>
      <c r="P24" s="250"/>
      <c r="Q24" s="250"/>
      <c r="R24" s="250"/>
      <c r="S24" s="250"/>
      <c r="T24" s="250"/>
      <c r="U24" s="250"/>
      <c r="V24" s="250"/>
      <c r="W24" s="250"/>
      <c r="X24" s="250"/>
      <c r="Y24" s="250"/>
      <c r="Z24" s="250"/>
      <c r="AA24" s="250"/>
      <c r="AB24" s="250"/>
      <c r="AC24" s="250"/>
    </row>
    <row r="25" spans="1:29" ht="14" x14ac:dyDescent="0.2">
      <c r="A25" s="3"/>
      <c r="B25" s="233" t="s">
        <v>372</v>
      </c>
      <c r="C25" s="229"/>
      <c r="D25" s="251"/>
      <c r="E25" s="252"/>
      <c r="F25" s="252"/>
      <c r="G25" s="251"/>
      <c r="H25" s="251"/>
      <c r="I25" s="251"/>
      <c r="J25" s="251"/>
      <c r="K25" s="251"/>
      <c r="L25" s="251"/>
      <c r="M25" s="251"/>
      <c r="N25" s="251"/>
      <c r="O25" s="251"/>
      <c r="P25" s="251"/>
      <c r="Q25" s="251"/>
      <c r="R25" s="251"/>
      <c r="S25" s="251"/>
      <c r="T25" s="251"/>
      <c r="U25" s="251"/>
      <c r="V25" s="251"/>
      <c r="W25" s="251"/>
      <c r="X25" s="251"/>
      <c r="Y25" s="251"/>
      <c r="Z25" s="251"/>
      <c r="AA25" s="251"/>
      <c r="AB25" s="251"/>
      <c r="AC25" s="251"/>
    </row>
    <row r="26" spans="1:29" ht="14" x14ac:dyDescent="0.2">
      <c r="A26" s="3"/>
      <c r="B26" s="216" t="s">
        <v>81</v>
      </c>
      <c r="C26" s="253"/>
      <c r="D26" s="228">
        <f t="shared" ref="D26:AB26" si="10">D21*D19</f>
        <v>36418.923186827582</v>
      </c>
      <c r="E26" s="228">
        <f t="shared" si="10"/>
        <v>37142.749285165773</v>
      </c>
      <c r="F26" s="228">
        <f t="shared" si="10"/>
        <v>37880.961427208444</v>
      </c>
      <c r="G26" s="228">
        <f t="shared" si="10"/>
        <v>38633.845535574204</v>
      </c>
      <c r="H26" s="228">
        <f t="shared" si="10"/>
        <v>39401.693215593739</v>
      </c>
      <c r="I26" s="228">
        <f t="shared" si="10"/>
        <v>40184.801868253664</v>
      </c>
      <c r="J26" s="228">
        <f t="shared" si="10"/>
        <v>40983.474805385194</v>
      </c>
      <c r="K26" s="228">
        <f t="shared" si="10"/>
        <v>41798.021367142224</v>
      </c>
      <c r="L26" s="228">
        <f t="shared" si="10"/>
        <v>42628.757041814169</v>
      </c>
      <c r="M26" s="228">
        <f t="shared" si="10"/>
        <v>43476.003588020219</v>
      </c>
      <c r="N26" s="228">
        <f t="shared" si="10"/>
        <v>44340.089159332121</v>
      </c>
      <c r="O26" s="228">
        <f t="shared" si="10"/>
        <v>45221.348431373845</v>
      </c>
      <c r="P26" s="228">
        <f t="shared" si="10"/>
        <v>46120.122731447387</v>
      </c>
      <c r="Q26" s="228">
        <f t="shared" si="10"/>
        <v>47036.760170734902</v>
      </c>
      <c r="R26" s="228">
        <f t="shared" si="10"/>
        <v>47971.615779128253</v>
      </c>
      <c r="S26" s="228">
        <f t="shared" si="10"/>
        <v>48925.051642738421</v>
      </c>
      <c r="T26" s="228">
        <f t="shared" si="10"/>
        <v>49897.437044137834</v>
      </c>
      <c r="U26" s="228">
        <f t="shared" si="10"/>
        <v>50889.148605390073</v>
      </c>
      <c r="V26" s="228">
        <f t="shared" si="10"/>
        <v>51900.570433922199</v>
      </c>
      <c r="W26" s="228">
        <f t="shared" si="10"/>
        <v>52932.094271296388</v>
      </c>
      <c r="X26" s="228">
        <f t="shared" si="10"/>
        <v>53984.119644938401</v>
      </c>
      <c r="Y26" s="228">
        <f t="shared" si="10"/>
        <v>55057.054022881544</v>
      </c>
      <c r="Z26" s="228">
        <f t="shared" si="10"/>
        <v>56151.312971586318</v>
      </c>
      <c r="AA26" s="228">
        <f t="shared" si="10"/>
        <v>57267.320316896585</v>
      </c>
      <c r="AB26" s="228">
        <f t="shared" si="10"/>
        <v>58405.508308194898</v>
      </c>
      <c r="AC26" s="228"/>
    </row>
    <row r="27" spans="1:29" ht="14" x14ac:dyDescent="0.2">
      <c r="A27" s="3"/>
      <c r="B27" s="216" t="s">
        <v>104</v>
      </c>
      <c r="C27" s="253"/>
      <c r="D27" s="196">
        <f t="shared" ref="D27:AB27" si="11">D23*D20</f>
        <v>0</v>
      </c>
      <c r="E27" s="196">
        <f t="shared" si="11"/>
        <v>0</v>
      </c>
      <c r="F27" s="196">
        <f t="shared" si="11"/>
        <v>0</v>
      </c>
      <c r="G27" s="196">
        <f t="shared" si="11"/>
        <v>0</v>
      </c>
      <c r="H27" s="196">
        <f t="shared" si="11"/>
        <v>0</v>
      </c>
      <c r="I27" s="196">
        <f t="shared" si="11"/>
        <v>0</v>
      </c>
      <c r="J27" s="196">
        <f t="shared" si="11"/>
        <v>0</v>
      </c>
      <c r="K27" s="196">
        <f t="shared" si="11"/>
        <v>0</v>
      </c>
      <c r="L27" s="196">
        <f t="shared" si="11"/>
        <v>0</v>
      </c>
      <c r="M27" s="196">
        <f t="shared" si="11"/>
        <v>0</v>
      </c>
      <c r="N27" s="196">
        <f t="shared" si="11"/>
        <v>0</v>
      </c>
      <c r="O27" s="196">
        <f t="shared" si="11"/>
        <v>0</v>
      </c>
      <c r="P27" s="196">
        <f t="shared" si="11"/>
        <v>0</v>
      </c>
      <c r="Q27" s="196">
        <f t="shared" si="11"/>
        <v>0</v>
      </c>
      <c r="R27" s="196">
        <f t="shared" si="11"/>
        <v>0</v>
      </c>
      <c r="S27" s="196">
        <f t="shared" si="11"/>
        <v>0</v>
      </c>
      <c r="T27" s="196">
        <f t="shared" si="11"/>
        <v>0</v>
      </c>
      <c r="U27" s="196">
        <f t="shared" si="11"/>
        <v>0</v>
      </c>
      <c r="V27" s="196">
        <f t="shared" si="11"/>
        <v>0</v>
      </c>
      <c r="W27" s="196">
        <f t="shared" si="11"/>
        <v>0</v>
      </c>
      <c r="X27" s="196">
        <f t="shared" si="11"/>
        <v>0</v>
      </c>
      <c r="Y27" s="196">
        <f t="shared" si="11"/>
        <v>0</v>
      </c>
      <c r="Z27" s="196">
        <f t="shared" si="11"/>
        <v>0</v>
      </c>
      <c r="AA27" s="196">
        <f t="shared" si="11"/>
        <v>0</v>
      </c>
      <c r="AB27" s="196">
        <f t="shared" si="11"/>
        <v>0</v>
      </c>
      <c r="AC27" s="196"/>
    </row>
    <row r="28" spans="1:29" ht="14" x14ac:dyDescent="0.2">
      <c r="A28" s="3"/>
      <c r="B28" s="210" t="s">
        <v>105</v>
      </c>
      <c r="C28" s="253"/>
      <c r="D28" s="183">
        <f>SUM(D26:D27)</f>
        <v>36418.923186827582</v>
      </c>
      <c r="E28" s="183">
        <f t="shared" ref="E28:V28" si="12">SUM(E26:E27)</f>
        <v>37142.749285165773</v>
      </c>
      <c r="F28" s="183">
        <f t="shared" si="12"/>
        <v>37880.961427208444</v>
      </c>
      <c r="G28" s="183">
        <f t="shared" si="12"/>
        <v>38633.845535574204</v>
      </c>
      <c r="H28" s="183">
        <f t="shared" si="12"/>
        <v>39401.693215593739</v>
      </c>
      <c r="I28" s="183">
        <f t="shared" si="12"/>
        <v>40184.801868253664</v>
      </c>
      <c r="J28" s="183">
        <f t="shared" si="12"/>
        <v>40983.474805385194</v>
      </c>
      <c r="K28" s="183">
        <f t="shared" si="12"/>
        <v>41798.021367142224</v>
      </c>
      <c r="L28" s="183">
        <f t="shared" si="12"/>
        <v>42628.757041814169</v>
      </c>
      <c r="M28" s="183">
        <f t="shared" si="12"/>
        <v>43476.003588020219</v>
      </c>
      <c r="N28" s="183">
        <f t="shared" si="12"/>
        <v>44340.089159332121</v>
      </c>
      <c r="O28" s="183">
        <f t="shared" si="12"/>
        <v>45221.348431373845</v>
      </c>
      <c r="P28" s="183">
        <f t="shared" si="12"/>
        <v>46120.122731447387</v>
      </c>
      <c r="Q28" s="183">
        <f t="shared" si="12"/>
        <v>47036.760170734902</v>
      </c>
      <c r="R28" s="183">
        <f t="shared" si="12"/>
        <v>47971.615779128253</v>
      </c>
      <c r="S28" s="183">
        <f t="shared" si="12"/>
        <v>48925.051642738421</v>
      </c>
      <c r="T28" s="183">
        <f t="shared" si="12"/>
        <v>49897.437044137834</v>
      </c>
      <c r="U28" s="183">
        <f t="shared" si="12"/>
        <v>50889.148605390073</v>
      </c>
      <c r="V28" s="183">
        <f t="shared" si="12"/>
        <v>51900.570433922199</v>
      </c>
      <c r="W28" s="183">
        <f t="shared" ref="W28:AB28" si="13">SUM(W26:W27)</f>
        <v>52932.094271296388</v>
      </c>
      <c r="X28" s="183">
        <f t="shared" si="13"/>
        <v>53984.119644938401</v>
      </c>
      <c r="Y28" s="183">
        <f t="shared" si="13"/>
        <v>55057.054022881544</v>
      </c>
      <c r="Z28" s="183">
        <f t="shared" si="13"/>
        <v>56151.312971586318</v>
      </c>
      <c r="AA28" s="183">
        <f t="shared" si="13"/>
        <v>57267.320316896585</v>
      </c>
      <c r="AB28" s="183">
        <f t="shared" si="13"/>
        <v>58405.508308194898</v>
      </c>
      <c r="AC28" s="183"/>
    </row>
    <row r="29" spans="1:29" ht="15" thickBot="1" x14ac:dyDescent="0.25">
      <c r="A29" s="3"/>
      <c r="B29" s="216" t="s">
        <v>197</v>
      </c>
      <c r="C29" s="253"/>
      <c r="D29" s="247">
        <f>State_Sales_Tax*Unstructured!D28</f>
        <v>2549.3246230779309</v>
      </c>
      <c r="E29" s="247">
        <f>State_Sales_Tax*Unstructured!E28</f>
        <v>2599.9924499616045</v>
      </c>
      <c r="F29" s="247">
        <f>State_Sales_Tax*Unstructured!F28</f>
        <v>2651.6672999045913</v>
      </c>
      <c r="G29" s="247">
        <f>State_Sales_Tax*Unstructured!G28</f>
        <v>2704.3691874901947</v>
      </c>
      <c r="H29" s="247">
        <f>State_Sales_Tax*Unstructured!H28</f>
        <v>2758.1185250915619</v>
      </c>
      <c r="I29" s="247">
        <f>State_Sales_Tax*Unstructured!I28</f>
        <v>2812.9361307777567</v>
      </c>
      <c r="J29" s="247">
        <f>State_Sales_Tax*Unstructured!J28</f>
        <v>2868.8432363769639</v>
      </c>
      <c r="K29" s="247">
        <f>State_Sales_Tax*Unstructured!K28</f>
        <v>2925.8614956999559</v>
      </c>
      <c r="L29" s="247">
        <f>State_Sales_Tax*Unstructured!L28</f>
        <v>2984.012992926992</v>
      </c>
      <c r="M29" s="247">
        <f>State_Sales_Tax*Unstructured!M28</f>
        <v>3043.3202511614159</v>
      </c>
      <c r="N29" s="247">
        <f>State_Sales_Tax*Unstructured!N28</f>
        <v>3103.8062411532487</v>
      </c>
      <c r="O29" s="247">
        <f>State_Sales_Tax*Unstructured!O28</f>
        <v>3165.4943901961692</v>
      </c>
      <c r="P29" s="247">
        <f>State_Sales_Tax*Unstructured!P28</f>
        <v>3228.4085912013174</v>
      </c>
      <c r="Q29" s="247">
        <f>State_Sales_Tax*Unstructured!Q28</f>
        <v>3292.5732119514437</v>
      </c>
      <c r="R29" s="247">
        <f>State_Sales_Tax*Unstructured!R28</f>
        <v>3358.013104538978</v>
      </c>
      <c r="S29" s="247">
        <f>State_Sales_Tax*Unstructured!S28</f>
        <v>3424.7536149916896</v>
      </c>
      <c r="T29" s="247">
        <f>State_Sales_Tax*Unstructured!T28</f>
        <v>3492.8205930896488</v>
      </c>
      <c r="U29" s="247">
        <f>State_Sales_Tax*Unstructured!U28</f>
        <v>3562.2404023773056</v>
      </c>
      <c r="V29" s="247">
        <f>State_Sales_Tax*Unstructured!V28</f>
        <v>3633.0399303745544</v>
      </c>
      <c r="W29" s="247">
        <f>State_Sales_Tax*Unstructured!W28</f>
        <v>3705.2465989907473</v>
      </c>
      <c r="X29" s="247">
        <f>State_Sales_Tax*Unstructured!X28</f>
        <v>3778.8883751456883</v>
      </c>
      <c r="Y29" s="247">
        <f>State_Sales_Tax*Unstructured!Y28</f>
        <v>3853.9937816017086</v>
      </c>
      <c r="Z29" s="247">
        <f>State_Sales_Tax*Unstructured!Z28</f>
        <v>3930.5919080110425</v>
      </c>
      <c r="AA29" s="247">
        <f>State_Sales_Tax*Unstructured!AA28</f>
        <v>4008.7124221827612</v>
      </c>
      <c r="AB29" s="247">
        <f>State_Sales_Tax*Unstructured!AB28</f>
        <v>4088.3855815736433</v>
      </c>
      <c r="AC29" s="247"/>
    </row>
    <row r="30" spans="1:29" ht="15" thickTop="1" x14ac:dyDescent="0.2">
      <c r="A30" s="3"/>
      <c r="B30" s="233" t="s">
        <v>143</v>
      </c>
      <c r="C30" s="253"/>
      <c r="D30" s="254">
        <f>SUM(D28-D29)</f>
        <v>33869.598563749649</v>
      </c>
      <c r="E30" s="254">
        <f t="shared" ref="E30:V30" si="14">SUM(E28-E29)</f>
        <v>34542.756835204171</v>
      </c>
      <c r="F30" s="254">
        <f t="shared" si="14"/>
        <v>35229.294127303852</v>
      </c>
      <c r="G30" s="254">
        <f t="shared" si="14"/>
        <v>35929.476348084012</v>
      </c>
      <c r="H30" s="254">
        <f t="shared" si="14"/>
        <v>36643.574690502181</v>
      </c>
      <c r="I30" s="254">
        <f t="shared" si="14"/>
        <v>37371.865737475906</v>
      </c>
      <c r="J30" s="254">
        <f t="shared" si="14"/>
        <v>38114.631569008234</v>
      </c>
      <c r="K30" s="254">
        <f t="shared" si="14"/>
        <v>38872.159871442265</v>
      </c>
      <c r="L30" s="254">
        <f t="shared" si="14"/>
        <v>39644.74404888718</v>
      </c>
      <c r="M30" s="254">
        <f t="shared" si="14"/>
        <v>40432.683336858805</v>
      </c>
      <c r="N30" s="254">
        <f t="shared" si="14"/>
        <v>41236.282918178869</v>
      </c>
      <c r="O30" s="254">
        <f t="shared" si="14"/>
        <v>42055.854041177678</v>
      </c>
      <c r="P30" s="254">
        <f t="shared" si="14"/>
        <v>42891.714140246069</v>
      </c>
      <c r="Q30" s="254">
        <f t="shared" si="14"/>
        <v>43744.186958783459</v>
      </c>
      <c r="R30" s="254">
        <f t="shared" si="14"/>
        <v>44613.602674589274</v>
      </c>
      <c r="S30" s="254">
        <f t="shared" si="14"/>
        <v>45500.298027746729</v>
      </c>
      <c r="T30" s="254">
        <f t="shared" si="14"/>
        <v>46404.616451048183</v>
      </c>
      <c r="U30" s="254">
        <f t="shared" si="14"/>
        <v>47326.908203012768</v>
      </c>
      <c r="V30" s="254">
        <f t="shared" si="14"/>
        <v>48267.530503547649</v>
      </c>
      <c r="W30" s="254">
        <f t="shared" ref="W30:AB30" si="15">SUM(W28-W29)</f>
        <v>49226.847672305637</v>
      </c>
      <c r="X30" s="254">
        <f t="shared" si="15"/>
        <v>50205.231269792712</v>
      </c>
      <c r="Y30" s="254">
        <f t="shared" si="15"/>
        <v>51203.060241279833</v>
      </c>
      <c r="Z30" s="254">
        <f t="shared" si="15"/>
        <v>52220.721063575278</v>
      </c>
      <c r="AA30" s="254">
        <f t="shared" si="15"/>
        <v>53258.607894713823</v>
      </c>
      <c r="AB30" s="254">
        <f t="shared" si="15"/>
        <v>54317.122726621252</v>
      </c>
      <c r="AC30" s="254"/>
    </row>
    <row r="31" spans="1:29" x14ac:dyDescent="0.15">
      <c r="A31" s="3"/>
      <c r="B31" s="234"/>
      <c r="C31" s="253"/>
      <c r="D31" s="253"/>
      <c r="E31" s="253"/>
      <c r="F31" s="253"/>
      <c r="G31" s="253"/>
      <c r="H31" s="253"/>
      <c r="I31" s="253"/>
      <c r="J31" s="253"/>
      <c r="K31" s="253"/>
      <c r="L31" s="253"/>
      <c r="M31" s="253"/>
      <c r="N31" s="253"/>
      <c r="O31" s="253"/>
      <c r="P31" s="253"/>
      <c r="Q31" s="253"/>
      <c r="R31" s="253"/>
      <c r="S31" s="253"/>
      <c r="T31" s="253"/>
      <c r="U31" s="253"/>
      <c r="V31" s="253"/>
      <c r="W31" s="253"/>
      <c r="X31" s="253"/>
      <c r="Y31" s="253"/>
      <c r="Z31" s="253"/>
      <c r="AA31" s="253"/>
      <c r="AB31" s="253"/>
      <c r="AC31" s="253"/>
    </row>
    <row r="32" spans="1:29" ht="14" x14ac:dyDescent="0.2">
      <c r="A32" s="3"/>
      <c r="B32" s="233" t="s">
        <v>270</v>
      </c>
      <c r="C32" s="253"/>
      <c r="D32" s="253"/>
      <c r="E32" s="253"/>
      <c r="F32" s="253"/>
      <c r="G32" s="253"/>
      <c r="H32" s="253"/>
      <c r="I32" s="253"/>
      <c r="J32" s="253"/>
      <c r="K32" s="253"/>
      <c r="L32" s="253"/>
      <c r="M32" s="253"/>
      <c r="N32" s="253"/>
      <c r="O32" s="253"/>
      <c r="P32" s="253"/>
      <c r="Q32" s="253"/>
      <c r="R32" s="253"/>
      <c r="S32" s="253"/>
      <c r="T32" s="253"/>
      <c r="U32" s="253"/>
      <c r="V32" s="253"/>
      <c r="W32" s="253"/>
      <c r="X32" s="253"/>
      <c r="Y32" s="253"/>
      <c r="Z32" s="253"/>
      <c r="AA32" s="253"/>
      <c r="AB32" s="253"/>
      <c r="AC32" s="253"/>
    </row>
    <row r="33" spans="1:29" ht="14" x14ac:dyDescent="0.2">
      <c r="A33" s="3"/>
      <c r="B33" s="210" t="s">
        <v>253</v>
      </c>
      <c r="C33" s="253"/>
      <c r="D33" s="228">
        <f>OandM_Cost_per_W_DC*Size_of_System_in_W_DC</f>
        <v>5848.2450000000008</v>
      </c>
      <c r="E33" s="228">
        <f t="shared" ref="E33:AB33" si="16">Size_of_System_in_W_DC*(OandM_Cost_per_W_DC*((1+OandM_Cost_Escalator)^(E17-1)))</f>
        <v>5965.2099000000007</v>
      </c>
      <c r="F33" s="228">
        <f t="shared" si="16"/>
        <v>6084.5140979999996</v>
      </c>
      <c r="G33" s="228">
        <f t="shared" si="16"/>
        <v>6206.2043799599996</v>
      </c>
      <c r="H33" s="228">
        <f t="shared" si="16"/>
        <v>6330.3284675592004</v>
      </c>
      <c r="I33" s="228">
        <f t="shared" si="16"/>
        <v>6456.935036910385</v>
      </c>
      <c r="J33" s="228">
        <f t="shared" si="16"/>
        <v>6586.0737376485931</v>
      </c>
      <c r="K33" s="228">
        <f t="shared" si="16"/>
        <v>6717.7952124015628</v>
      </c>
      <c r="L33" s="228">
        <f t="shared" si="16"/>
        <v>6852.1511166495948</v>
      </c>
      <c r="M33" s="228">
        <f t="shared" si="16"/>
        <v>6989.194138982587</v>
      </c>
      <c r="N33" s="228">
        <f t="shared" si="16"/>
        <v>7128.9780217622392</v>
      </c>
      <c r="O33" s="228">
        <f t="shared" si="16"/>
        <v>7271.5575821974826</v>
      </c>
      <c r="P33" s="228">
        <f t="shared" si="16"/>
        <v>7416.9887338414328</v>
      </c>
      <c r="Q33" s="228">
        <f t="shared" si="16"/>
        <v>7565.3285085182606</v>
      </c>
      <c r="R33" s="228">
        <f t="shared" si="16"/>
        <v>7716.6350786886278</v>
      </c>
      <c r="S33" s="228">
        <f t="shared" si="16"/>
        <v>7870.9677802623983</v>
      </c>
      <c r="T33" s="228">
        <f t="shared" si="16"/>
        <v>8028.387135867647</v>
      </c>
      <c r="U33" s="228">
        <f t="shared" si="16"/>
        <v>8188.9548785850002</v>
      </c>
      <c r="V33" s="228">
        <f t="shared" si="16"/>
        <v>8352.7339761567</v>
      </c>
      <c r="W33" s="228">
        <f t="shared" si="16"/>
        <v>8519.7886556798348</v>
      </c>
      <c r="X33" s="228">
        <f t="shared" si="16"/>
        <v>8690.1844287934309</v>
      </c>
      <c r="Y33" s="228">
        <f t="shared" si="16"/>
        <v>8863.9881173692993</v>
      </c>
      <c r="Z33" s="228">
        <f t="shared" si="16"/>
        <v>9041.2678797166864</v>
      </c>
      <c r="AA33" s="228">
        <f t="shared" si="16"/>
        <v>9222.0932373110172</v>
      </c>
      <c r="AB33" s="228">
        <f t="shared" si="16"/>
        <v>9406.535102057238</v>
      </c>
      <c r="AC33" s="228"/>
    </row>
    <row r="34" spans="1:29" ht="14" x14ac:dyDescent="0.2">
      <c r="A34" s="3"/>
      <c r="B34" s="210" t="s">
        <v>379</v>
      </c>
      <c r="C34" s="253"/>
      <c r="D34" s="228">
        <f>IF(AND(Site_Purchase_or_Lease?="Lease",Site_Lease_Fixed_or_PercentofRev="% of Revenue"),D30*Site_Lease_Percent_of_Revenue,IF(AND(Site_Purchase_or_Lease?="Lease",Site_Lease_Fixed_or_PercentofRev="Fixed"),Site_Lease_Fixed_Cost,0))</f>
        <v>0</v>
      </c>
      <c r="E34" s="228">
        <f t="shared" ref="E34:AB34" si="17">IF(AND(Site_Purchase_or_Lease?="Lease",Site_Lease_Fixed_or_PercentofRev="% of Revenue"),E30*Site_Lease_Percent_of_Revenue,IF(AND(Site_Purchase_or_Lease?="Lease",Site_Lease_Fixed_or_PercentofRev="Fixed"),Site_Lease_Fixed_Cost*((1+Site_Lease_Fixed_Escalator)^(E17-1)),0))</f>
        <v>0</v>
      </c>
      <c r="F34" s="228">
        <f t="shared" si="17"/>
        <v>0</v>
      </c>
      <c r="G34" s="228">
        <f t="shared" si="17"/>
        <v>0</v>
      </c>
      <c r="H34" s="228">
        <f t="shared" si="17"/>
        <v>0</v>
      </c>
      <c r="I34" s="228">
        <f t="shared" si="17"/>
        <v>0</v>
      </c>
      <c r="J34" s="228">
        <f t="shared" si="17"/>
        <v>0</v>
      </c>
      <c r="K34" s="228">
        <f t="shared" si="17"/>
        <v>0</v>
      </c>
      <c r="L34" s="228">
        <f t="shared" si="17"/>
        <v>0</v>
      </c>
      <c r="M34" s="228">
        <f t="shared" si="17"/>
        <v>0</v>
      </c>
      <c r="N34" s="228">
        <f t="shared" si="17"/>
        <v>0</v>
      </c>
      <c r="O34" s="228">
        <f t="shared" si="17"/>
        <v>0</v>
      </c>
      <c r="P34" s="228">
        <f t="shared" si="17"/>
        <v>0</v>
      </c>
      <c r="Q34" s="228">
        <f t="shared" si="17"/>
        <v>0</v>
      </c>
      <c r="R34" s="228">
        <f t="shared" si="17"/>
        <v>0</v>
      </c>
      <c r="S34" s="228">
        <f t="shared" si="17"/>
        <v>0</v>
      </c>
      <c r="T34" s="228">
        <f t="shared" si="17"/>
        <v>0</v>
      </c>
      <c r="U34" s="228">
        <f t="shared" si="17"/>
        <v>0</v>
      </c>
      <c r="V34" s="228">
        <f t="shared" si="17"/>
        <v>0</v>
      </c>
      <c r="W34" s="228">
        <f t="shared" si="17"/>
        <v>0</v>
      </c>
      <c r="X34" s="228">
        <f t="shared" si="17"/>
        <v>0</v>
      </c>
      <c r="Y34" s="228">
        <f t="shared" si="17"/>
        <v>0</v>
      </c>
      <c r="Z34" s="228">
        <f t="shared" si="17"/>
        <v>0</v>
      </c>
      <c r="AA34" s="228">
        <f t="shared" si="17"/>
        <v>0</v>
      </c>
      <c r="AB34" s="228">
        <f t="shared" si="17"/>
        <v>0</v>
      </c>
      <c r="AC34" s="228"/>
    </row>
    <row r="35" spans="1:29" ht="14" x14ac:dyDescent="0.2">
      <c r="A35" s="3"/>
      <c r="B35" s="210" t="s">
        <v>77</v>
      </c>
      <c r="C35" s="253"/>
      <c r="D35" s="228">
        <f>IF(OR(Site_Purchase_or_Lease?="Purchase",AND(Site_Purchase_or_Lease?="Lease",Site_Lease_Includes_Taxes="No")),Property_Site_Base_Value*Property_Site_Tax_Rate,0)</f>
        <v>0</v>
      </c>
      <c r="E35" s="228">
        <f t="shared" ref="E35:V35" si="18">D35*(1+Property_Site_Value_Adj_Rate)</f>
        <v>0</v>
      </c>
      <c r="F35" s="228">
        <f t="shared" si="18"/>
        <v>0</v>
      </c>
      <c r="G35" s="228">
        <f t="shared" si="18"/>
        <v>0</v>
      </c>
      <c r="H35" s="228">
        <f t="shared" si="18"/>
        <v>0</v>
      </c>
      <c r="I35" s="228">
        <f t="shared" si="18"/>
        <v>0</v>
      </c>
      <c r="J35" s="228">
        <f t="shared" si="18"/>
        <v>0</v>
      </c>
      <c r="K35" s="228">
        <f t="shared" si="18"/>
        <v>0</v>
      </c>
      <c r="L35" s="228">
        <f t="shared" si="18"/>
        <v>0</v>
      </c>
      <c r="M35" s="228">
        <f t="shared" si="18"/>
        <v>0</v>
      </c>
      <c r="N35" s="228">
        <f t="shared" si="18"/>
        <v>0</v>
      </c>
      <c r="O35" s="228">
        <f t="shared" si="18"/>
        <v>0</v>
      </c>
      <c r="P35" s="228">
        <f t="shared" si="18"/>
        <v>0</v>
      </c>
      <c r="Q35" s="228">
        <f t="shared" si="18"/>
        <v>0</v>
      </c>
      <c r="R35" s="228">
        <f t="shared" si="18"/>
        <v>0</v>
      </c>
      <c r="S35" s="228">
        <f t="shared" si="18"/>
        <v>0</v>
      </c>
      <c r="T35" s="228">
        <f t="shared" si="18"/>
        <v>0</v>
      </c>
      <c r="U35" s="228">
        <f t="shared" si="18"/>
        <v>0</v>
      </c>
      <c r="V35" s="228">
        <f t="shared" si="18"/>
        <v>0</v>
      </c>
      <c r="W35" s="228">
        <f t="shared" ref="W35:AB35" si="19">V35*(1+Property_Site_Value_Adj_Rate)</f>
        <v>0</v>
      </c>
      <c r="X35" s="228">
        <f t="shared" si="19"/>
        <v>0</v>
      </c>
      <c r="Y35" s="228">
        <f t="shared" si="19"/>
        <v>0</v>
      </c>
      <c r="Z35" s="228">
        <f t="shared" si="19"/>
        <v>0</v>
      </c>
      <c r="AA35" s="228">
        <f t="shared" si="19"/>
        <v>0</v>
      </c>
      <c r="AB35" s="228">
        <f t="shared" si="19"/>
        <v>0</v>
      </c>
      <c r="AC35" s="228"/>
    </row>
    <row r="36" spans="1:29" ht="14" x14ac:dyDescent="0.2">
      <c r="A36" s="3"/>
      <c r="B36" s="210" t="s">
        <v>78</v>
      </c>
      <c r="C36" s="253"/>
      <c r="D36" s="228">
        <f>Property_Equip_Tax_Rate*Property_Equip_Base_Value</f>
        <v>0</v>
      </c>
      <c r="E36" s="228">
        <f t="shared" ref="E36:AB36" si="20">Property_Equip_Base_Value*((1-Property_Equip_Book_Adj_Rate)^(E17-1)*Property_Equip_Tax_Rate)</f>
        <v>0</v>
      </c>
      <c r="F36" s="228">
        <f t="shared" si="20"/>
        <v>0</v>
      </c>
      <c r="G36" s="228">
        <f t="shared" si="20"/>
        <v>0</v>
      </c>
      <c r="H36" s="228">
        <f t="shared" si="20"/>
        <v>0</v>
      </c>
      <c r="I36" s="228">
        <f t="shared" si="20"/>
        <v>0</v>
      </c>
      <c r="J36" s="228">
        <f t="shared" si="20"/>
        <v>0</v>
      </c>
      <c r="K36" s="228">
        <f t="shared" si="20"/>
        <v>0</v>
      </c>
      <c r="L36" s="228">
        <f t="shared" si="20"/>
        <v>0</v>
      </c>
      <c r="M36" s="228">
        <f t="shared" si="20"/>
        <v>0</v>
      </c>
      <c r="N36" s="228">
        <f t="shared" si="20"/>
        <v>0</v>
      </c>
      <c r="O36" s="228">
        <f t="shared" si="20"/>
        <v>0</v>
      </c>
      <c r="P36" s="228">
        <f t="shared" si="20"/>
        <v>0</v>
      </c>
      <c r="Q36" s="228">
        <f t="shared" si="20"/>
        <v>0</v>
      </c>
      <c r="R36" s="228">
        <f t="shared" si="20"/>
        <v>0</v>
      </c>
      <c r="S36" s="228">
        <f t="shared" si="20"/>
        <v>0</v>
      </c>
      <c r="T36" s="228">
        <f t="shared" si="20"/>
        <v>0</v>
      </c>
      <c r="U36" s="228">
        <f t="shared" si="20"/>
        <v>0</v>
      </c>
      <c r="V36" s="228">
        <f t="shared" si="20"/>
        <v>0</v>
      </c>
      <c r="W36" s="228">
        <f t="shared" si="20"/>
        <v>0</v>
      </c>
      <c r="X36" s="228">
        <f t="shared" si="20"/>
        <v>0</v>
      </c>
      <c r="Y36" s="228">
        <f t="shared" si="20"/>
        <v>0</v>
      </c>
      <c r="Z36" s="228">
        <f t="shared" si="20"/>
        <v>0</v>
      </c>
      <c r="AA36" s="228">
        <f t="shared" si="20"/>
        <v>0</v>
      </c>
      <c r="AB36" s="228">
        <f t="shared" si="20"/>
        <v>0</v>
      </c>
      <c r="AC36" s="228"/>
    </row>
    <row r="37" spans="1:29" ht="15" thickBot="1" x14ac:dyDescent="0.25">
      <c r="A37" s="3"/>
      <c r="B37" s="210" t="s">
        <v>52</v>
      </c>
      <c r="C37" s="253"/>
      <c r="D37" s="247">
        <f>Insurance_Cost_per_Watt_DC*Size_of_System_in_W_DC</f>
        <v>1480.325</v>
      </c>
      <c r="E37" s="247">
        <f t="shared" ref="E37:AB37" si="21">Size_of_System_in_W_DC*((1+Insurance_Cost_Escalator)^(E17-1)*Insurance_Cost_per_Watt_DC)</f>
        <v>1509.9314999999999</v>
      </c>
      <c r="F37" s="247">
        <f t="shared" si="21"/>
        <v>1540.13013</v>
      </c>
      <c r="G37" s="247">
        <f t="shared" si="21"/>
        <v>1570.9327326</v>
      </c>
      <c r="H37" s="247">
        <f t="shared" si="21"/>
        <v>1602.3513872519998</v>
      </c>
      <c r="I37" s="247">
        <f t="shared" si="21"/>
        <v>1634.3984149970402</v>
      </c>
      <c r="J37" s="247">
        <f t="shared" si="21"/>
        <v>1667.086383296981</v>
      </c>
      <c r="K37" s="247">
        <f t="shared" si="21"/>
        <v>1700.4281109629203</v>
      </c>
      <c r="L37" s="247">
        <f t="shared" si="21"/>
        <v>1734.4366731821788</v>
      </c>
      <c r="M37" s="247">
        <f t="shared" si="21"/>
        <v>1769.1254066458223</v>
      </c>
      <c r="N37" s="247">
        <f t="shared" si="21"/>
        <v>1804.507914778739</v>
      </c>
      <c r="O37" s="247">
        <f t="shared" si="21"/>
        <v>1840.5980730743133</v>
      </c>
      <c r="P37" s="247">
        <f t="shared" si="21"/>
        <v>1877.4100345357999</v>
      </c>
      <c r="Q37" s="247">
        <f t="shared" si="21"/>
        <v>1914.9582352265159</v>
      </c>
      <c r="R37" s="247">
        <f t="shared" si="21"/>
        <v>1953.2573999310464</v>
      </c>
      <c r="S37" s="247">
        <f t="shared" si="21"/>
        <v>1992.3225479296668</v>
      </c>
      <c r="T37" s="247">
        <f t="shared" si="21"/>
        <v>2032.1689988882604</v>
      </c>
      <c r="U37" s="247">
        <f t="shared" si="21"/>
        <v>2072.8123788660255</v>
      </c>
      <c r="V37" s="247">
        <f t="shared" si="21"/>
        <v>2114.268626443346</v>
      </c>
      <c r="W37" s="247">
        <f t="shared" si="21"/>
        <v>2156.5539989722129</v>
      </c>
      <c r="X37" s="247">
        <f t="shared" si="21"/>
        <v>2199.685078951657</v>
      </c>
      <c r="Y37" s="247">
        <f t="shared" si="21"/>
        <v>2243.6787805306903</v>
      </c>
      <c r="Z37" s="247">
        <f t="shared" si="21"/>
        <v>2288.5523561413042</v>
      </c>
      <c r="AA37" s="247">
        <f t="shared" si="21"/>
        <v>2334.3234032641299</v>
      </c>
      <c r="AB37" s="247">
        <f t="shared" si="21"/>
        <v>2381.0098713294128</v>
      </c>
      <c r="AC37" s="247"/>
    </row>
    <row r="38" spans="1:29" ht="15" thickTop="1" x14ac:dyDescent="0.2">
      <c r="A38" s="3"/>
      <c r="B38" s="211" t="s">
        <v>271</v>
      </c>
      <c r="C38" s="253"/>
      <c r="D38" s="228">
        <f>SUM(D33:D37)</f>
        <v>7328.5700000000006</v>
      </c>
      <c r="E38" s="228">
        <f>SUM(E33:E37)</f>
        <v>7475.1414000000004</v>
      </c>
      <c r="F38" s="228">
        <f t="shared" ref="F38:V38" si="22">SUM(F33:F37)</f>
        <v>7624.6442279999992</v>
      </c>
      <c r="G38" s="228">
        <f t="shared" si="22"/>
        <v>7777.1371125599999</v>
      </c>
      <c r="H38" s="228">
        <f t="shared" si="22"/>
        <v>7932.6798548112001</v>
      </c>
      <c r="I38" s="228">
        <f t="shared" si="22"/>
        <v>8091.3334519074251</v>
      </c>
      <c r="J38" s="228">
        <f t="shared" si="22"/>
        <v>8253.1601209455748</v>
      </c>
      <c r="K38" s="228">
        <f t="shared" si="22"/>
        <v>8418.2233233644838</v>
      </c>
      <c r="L38" s="228">
        <f t="shared" si="22"/>
        <v>8586.587789831774</v>
      </c>
      <c r="M38" s="228">
        <f t="shared" si="22"/>
        <v>8758.3195456284084</v>
      </c>
      <c r="N38" s="228">
        <f t="shared" si="22"/>
        <v>8933.4859365409775</v>
      </c>
      <c r="O38" s="228">
        <f t="shared" si="22"/>
        <v>9112.1556552717957</v>
      </c>
      <c r="P38" s="228">
        <f t="shared" si="22"/>
        <v>9294.398768377232</v>
      </c>
      <c r="Q38" s="228">
        <f t="shared" si="22"/>
        <v>9480.2867437447767</v>
      </c>
      <c r="R38" s="228">
        <f t="shared" si="22"/>
        <v>9669.8924786196749</v>
      </c>
      <c r="S38" s="228">
        <f t="shared" si="22"/>
        <v>9863.2903281920644</v>
      </c>
      <c r="T38" s="228">
        <f t="shared" si="22"/>
        <v>10060.556134755907</v>
      </c>
      <c r="U38" s="228">
        <f t="shared" si="22"/>
        <v>10261.767257451025</v>
      </c>
      <c r="V38" s="228">
        <f t="shared" si="22"/>
        <v>10467.002602600045</v>
      </c>
      <c r="W38" s="228">
        <f t="shared" ref="W38:AB38" si="23">SUM(W33:W37)</f>
        <v>10676.342654652048</v>
      </c>
      <c r="X38" s="228">
        <f t="shared" si="23"/>
        <v>10889.869507745088</v>
      </c>
      <c r="Y38" s="228">
        <f t="shared" si="23"/>
        <v>11107.66689789999</v>
      </c>
      <c r="Z38" s="228">
        <f t="shared" si="23"/>
        <v>11329.820235857991</v>
      </c>
      <c r="AA38" s="228">
        <f t="shared" si="23"/>
        <v>11556.416640575148</v>
      </c>
      <c r="AB38" s="228">
        <f t="shared" si="23"/>
        <v>11787.544973386652</v>
      </c>
      <c r="AC38" s="228"/>
    </row>
    <row r="39" spans="1:29" ht="14" x14ac:dyDescent="0.2">
      <c r="A39" s="3"/>
      <c r="B39" s="211"/>
      <c r="C39" s="253"/>
      <c r="D39" s="228"/>
      <c r="E39" s="228"/>
      <c r="F39" s="228"/>
      <c r="G39" s="228"/>
      <c r="H39" s="228"/>
      <c r="I39" s="228"/>
      <c r="J39" s="228"/>
      <c r="K39" s="228"/>
      <c r="L39" s="228"/>
      <c r="M39" s="228"/>
      <c r="N39" s="228"/>
      <c r="O39" s="228"/>
      <c r="P39" s="228"/>
      <c r="Q39" s="228"/>
      <c r="R39" s="228"/>
      <c r="S39" s="228"/>
      <c r="T39" s="228"/>
      <c r="U39" s="228"/>
      <c r="V39" s="228"/>
      <c r="W39" s="228"/>
      <c r="X39" s="228"/>
      <c r="Y39" s="228"/>
      <c r="Z39" s="228"/>
      <c r="AA39" s="228"/>
      <c r="AB39" s="228"/>
      <c r="AC39" s="228"/>
    </row>
    <row r="40" spans="1:29" ht="14" x14ac:dyDescent="0.2">
      <c r="A40" s="3"/>
      <c r="B40" s="211" t="s">
        <v>380</v>
      </c>
      <c r="C40" s="253"/>
      <c r="D40" s="228">
        <f>D30-D38</f>
        <v>26541.028563749649</v>
      </c>
      <c r="E40" s="228">
        <f t="shared" ref="E40:V40" si="24">E30-E38</f>
        <v>27067.61543520417</v>
      </c>
      <c r="F40" s="228">
        <f t="shared" si="24"/>
        <v>27604.649899303855</v>
      </c>
      <c r="G40" s="228">
        <f t="shared" si="24"/>
        <v>28152.339235524014</v>
      </c>
      <c r="H40" s="228">
        <f t="shared" si="24"/>
        <v>28710.894835690982</v>
      </c>
      <c r="I40" s="228">
        <f t="shared" si="24"/>
        <v>29280.532285568479</v>
      </c>
      <c r="J40" s="228">
        <f t="shared" si="24"/>
        <v>29861.471448062657</v>
      </c>
      <c r="K40" s="228">
        <f t="shared" si="24"/>
        <v>30453.936548077781</v>
      </c>
      <c r="L40" s="228">
        <f t="shared" si="24"/>
        <v>31058.156259055406</v>
      </c>
      <c r="M40" s="228">
        <f t="shared" si="24"/>
        <v>31674.363791230397</v>
      </c>
      <c r="N40" s="228">
        <f t="shared" si="24"/>
        <v>32302.79698163789</v>
      </c>
      <c r="O40" s="228">
        <f t="shared" si="24"/>
        <v>32943.698385905882</v>
      </c>
      <c r="P40" s="228">
        <f t="shared" si="24"/>
        <v>33597.315371868841</v>
      </c>
      <c r="Q40" s="228">
        <f t="shared" si="24"/>
        <v>34263.90021503868</v>
      </c>
      <c r="R40" s="228">
        <f t="shared" si="24"/>
        <v>34943.710195969601</v>
      </c>
      <c r="S40" s="228">
        <f t="shared" si="24"/>
        <v>35637.007699554662</v>
      </c>
      <c r="T40" s="228">
        <f t="shared" si="24"/>
        <v>36344.060316292278</v>
      </c>
      <c r="U40" s="228">
        <f t="shared" si="24"/>
        <v>37065.140945561739</v>
      </c>
      <c r="V40" s="228">
        <f t="shared" si="24"/>
        <v>37800.527900947607</v>
      </c>
      <c r="W40" s="228">
        <f t="shared" ref="W40:AB40" si="25">W30-W38</f>
        <v>38550.505017653588</v>
      </c>
      <c r="X40" s="228">
        <f t="shared" si="25"/>
        <v>39315.361762047622</v>
      </c>
      <c r="Y40" s="228">
        <f t="shared" si="25"/>
        <v>40095.393343379845</v>
      </c>
      <c r="Z40" s="228">
        <f t="shared" si="25"/>
        <v>40890.900827717283</v>
      </c>
      <c r="AA40" s="228">
        <f t="shared" si="25"/>
        <v>41702.191254138677</v>
      </c>
      <c r="AB40" s="228">
        <f t="shared" si="25"/>
        <v>42529.577753234596</v>
      </c>
      <c r="AC40" s="228"/>
    </row>
    <row r="41" spans="1:29" ht="14" x14ac:dyDescent="0.2">
      <c r="A41" s="3"/>
      <c r="B41" s="234"/>
      <c r="C41" s="253"/>
      <c r="D41" s="253"/>
      <c r="E41" s="253"/>
      <c r="F41" s="228"/>
      <c r="G41" s="228"/>
      <c r="H41" s="228"/>
      <c r="I41" s="228"/>
      <c r="J41" s="228"/>
      <c r="K41" s="228"/>
      <c r="L41" s="228"/>
      <c r="M41" s="228"/>
      <c r="N41" s="228"/>
      <c r="O41" s="228"/>
      <c r="P41" s="228"/>
      <c r="Q41" s="228"/>
      <c r="R41" s="228"/>
      <c r="S41" s="228"/>
      <c r="T41" s="228"/>
      <c r="U41" s="228"/>
      <c r="V41" s="228"/>
      <c r="W41" s="228"/>
      <c r="X41" s="228"/>
      <c r="Y41" s="228"/>
      <c r="Z41" s="228"/>
      <c r="AA41" s="228"/>
      <c r="AB41" s="228"/>
      <c r="AC41" s="228"/>
    </row>
    <row r="42" spans="1:29" ht="14" x14ac:dyDescent="0.2">
      <c r="A42" s="3"/>
      <c r="B42" s="233" t="s">
        <v>93</v>
      </c>
      <c r="C42" s="253"/>
      <c r="D42" s="228">
        <f>IF(Project_Debt?="Yes",D99,0)</f>
        <v>0</v>
      </c>
      <c r="E42" s="228">
        <f t="shared" ref="E42:V42" si="26">IF(Project_Debt?="Yes",E99,0)</f>
        <v>0</v>
      </c>
      <c r="F42" s="228">
        <f t="shared" si="26"/>
        <v>0</v>
      </c>
      <c r="G42" s="228">
        <f t="shared" si="26"/>
        <v>0</v>
      </c>
      <c r="H42" s="228">
        <f t="shared" si="26"/>
        <v>0</v>
      </c>
      <c r="I42" s="228">
        <f t="shared" si="26"/>
        <v>0</v>
      </c>
      <c r="J42" s="228">
        <f t="shared" si="26"/>
        <v>0</v>
      </c>
      <c r="K42" s="228">
        <f t="shared" si="26"/>
        <v>0</v>
      </c>
      <c r="L42" s="228">
        <f t="shared" si="26"/>
        <v>0</v>
      </c>
      <c r="M42" s="228">
        <f t="shared" si="26"/>
        <v>0</v>
      </c>
      <c r="N42" s="228">
        <f t="shared" si="26"/>
        <v>0</v>
      </c>
      <c r="O42" s="228">
        <f t="shared" si="26"/>
        <v>0</v>
      </c>
      <c r="P42" s="228">
        <f t="shared" si="26"/>
        <v>0</v>
      </c>
      <c r="Q42" s="228">
        <f t="shared" si="26"/>
        <v>0</v>
      </c>
      <c r="R42" s="228">
        <f t="shared" si="26"/>
        <v>0</v>
      </c>
      <c r="S42" s="228">
        <f t="shared" si="26"/>
        <v>0</v>
      </c>
      <c r="T42" s="228">
        <f t="shared" si="26"/>
        <v>0</v>
      </c>
      <c r="U42" s="228">
        <f t="shared" si="26"/>
        <v>0</v>
      </c>
      <c r="V42" s="228">
        <f t="shared" si="26"/>
        <v>0</v>
      </c>
      <c r="W42" s="228">
        <f t="shared" ref="W42:AB42" si="27">IF(Project_Debt?="Yes",W99,0)</f>
        <v>0</v>
      </c>
      <c r="X42" s="228">
        <f t="shared" si="27"/>
        <v>0</v>
      </c>
      <c r="Y42" s="228">
        <f t="shared" si="27"/>
        <v>0</v>
      </c>
      <c r="Z42" s="228">
        <f t="shared" si="27"/>
        <v>0</v>
      </c>
      <c r="AA42" s="228">
        <f t="shared" si="27"/>
        <v>0</v>
      </c>
      <c r="AB42" s="228">
        <f t="shared" si="27"/>
        <v>0</v>
      </c>
      <c r="AC42" s="228"/>
    </row>
    <row r="43" spans="1:29" ht="14" x14ac:dyDescent="0.2">
      <c r="A43" s="3"/>
      <c r="B43" s="233"/>
      <c r="C43" s="253"/>
      <c r="D43" s="228"/>
      <c r="E43" s="228"/>
      <c r="F43" s="228"/>
      <c r="G43" s="228"/>
      <c r="H43" s="228"/>
      <c r="I43" s="228"/>
      <c r="J43" s="228"/>
      <c r="K43" s="228"/>
      <c r="L43" s="228"/>
      <c r="M43" s="228"/>
      <c r="N43" s="228"/>
      <c r="O43" s="228"/>
      <c r="P43" s="228"/>
      <c r="Q43" s="228"/>
      <c r="R43" s="228"/>
      <c r="S43" s="228"/>
      <c r="T43" s="228"/>
      <c r="U43" s="228"/>
      <c r="V43" s="228"/>
      <c r="W43" s="228"/>
      <c r="X43" s="228"/>
      <c r="Y43" s="228"/>
      <c r="Z43" s="228"/>
      <c r="AA43" s="228"/>
      <c r="AB43" s="228"/>
      <c r="AC43" s="228"/>
    </row>
    <row r="44" spans="1:29" ht="14" x14ac:dyDescent="0.2">
      <c r="A44" s="3"/>
      <c r="B44" s="233" t="s">
        <v>84</v>
      </c>
      <c r="C44" s="253"/>
      <c r="D44" s="228"/>
      <c r="E44" s="228"/>
      <c r="F44" s="228"/>
      <c r="G44" s="228"/>
      <c r="H44" s="228"/>
      <c r="I44" s="228"/>
      <c r="J44" s="228"/>
      <c r="K44" s="228"/>
      <c r="L44" s="228"/>
      <c r="M44" s="228"/>
      <c r="N44" s="228"/>
      <c r="O44" s="228"/>
      <c r="P44" s="228"/>
      <c r="Q44" s="228"/>
      <c r="R44" s="228"/>
      <c r="S44" s="228"/>
      <c r="T44" s="228"/>
      <c r="U44" s="228"/>
      <c r="V44" s="228"/>
      <c r="W44" s="228"/>
      <c r="X44" s="228"/>
      <c r="Y44" s="228"/>
      <c r="Z44" s="228"/>
      <c r="AA44" s="228"/>
      <c r="AB44" s="228"/>
      <c r="AC44" s="228"/>
    </row>
    <row r="45" spans="1:29" ht="14" x14ac:dyDescent="0.2">
      <c r="A45" s="3"/>
      <c r="B45" s="210" t="s">
        <v>161</v>
      </c>
      <c r="C45" s="253"/>
      <c r="D45" s="228">
        <f>IF(OR(Tax_Efficient_Status?="Not Efficient",Tax_Efficient_Status?="Federal Only"),(Unstructured!D114+Unstructured!D115),D114)</f>
        <v>88930.80486774999</v>
      </c>
      <c r="E45" s="228">
        <f>IF(OR(Tax_Efficient_Status?="Not Efficient",Tax_Efficient_Status?="Federal Only"),(Unstructured!E114+Unstructured!E115),E114)</f>
        <v>142289.28778839999</v>
      </c>
      <c r="F45" s="228">
        <f>IF(OR(Tax_Efficient_Status?="Not Efficient",Tax_Efficient_Status?="Federal Only"),(Unstructured!F114+Unstructured!F115),F114)</f>
        <v>85373.572673039991</v>
      </c>
      <c r="G45" s="228">
        <f>IF(OR(Tax_Efficient_Status?="Not Efficient",Tax_Efficient_Status?="Federal Only"),(Unstructured!G114+Unstructured!G115),G114)</f>
        <v>51224.143603823992</v>
      </c>
      <c r="H45" s="228">
        <f>IF(OR(Tax_Efficient_Status?="Not Efficient",Tax_Efficient_Status?="Federal Only"),(Unstructured!H114+Unstructured!H115),H114)</f>
        <v>51224.143603823992</v>
      </c>
      <c r="I45" s="228">
        <f>IF(OR(Tax_Efficient_Status?="Not Efficient",Tax_Efficient_Status?="Federal Only"),(Unstructured!I114+Unstructured!I115),I114)</f>
        <v>25612.071801911996</v>
      </c>
      <c r="J45" s="228">
        <f>IF(OR(Tax_Efficient_Status?="Not Efficient",Tax_Efficient_Status?="Federal Only"),(Unstructured!J114+Unstructured!J115),J114)</f>
        <v>0</v>
      </c>
      <c r="K45" s="228">
        <f>IF(OR(Tax_Efficient_Status?="Not Efficient",Tax_Efficient_Status?="Federal Only"),(Unstructured!K114+Unstructured!K115),K114)</f>
        <v>0</v>
      </c>
      <c r="L45" s="228">
        <f>IF(OR(Tax_Efficient_Status?="Not Efficient",Tax_Efficient_Status?="Federal Only"),(Unstructured!L114+Unstructured!L115),L114)</f>
        <v>0</v>
      </c>
      <c r="M45" s="228">
        <f>IF(OR(Tax_Efficient_Status?="Not Efficient",Tax_Efficient_Status?="Federal Only"),(Unstructured!M114+Unstructured!M115),M114)</f>
        <v>0</v>
      </c>
      <c r="N45" s="228">
        <f>IF(OR(Tax_Efficient_Status?="Not Efficient",Tax_Efficient_Status?="Federal Only"),(Unstructured!N114+Unstructured!N115),N114)</f>
        <v>0</v>
      </c>
      <c r="O45" s="228">
        <f>IF(OR(Tax_Efficient_Status?="Not Efficient",Tax_Efficient_Status?="Federal Only"),(Unstructured!O114+Unstructured!O115),O114)</f>
        <v>0</v>
      </c>
      <c r="P45" s="228">
        <f>IF(OR(Tax_Efficient_Status?="Not Efficient",Tax_Efficient_Status?="Federal Only"),(Unstructured!P114+Unstructured!P115),P114)</f>
        <v>0</v>
      </c>
      <c r="Q45" s="228">
        <f>IF(OR(Tax_Efficient_Status?="Not Efficient",Tax_Efficient_Status?="Federal Only"),(Unstructured!Q114+Unstructured!Q115),Q114)</f>
        <v>0</v>
      </c>
      <c r="R45" s="228">
        <f>IF(OR(Tax_Efficient_Status?="Not Efficient",Tax_Efficient_Status?="Federal Only"),(Unstructured!R114+Unstructured!R115),R114)</f>
        <v>0</v>
      </c>
      <c r="S45" s="228">
        <f>IF(OR(Tax_Efficient_Status?="Not Efficient",Tax_Efficient_Status?="Federal Only"),(Unstructured!S114+Unstructured!S115),S114)</f>
        <v>0</v>
      </c>
      <c r="T45" s="228">
        <f>IF(OR(Tax_Efficient_Status?="Not Efficient",Tax_Efficient_Status?="Federal Only"),(Unstructured!T114+Unstructured!T115),T114)</f>
        <v>0</v>
      </c>
      <c r="U45" s="228">
        <f>IF(OR(Tax_Efficient_Status?="Not Efficient",Tax_Efficient_Status?="Federal Only"),(Unstructured!U114+Unstructured!U115),U114)</f>
        <v>0</v>
      </c>
      <c r="V45" s="228">
        <f>IF(OR(Tax_Efficient_Status?="Not Efficient",Tax_Efficient_Status?="Federal Only"),(Unstructured!V114+Unstructured!V115),V114)</f>
        <v>0</v>
      </c>
      <c r="W45" s="228">
        <f>IF(OR(Tax_Efficient_Status?="Not Efficient",Tax_Efficient_Status?="Federal Only"),(Unstructured!W114+Unstructured!W115),W114)</f>
        <v>0</v>
      </c>
      <c r="X45" s="228">
        <f>IF(OR(Tax_Efficient_Status?="Not Efficient",Tax_Efficient_Status?="Federal Only"),(Unstructured!X114+Unstructured!X115),X114)</f>
        <v>0</v>
      </c>
      <c r="Y45" s="228">
        <f>IF(OR(Tax_Efficient_Status?="Not Efficient",Tax_Efficient_Status?="Federal Only"),(Unstructured!Y114+Unstructured!Y115),Y114)</f>
        <v>0</v>
      </c>
      <c r="Z45" s="228">
        <f>IF(OR(Tax_Efficient_Status?="Not Efficient",Tax_Efficient_Status?="Federal Only"),(Unstructured!Z114+Unstructured!Z115),Z114)</f>
        <v>0</v>
      </c>
      <c r="AA45" s="228">
        <f>IF(OR(Tax_Efficient_Status?="Not Efficient",Tax_Efficient_Status?="Federal Only"),(Unstructured!AA114+Unstructured!AA115),AA114)</f>
        <v>0</v>
      </c>
      <c r="AB45" s="228">
        <f>IF(OR(Tax_Efficient_Status?="Not Efficient",Tax_Efficient_Status?="Federal Only"),(Unstructured!AB114+Unstructured!AB115),AB114)</f>
        <v>0</v>
      </c>
      <c r="AC45" s="228"/>
    </row>
    <row r="46" spans="1:29" ht="14" x14ac:dyDescent="0.2">
      <c r="A46" s="3"/>
      <c r="B46" s="210" t="s">
        <v>127</v>
      </c>
      <c r="C46" s="253"/>
      <c r="D46" s="228">
        <f>IF(Tax_Efficient_Status?="Not Efficient",(Unstructured!D121+Unstructured!D122),D121)</f>
        <v>88930.80486774999</v>
      </c>
      <c r="E46" s="228">
        <f>IF(Tax_Efficient_Status?="Not Efficient",(Unstructured!E121+Unstructured!E122),E121)</f>
        <v>142289.28778839999</v>
      </c>
      <c r="F46" s="228">
        <f>IF(Tax_Efficient_Status?="Not Efficient",(Unstructured!F121+Unstructured!F122),F121)</f>
        <v>85373.572673039991</v>
      </c>
      <c r="G46" s="228">
        <f>IF(Tax_Efficient_Status?="Not Efficient",(Unstructured!G121+Unstructured!G122),G121)</f>
        <v>51224.143603823992</v>
      </c>
      <c r="H46" s="228">
        <f>IF(Tax_Efficient_Status?="Not Efficient",(Unstructured!H121+Unstructured!H122),H121)</f>
        <v>51224.143603823992</v>
      </c>
      <c r="I46" s="228">
        <f>IF(Tax_Efficient_Status?="Not Efficient",(Unstructured!I121+Unstructured!I122),I121)</f>
        <v>25612.071801911996</v>
      </c>
      <c r="J46" s="228">
        <f>IF(Tax_Efficient_Status?="Not Efficient",(Unstructured!J121+Unstructured!J122),J121)</f>
        <v>0</v>
      </c>
      <c r="K46" s="228">
        <f>IF(Tax_Efficient_Status?="Not Efficient",(Unstructured!K121+Unstructured!K122),K121)</f>
        <v>0</v>
      </c>
      <c r="L46" s="228">
        <f>IF(Tax_Efficient_Status?="Not Efficient",(Unstructured!L121+Unstructured!L122),L121)</f>
        <v>0</v>
      </c>
      <c r="M46" s="228">
        <f>IF(Tax_Efficient_Status?="Not Efficient",(Unstructured!M121+Unstructured!M122),M121)</f>
        <v>0</v>
      </c>
      <c r="N46" s="228">
        <f>IF(Tax_Efficient_Status?="Not Efficient",(Unstructured!N121+Unstructured!N122),N121)</f>
        <v>0</v>
      </c>
      <c r="O46" s="228">
        <f>IF(Tax_Efficient_Status?="Not Efficient",(Unstructured!O121+Unstructured!O122),O121)</f>
        <v>0</v>
      </c>
      <c r="P46" s="228">
        <f>IF(Tax_Efficient_Status?="Not Efficient",(Unstructured!P121+Unstructured!P122),P121)</f>
        <v>0</v>
      </c>
      <c r="Q46" s="228">
        <f>IF(Tax_Efficient_Status?="Not Efficient",(Unstructured!Q121+Unstructured!Q122),Q121)</f>
        <v>0</v>
      </c>
      <c r="R46" s="228">
        <f>IF(Tax_Efficient_Status?="Not Efficient",(Unstructured!R121+Unstructured!R122),R121)</f>
        <v>0</v>
      </c>
      <c r="S46" s="228">
        <f>IF(Tax_Efficient_Status?="Not Efficient",(Unstructured!S121+Unstructured!S122),S121)</f>
        <v>0</v>
      </c>
      <c r="T46" s="228">
        <f>IF(Tax_Efficient_Status?="Not Efficient",(Unstructured!T121+Unstructured!T122),T121)</f>
        <v>0</v>
      </c>
      <c r="U46" s="228">
        <f>IF(Tax_Efficient_Status?="Not Efficient",(Unstructured!U121+Unstructured!U122),U121)</f>
        <v>0</v>
      </c>
      <c r="V46" s="228">
        <f>IF(Tax_Efficient_Status?="Not Efficient",(Unstructured!V121+Unstructured!V122),V121)</f>
        <v>0</v>
      </c>
      <c r="W46" s="228">
        <f>IF(Tax_Efficient_Status?="Not Efficient",(Unstructured!W121+Unstructured!W122),W121)</f>
        <v>0</v>
      </c>
      <c r="X46" s="228">
        <f>IF(Tax_Efficient_Status?="Not Efficient",(Unstructured!X121+Unstructured!X122),X121)</f>
        <v>0</v>
      </c>
      <c r="Y46" s="228">
        <f>IF(Tax_Efficient_Status?="Not Efficient",(Unstructured!Y121+Unstructured!Y122),Y121)</f>
        <v>0</v>
      </c>
      <c r="Z46" s="228">
        <f>IF(Tax_Efficient_Status?="Not Efficient",(Unstructured!Z121+Unstructured!Z122),Z121)</f>
        <v>0</v>
      </c>
      <c r="AA46" s="228">
        <f>IF(Tax_Efficient_Status?="Not Efficient",(Unstructured!AA121+Unstructured!AA122),AA121)</f>
        <v>0</v>
      </c>
      <c r="AB46" s="228">
        <f>IF(Tax_Efficient_Status?="Not Efficient",(Unstructured!AB121+Unstructured!AB122),AB121)</f>
        <v>0</v>
      </c>
      <c r="AC46" s="228"/>
    </row>
    <row r="47" spans="1:29" ht="14" x14ac:dyDescent="0.2">
      <c r="A47" s="3"/>
      <c r="B47" s="233"/>
      <c r="C47" s="253"/>
      <c r="D47" s="228"/>
      <c r="E47" s="228"/>
      <c r="F47" s="228"/>
      <c r="G47" s="228"/>
      <c r="H47" s="228"/>
      <c r="I47" s="228"/>
      <c r="J47" s="228"/>
      <c r="K47" s="228"/>
      <c r="L47" s="228"/>
      <c r="M47" s="228"/>
      <c r="N47" s="228"/>
      <c r="O47" s="228"/>
      <c r="P47" s="228"/>
      <c r="Q47" s="228"/>
      <c r="R47" s="228"/>
      <c r="S47" s="228"/>
      <c r="T47" s="228"/>
      <c r="U47" s="228"/>
      <c r="V47" s="228"/>
      <c r="W47" s="228"/>
      <c r="X47" s="228"/>
      <c r="Y47" s="228"/>
      <c r="Z47" s="228"/>
      <c r="AA47" s="228"/>
      <c r="AB47" s="228"/>
      <c r="AC47" s="228"/>
    </row>
    <row r="48" spans="1:29" ht="14" x14ac:dyDescent="0.2">
      <c r="A48" s="3"/>
      <c r="B48" s="233" t="s">
        <v>294</v>
      </c>
      <c r="C48" s="253"/>
      <c r="D48" s="228"/>
      <c r="E48" s="228"/>
      <c r="F48" s="228"/>
      <c r="G48" s="228"/>
      <c r="H48" s="228"/>
      <c r="I48" s="228"/>
      <c r="J48" s="228"/>
      <c r="K48" s="228"/>
      <c r="L48" s="228"/>
      <c r="M48" s="228"/>
      <c r="N48" s="228"/>
      <c r="O48" s="228"/>
      <c r="P48" s="228"/>
      <c r="Q48" s="228"/>
      <c r="R48" s="228"/>
      <c r="S48" s="228"/>
      <c r="T48" s="228"/>
      <c r="U48" s="228"/>
      <c r="V48" s="228"/>
      <c r="W48" s="228"/>
      <c r="X48" s="228"/>
      <c r="Y48" s="228"/>
      <c r="Z48" s="228"/>
      <c r="AA48" s="228"/>
      <c r="AB48" s="228"/>
      <c r="AC48" s="228"/>
    </row>
    <row r="49" spans="1:29" ht="14" x14ac:dyDescent="0.2">
      <c r="A49" s="3"/>
      <c r="B49" s="210" t="s">
        <v>226</v>
      </c>
      <c r="C49" s="253"/>
      <c r="D49" s="228">
        <f t="shared" ref="D49:V49" si="28">D30-(D38+D42+D45)</f>
        <v>-62389.776304000348</v>
      </c>
      <c r="E49" s="228">
        <f t="shared" si="28"/>
        <v>-115221.67235319581</v>
      </c>
      <c r="F49" s="228">
        <f t="shared" si="28"/>
        <v>-57768.922773736143</v>
      </c>
      <c r="G49" s="228">
        <f t="shared" si="28"/>
        <v>-23071.804368299978</v>
      </c>
      <c r="H49" s="228">
        <f t="shared" si="28"/>
        <v>-22513.248768133009</v>
      </c>
      <c r="I49" s="228">
        <f t="shared" si="28"/>
        <v>3668.4604836564831</v>
      </c>
      <c r="J49" s="228">
        <f t="shared" si="28"/>
        <v>29861.471448062657</v>
      </c>
      <c r="K49" s="228">
        <f t="shared" si="28"/>
        <v>30453.936548077781</v>
      </c>
      <c r="L49" s="228">
        <f t="shared" si="28"/>
        <v>31058.156259055406</v>
      </c>
      <c r="M49" s="228">
        <f t="shared" si="28"/>
        <v>31674.363791230397</v>
      </c>
      <c r="N49" s="228">
        <f t="shared" si="28"/>
        <v>32302.79698163789</v>
      </c>
      <c r="O49" s="228">
        <f t="shared" si="28"/>
        <v>32943.698385905882</v>
      </c>
      <c r="P49" s="228">
        <f t="shared" si="28"/>
        <v>33597.315371868841</v>
      </c>
      <c r="Q49" s="228">
        <f t="shared" si="28"/>
        <v>34263.90021503868</v>
      </c>
      <c r="R49" s="228">
        <f t="shared" si="28"/>
        <v>34943.710195969601</v>
      </c>
      <c r="S49" s="228">
        <f t="shared" si="28"/>
        <v>35637.007699554662</v>
      </c>
      <c r="T49" s="228">
        <f t="shared" si="28"/>
        <v>36344.060316292278</v>
      </c>
      <c r="U49" s="228">
        <f t="shared" si="28"/>
        <v>37065.140945561739</v>
      </c>
      <c r="V49" s="228">
        <f t="shared" si="28"/>
        <v>37800.527900947607</v>
      </c>
      <c r="W49" s="228">
        <f t="shared" ref="W49:AB49" si="29">W30-(W38+W42+W45)</f>
        <v>38550.505017653588</v>
      </c>
      <c r="X49" s="228">
        <f t="shared" si="29"/>
        <v>39315.361762047622</v>
      </c>
      <c r="Y49" s="228">
        <f t="shared" si="29"/>
        <v>40095.393343379845</v>
      </c>
      <c r="Z49" s="228">
        <f t="shared" si="29"/>
        <v>40890.900827717283</v>
      </c>
      <c r="AA49" s="228">
        <f t="shared" si="29"/>
        <v>41702.191254138677</v>
      </c>
      <c r="AB49" s="228">
        <f t="shared" si="29"/>
        <v>42529.577753234596</v>
      </c>
      <c r="AC49" s="228"/>
    </row>
    <row r="50" spans="1:29" ht="16" customHeight="1" x14ac:dyDescent="0.2">
      <c r="A50" s="3"/>
      <c r="B50" s="210" t="s">
        <v>224</v>
      </c>
      <c r="C50" s="253"/>
      <c r="D50" s="228">
        <f t="shared" ref="D50:AB50" si="30">IF(AND(Owner_is_Taxpayer_Non_Taxpayer?="Taxpayer",D49&gt;0),D49*State_Income_Tax_Rate,0)</f>
        <v>0</v>
      </c>
      <c r="E50" s="228">
        <f t="shared" si="30"/>
        <v>0</v>
      </c>
      <c r="F50" s="228">
        <f t="shared" si="30"/>
        <v>0</v>
      </c>
      <c r="G50" s="228">
        <f t="shared" si="30"/>
        <v>0</v>
      </c>
      <c r="H50" s="228">
        <f t="shared" si="30"/>
        <v>0</v>
      </c>
      <c r="I50" s="228">
        <f t="shared" si="30"/>
        <v>91.711512091412089</v>
      </c>
      <c r="J50" s="228">
        <f t="shared" si="30"/>
        <v>746.53678620156643</v>
      </c>
      <c r="K50" s="228">
        <f t="shared" si="30"/>
        <v>761.34841370194454</v>
      </c>
      <c r="L50" s="228">
        <f t="shared" si="30"/>
        <v>776.45390647638521</v>
      </c>
      <c r="M50" s="228">
        <f t="shared" si="30"/>
        <v>791.85909478075996</v>
      </c>
      <c r="N50" s="228">
        <f t="shared" si="30"/>
        <v>807.56992454094734</v>
      </c>
      <c r="O50" s="228">
        <f t="shared" si="30"/>
        <v>823.59245964764705</v>
      </c>
      <c r="P50" s="228">
        <f t="shared" si="30"/>
        <v>839.93288429672111</v>
      </c>
      <c r="Q50" s="228">
        <f t="shared" si="30"/>
        <v>856.5975053759671</v>
      </c>
      <c r="R50" s="228">
        <f t="shared" si="30"/>
        <v>873.59275489924005</v>
      </c>
      <c r="S50" s="228">
        <f t="shared" si="30"/>
        <v>890.92519248886663</v>
      </c>
      <c r="T50" s="228">
        <f t="shared" si="30"/>
        <v>908.601507907307</v>
      </c>
      <c r="U50" s="228">
        <f t="shared" si="30"/>
        <v>926.62852363904358</v>
      </c>
      <c r="V50" s="228">
        <f t="shared" si="30"/>
        <v>945.01319752369022</v>
      </c>
      <c r="W50" s="228">
        <f t="shared" si="30"/>
        <v>963.76262544133976</v>
      </c>
      <c r="X50" s="228">
        <f t="shared" si="30"/>
        <v>982.88404405119059</v>
      </c>
      <c r="Y50" s="228">
        <f t="shared" si="30"/>
        <v>1002.3848335844962</v>
      </c>
      <c r="Z50" s="228">
        <f t="shared" si="30"/>
        <v>1022.2725206929322</v>
      </c>
      <c r="AA50" s="228">
        <f t="shared" si="30"/>
        <v>1042.554781353467</v>
      </c>
      <c r="AB50" s="228">
        <f t="shared" si="30"/>
        <v>1063.239443830865</v>
      </c>
      <c r="AC50" s="228"/>
    </row>
    <row r="51" spans="1:29" ht="16" customHeight="1" x14ac:dyDescent="0.2">
      <c r="A51" s="3"/>
      <c r="B51" s="210" t="s">
        <v>315</v>
      </c>
      <c r="C51" s="253"/>
      <c r="D51" s="228">
        <f>IF(AND(State_ITC_On_Off?="On",D17=1),(State_Tax_Credit_Rate*State_Tax_Credit_Basis),0)</f>
        <v>0</v>
      </c>
      <c r="E51" s="228">
        <f t="shared" ref="E51:V51" si="31">IF(Tax_Efficient_Status?="Not Efficient",D52,0)</f>
        <v>0</v>
      </c>
      <c r="F51" s="228">
        <f t="shared" si="31"/>
        <v>0</v>
      </c>
      <c r="G51" s="228">
        <f t="shared" si="31"/>
        <v>0</v>
      </c>
      <c r="H51" s="228">
        <f t="shared" si="31"/>
        <v>0</v>
      </c>
      <c r="I51" s="228">
        <f t="shared" si="31"/>
        <v>0</v>
      </c>
      <c r="J51" s="228">
        <f t="shared" si="31"/>
        <v>0</v>
      </c>
      <c r="K51" s="228">
        <f t="shared" si="31"/>
        <v>0</v>
      </c>
      <c r="L51" s="228">
        <f t="shared" si="31"/>
        <v>0</v>
      </c>
      <c r="M51" s="228">
        <f t="shared" si="31"/>
        <v>0</v>
      </c>
      <c r="N51" s="228">
        <f t="shared" si="31"/>
        <v>0</v>
      </c>
      <c r="O51" s="228">
        <f t="shared" si="31"/>
        <v>0</v>
      </c>
      <c r="P51" s="228">
        <f t="shared" si="31"/>
        <v>0</v>
      </c>
      <c r="Q51" s="228">
        <f t="shared" si="31"/>
        <v>0</v>
      </c>
      <c r="R51" s="228">
        <f t="shared" si="31"/>
        <v>0</v>
      </c>
      <c r="S51" s="228">
        <f t="shared" si="31"/>
        <v>0</v>
      </c>
      <c r="T51" s="228">
        <f t="shared" si="31"/>
        <v>0</v>
      </c>
      <c r="U51" s="228">
        <f t="shared" si="31"/>
        <v>0</v>
      </c>
      <c r="V51" s="228">
        <f t="shared" si="31"/>
        <v>0</v>
      </c>
      <c r="W51" s="228">
        <f t="shared" ref="W51:AB51" si="32">IF(Tax_Efficient_Status?="Not Efficient",V52,0)</f>
        <v>0</v>
      </c>
      <c r="X51" s="228">
        <f t="shared" si="32"/>
        <v>0</v>
      </c>
      <c r="Y51" s="228">
        <f t="shared" si="32"/>
        <v>0</v>
      </c>
      <c r="Z51" s="228">
        <f t="shared" si="32"/>
        <v>0</v>
      </c>
      <c r="AA51" s="228">
        <f t="shared" si="32"/>
        <v>0</v>
      </c>
      <c r="AB51" s="228">
        <f t="shared" si="32"/>
        <v>0</v>
      </c>
      <c r="AC51" s="228"/>
    </row>
    <row r="52" spans="1:29" ht="16" customHeight="1" thickBot="1" x14ac:dyDescent="0.25">
      <c r="A52" s="3"/>
      <c r="B52" s="210" t="s">
        <v>316</v>
      </c>
      <c r="C52" s="253"/>
      <c r="D52" s="247">
        <f>IF(D51&gt;D50,D51-D50,0)</f>
        <v>0</v>
      </c>
      <c r="E52" s="247">
        <f t="shared" ref="E52:V52" si="33">IF(Tax_Efficient_Status?="Not Efficient",IF(E51&gt;E50,E51-E50,0),0)</f>
        <v>0</v>
      </c>
      <c r="F52" s="247">
        <f t="shared" si="33"/>
        <v>0</v>
      </c>
      <c r="G52" s="247">
        <f t="shared" si="33"/>
        <v>0</v>
      </c>
      <c r="H52" s="247">
        <f t="shared" si="33"/>
        <v>0</v>
      </c>
      <c r="I52" s="247">
        <f t="shared" si="33"/>
        <v>0</v>
      </c>
      <c r="J52" s="247">
        <f t="shared" si="33"/>
        <v>0</v>
      </c>
      <c r="K52" s="247">
        <f t="shared" si="33"/>
        <v>0</v>
      </c>
      <c r="L52" s="247">
        <f t="shared" si="33"/>
        <v>0</v>
      </c>
      <c r="M52" s="247">
        <f t="shared" si="33"/>
        <v>0</v>
      </c>
      <c r="N52" s="247">
        <f t="shared" si="33"/>
        <v>0</v>
      </c>
      <c r="O52" s="247">
        <f t="shared" si="33"/>
        <v>0</v>
      </c>
      <c r="P52" s="247">
        <f t="shared" si="33"/>
        <v>0</v>
      </c>
      <c r="Q52" s="247">
        <f t="shared" si="33"/>
        <v>0</v>
      </c>
      <c r="R52" s="247">
        <f t="shared" si="33"/>
        <v>0</v>
      </c>
      <c r="S52" s="247">
        <f t="shared" si="33"/>
        <v>0</v>
      </c>
      <c r="T52" s="247">
        <f t="shared" si="33"/>
        <v>0</v>
      </c>
      <c r="U52" s="247">
        <f t="shared" si="33"/>
        <v>0</v>
      </c>
      <c r="V52" s="247">
        <f t="shared" si="33"/>
        <v>0</v>
      </c>
      <c r="W52" s="247">
        <f t="shared" ref="W52:AB52" si="34">IF(Tax_Efficient_Status?="Not Efficient",IF(W51&gt;W50,W51-W50,0),0)</f>
        <v>0</v>
      </c>
      <c r="X52" s="247">
        <f t="shared" si="34"/>
        <v>0</v>
      </c>
      <c r="Y52" s="247">
        <f t="shared" si="34"/>
        <v>0</v>
      </c>
      <c r="Z52" s="247">
        <f t="shared" si="34"/>
        <v>0</v>
      </c>
      <c r="AA52" s="247">
        <f t="shared" si="34"/>
        <v>0</v>
      </c>
      <c r="AB52" s="247">
        <f t="shared" si="34"/>
        <v>0</v>
      </c>
      <c r="AC52" s="247"/>
    </row>
    <row r="53" spans="1:29" ht="15" thickTop="1" x14ac:dyDescent="0.2">
      <c r="A53" s="3"/>
      <c r="B53" s="211" t="s">
        <v>238</v>
      </c>
      <c r="C53" s="253"/>
      <c r="D53" s="228">
        <f>D50</f>
        <v>0</v>
      </c>
      <c r="E53" s="228">
        <f t="shared" ref="E53:V53" si="35">E50</f>
        <v>0</v>
      </c>
      <c r="F53" s="228">
        <f t="shared" si="35"/>
        <v>0</v>
      </c>
      <c r="G53" s="228">
        <f t="shared" si="35"/>
        <v>0</v>
      </c>
      <c r="H53" s="228">
        <f t="shared" si="35"/>
        <v>0</v>
      </c>
      <c r="I53" s="228">
        <f t="shared" si="35"/>
        <v>91.711512091412089</v>
      </c>
      <c r="J53" s="228">
        <f t="shared" si="35"/>
        <v>746.53678620156643</v>
      </c>
      <c r="K53" s="228">
        <f t="shared" si="35"/>
        <v>761.34841370194454</v>
      </c>
      <c r="L53" s="228">
        <f t="shared" si="35"/>
        <v>776.45390647638521</v>
      </c>
      <c r="M53" s="228">
        <f t="shared" si="35"/>
        <v>791.85909478075996</v>
      </c>
      <c r="N53" s="228">
        <f t="shared" si="35"/>
        <v>807.56992454094734</v>
      </c>
      <c r="O53" s="228">
        <f t="shared" si="35"/>
        <v>823.59245964764705</v>
      </c>
      <c r="P53" s="228">
        <f t="shared" si="35"/>
        <v>839.93288429672111</v>
      </c>
      <c r="Q53" s="228">
        <f t="shared" si="35"/>
        <v>856.5975053759671</v>
      </c>
      <c r="R53" s="228">
        <f t="shared" si="35"/>
        <v>873.59275489924005</v>
      </c>
      <c r="S53" s="228">
        <f t="shared" si="35"/>
        <v>890.92519248886663</v>
      </c>
      <c r="T53" s="228">
        <f t="shared" si="35"/>
        <v>908.601507907307</v>
      </c>
      <c r="U53" s="228">
        <f t="shared" si="35"/>
        <v>926.62852363904358</v>
      </c>
      <c r="V53" s="228">
        <f t="shared" si="35"/>
        <v>945.01319752369022</v>
      </c>
      <c r="W53" s="228">
        <f t="shared" ref="W53:AB53" si="36">W50</f>
        <v>963.76262544133976</v>
      </c>
      <c r="X53" s="228">
        <f t="shared" si="36"/>
        <v>982.88404405119059</v>
      </c>
      <c r="Y53" s="228">
        <f t="shared" si="36"/>
        <v>1002.3848335844962</v>
      </c>
      <c r="Z53" s="228">
        <f t="shared" si="36"/>
        <v>1022.2725206929322</v>
      </c>
      <c r="AA53" s="228">
        <f t="shared" si="36"/>
        <v>1042.554781353467</v>
      </c>
      <c r="AB53" s="228">
        <f t="shared" si="36"/>
        <v>1063.239443830865</v>
      </c>
      <c r="AC53" s="228"/>
    </row>
    <row r="54" spans="1:29" ht="14" x14ac:dyDescent="0.2">
      <c r="A54" s="3"/>
      <c r="B54" s="210"/>
      <c r="C54" s="253"/>
      <c r="D54" s="228"/>
      <c r="E54" s="228"/>
      <c r="F54" s="228"/>
      <c r="G54" s="228"/>
      <c r="H54" s="228"/>
      <c r="I54" s="228"/>
      <c r="J54" s="228"/>
      <c r="K54" s="228"/>
      <c r="L54" s="228"/>
      <c r="M54" s="228"/>
      <c r="N54" s="228"/>
      <c r="O54" s="228"/>
      <c r="P54" s="228"/>
      <c r="Q54" s="228"/>
      <c r="R54" s="228"/>
      <c r="S54" s="228"/>
      <c r="T54" s="228"/>
      <c r="U54" s="228"/>
      <c r="V54" s="228"/>
      <c r="W54" s="228"/>
      <c r="X54" s="228"/>
      <c r="Y54" s="228"/>
      <c r="Z54" s="228"/>
      <c r="AA54" s="228"/>
      <c r="AB54" s="228"/>
      <c r="AC54" s="228"/>
    </row>
    <row r="55" spans="1:29" ht="14" x14ac:dyDescent="0.2">
      <c r="A55" s="3"/>
      <c r="B55" s="211" t="s">
        <v>57</v>
      </c>
      <c r="C55" s="253"/>
      <c r="D55" s="228"/>
      <c r="E55" s="228"/>
      <c r="F55" s="228"/>
      <c r="G55" s="228"/>
      <c r="H55" s="228"/>
      <c r="I55" s="228"/>
      <c r="J55" s="228"/>
      <c r="K55" s="228"/>
      <c r="L55" s="228"/>
      <c r="M55" s="228"/>
      <c r="N55" s="228"/>
      <c r="O55" s="228"/>
      <c r="P55" s="228"/>
      <c r="Q55" s="228"/>
      <c r="R55" s="228"/>
      <c r="S55" s="228"/>
      <c r="T55" s="228"/>
      <c r="U55" s="228"/>
      <c r="V55" s="228"/>
      <c r="W55" s="228"/>
      <c r="X55" s="228"/>
      <c r="Y55" s="228"/>
      <c r="Z55" s="228"/>
      <c r="AA55" s="228"/>
      <c r="AB55" s="228"/>
      <c r="AC55" s="228"/>
    </row>
    <row r="56" spans="1:29" ht="14" x14ac:dyDescent="0.2">
      <c r="A56" s="3"/>
      <c r="B56" s="210" t="s">
        <v>171</v>
      </c>
      <c r="C56" s="253"/>
      <c r="D56" s="228">
        <f t="shared" ref="D56:V56" si="37">D30-(D38+D42+D46+D53)</f>
        <v>-62389.776304000348</v>
      </c>
      <c r="E56" s="228">
        <f t="shared" si="37"/>
        <v>-115221.67235319581</v>
      </c>
      <c r="F56" s="228">
        <f t="shared" si="37"/>
        <v>-57768.922773736143</v>
      </c>
      <c r="G56" s="228">
        <f t="shared" si="37"/>
        <v>-23071.804368299978</v>
      </c>
      <c r="H56" s="228">
        <f t="shared" si="37"/>
        <v>-22513.248768133009</v>
      </c>
      <c r="I56" s="228">
        <f t="shared" si="37"/>
        <v>3576.7489715650736</v>
      </c>
      <c r="J56" s="228">
        <f t="shared" si="37"/>
        <v>29114.934661861094</v>
      </c>
      <c r="K56" s="228">
        <f t="shared" si="37"/>
        <v>29692.588134375837</v>
      </c>
      <c r="L56" s="228">
        <f t="shared" si="37"/>
        <v>30281.702352579021</v>
      </c>
      <c r="M56" s="228">
        <f t="shared" si="37"/>
        <v>30882.504696449636</v>
      </c>
      <c r="N56" s="228">
        <f t="shared" si="37"/>
        <v>31495.227057096945</v>
      </c>
      <c r="O56" s="228">
        <f t="shared" si="37"/>
        <v>32120.105926258235</v>
      </c>
      <c r="P56" s="228">
        <f t="shared" si="37"/>
        <v>32757.382487572118</v>
      </c>
      <c r="Q56" s="228">
        <f t="shared" si="37"/>
        <v>33407.302709662719</v>
      </c>
      <c r="R56" s="228">
        <f t="shared" si="37"/>
        <v>34070.117441070361</v>
      </c>
      <c r="S56" s="228">
        <f t="shared" si="37"/>
        <v>34746.082507065796</v>
      </c>
      <c r="T56" s="228">
        <f t="shared" si="37"/>
        <v>35435.458808384967</v>
      </c>
      <c r="U56" s="228">
        <f t="shared" si="37"/>
        <v>36138.5124219227</v>
      </c>
      <c r="V56" s="228">
        <f t="shared" si="37"/>
        <v>36855.514703423913</v>
      </c>
      <c r="W56" s="228">
        <f t="shared" ref="W56:AB56" si="38">W30-(W38+W42+W46+W53)</f>
        <v>37586.742392212254</v>
      </c>
      <c r="X56" s="228">
        <f t="shared" si="38"/>
        <v>38332.477717996429</v>
      </c>
      <c r="Y56" s="228">
        <f t="shared" si="38"/>
        <v>39093.008509795349</v>
      </c>
      <c r="Z56" s="228">
        <f t="shared" si="38"/>
        <v>39868.628307024352</v>
      </c>
      <c r="AA56" s="228">
        <f t="shared" si="38"/>
        <v>40659.636472785205</v>
      </c>
      <c r="AB56" s="228">
        <f t="shared" si="38"/>
        <v>41466.338309403734</v>
      </c>
      <c r="AC56" s="228"/>
    </row>
    <row r="57" spans="1:29" ht="14" x14ac:dyDescent="0.2">
      <c r="A57" s="3"/>
      <c r="B57" s="210" t="s">
        <v>172</v>
      </c>
      <c r="C57" s="253"/>
      <c r="D57" s="228">
        <f t="shared" ref="D57:AB57" si="39">IF(AND(Owner_is_Taxpayer_Non_Taxpayer?="Taxpayer",D56&gt;0),D56*Taxpayer_Marginal_Rate,0)</f>
        <v>0</v>
      </c>
      <c r="E57" s="228">
        <f t="shared" si="39"/>
        <v>0</v>
      </c>
      <c r="F57" s="228">
        <f t="shared" si="39"/>
        <v>0</v>
      </c>
      <c r="G57" s="228">
        <f t="shared" si="39"/>
        <v>0</v>
      </c>
      <c r="H57" s="228">
        <f t="shared" si="39"/>
        <v>0</v>
      </c>
      <c r="I57" s="228">
        <f t="shared" si="39"/>
        <v>751.11728402866538</v>
      </c>
      <c r="J57" s="228">
        <f t="shared" si="39"/>
        <v>6114.1362789908299</v>
      </c>
      <c r="K57" s="228">
        <f t="shared" si="39"/>
        <v>6235.4435082189257</v>
      </c>
      <c r="L57" s="228">
        <f t="shared" si="39"/>
        <v>6359.157494041594</v>
      </c>
      <c r="M57" s="228">
        <f t="shared" si="39"/>
        <v>6485.3259862544237</v>
      </c>
      <c r="N57" s="228">
        <f t="shared" si="39"/>
        <v>6613.9976819903586</v>
      </c>
      <c r="O57" s="228">
        <f t="shared" si="39"/>
        <v>6745.2222445142288</v>
      </c>
      <c r="P57" s="228">
        <f t="shared" si="39"/>
        <v>6879.0503223901442</v>
      </c>
      <c r="Q57" s="228">
        <f t="shared" si="39"/>
        <v>7015.5335690291704</v>
      </c>
      <c r="R57" s="228">
        <f t="shared" si="39"/>
        <v>7154.7246626247752</v>
      </c>
      <c r="S57" s="228">
        <f t="shared" si="39"/>
        <v>7296.6773264838166</v>
      </c>
      <c r="T57" s="228">
        <f t="shared" si="39"/>
        <v>7441.4463497608431</v>
      </c>
      <c r="U57" s="228">
        <f t="shared" si="39"/>
        <v>7589.087608603767</v>
      </c>
      <c r="V57" s="228">
        <f t="shared" si="39"/>
        <v>7739.6580877190218</v>
      </c>
      <c r="W57" s="228">
        <f t="shared" si="39"/>
        <v>7893.2159023645727</v>
      </c>
      <c r="X57" s="228">
        <f t="shared" si="39"/>
        <v>8049.8203207792503</v>
      </c>
      <c r="Y57" s="228">
        <f t="shared" si="39"/>
        <v>8209.5317870570234</v>
      </c>
      <c r="Z57" s="228">
        <f t="shared" si="39"/>
        <v>8372.4119444751141</v>
      </c>
      <c r="AA57" s="228">
        <f t="shared" si="39"/>
        <v>8538.5236592848923</v>
      </c>
      <c r="AB57" s="228">
        <f t="shared" si="39"/>
        <v>8707.9310449747845</v>
      </c>
      <c r="AC57" s="228"/>
    </row>
    <row r="58" spans="1:29" ht="14" x14ac:dyDescent="0.2">
      <c r="A58" s="3"/>
      <c r="B58" s="210" t="s">
        <v>141</v>
      </c>
      <c r="C58" s="253"/>
      <c r="D58" s="228">
        <f>IF(AND(Tax_Credit_Selector_ITC_or_PTC="ITC",Federal_ITC_Cash_Sale_OnOff="Off",D17=1),Federal_ITC_Dollar_Value,0)</f>
        <v>156936.71447249997</v>
      </c>
      <c r="E58" s="228">
        <f>IF(Tax_Efficient_Status?="Not Efficient",D59,0)</f>
        <v>0</v>
      </c>
      <c r="F58" s="228">
        <f t="shared" ref="F58:V58" si="40">IF(Tax_Efficient_Status?="Not Efficient",E59,0)</f>
        <v>0</v>
      </c>
      <c r="G58" s="228">
        <f t="shared" si="40"/>
        <v>0</v>
      </c>
      <c r="H58" s="228">
        <f t="shared" si="40"/>
        <v>0</v>
      </c>
      <c r="I58" s="228">
        <f t="shared" si="40"/>
        <v>0</v>
      </c>
      <c r="J58" s="228">
        <f t="shared" si="40"/>
        <v>0</v>
      </c>
      <c r="K58" s="228">
        <f t="shared" si="40"/>
        <v>0</v>
      </c>
      <c r="L58" s="228">
        <f t="shared" si="40"/>
        <v>0</v>
      </c>
      <c r="M58" s="228">
        <f t="shared" si="40"/>
        <v>0</v>
      </c>
      <c r="N58" s="228">
        <f t="shared" si="40"/>
        <v>0</v>
      </c>
      <c r="O58" s="228">
        <f t="shared" si="40"/>
        <v>0</v>
      </c>
      <c r="P58" s="228">
        <f t="shared" si="40"/>
        <v>0</v>
      </c>
      <c r="Q58" s="228">
        <f t="shared" si="40"/>
        <v>0</v>
      </c>
      <c r="R58" s="228">
        <f t="shared" si="40"/>
        <v>0</v>
      </c>
      <c r="S58" s="228">
        <f t="shared" si="40"/>
        <v>0</v>
      </c>
      <c r="T58" s="228">
        <f t="shared" si="40"/>
        <v>0</v>
      </c>
      <c r="U58" s="228">
        <f t="shared" si="40"/>
        <v>0</v>
      </c>
      <c r="V58" s="228">
        <f t="shared" si="40"/>
        <v>0</v>
      </c>
      <c r="W58" s="228">
        <f t="shared" ref="W58:AB58" si="41">IF(Tax_Efficient_Status?="Not Efficient",V59,0)</f>
        <v>0</v>
      </c>
      <c r="X58" s="228">
        <f t="shared" si="41"/>
        <v>0</v>
      </c>
      <c r="Y58" s="228">
        <f t="shared" si="41"/>
        <v>0</v>
      </c>
      <c r="Z58" s="228">
        <f t="shared" si="41"/>
        <v>0</v>
      </c>
      <c r="AA58" s="228">
        <f t="shared" si="41"/>
        <v>0</v>
      </c>
      <c r="AB58" s="228">
        <f t="shared" si="41"/>
        <v>0</v>
      </c>
      <c r="AC58" s="228"/>
    </row>
    <row r="59" spans="1:29" ht="15" thickBot="1" x14ac:dyDescent="0.25">
      <c r="A59" s="3"/>
      <c r="B59" s="210" t="s">
        <v>290</v>
      </c>
      <c r="C59" s="253"/>
      <c r="D59" s="247">
        <f>IF(D58&gt;D57,D58-D57,0)</f>
        <v>156936.71447249997</v>
      </c>
      <c r="E59" s="247">
        <f>IF(Tax_Efficient_Status?="Not Efficient",IF(E58&gt;E57,E58-E57,0),0)</f>
        <v>0</v>
      </c>
      <c r="F59" s="247">
        <f t="shared" ref="F59:V59" si="42">IF(Tax_Efficient_Status?="Not Efficient",IF(F58&gt;F57,F58-F57,0),0)</f>
        <v>0</v>
      </c>
      <c r="G59" s="247">
        <f t="shared" si="42"/>
        <v>0</v>
      </c>
      <c r="H59" s="247">
        <f t="shared" si="42"/>
        <v>0</v>
      </c>
      <c r="I59" s="247">
        <f t="shared" si="42"/>
        <v>0</v>
      </c>
      <c r="J59" s="247">
        <f t="shared" si="42"/>
        <v>0</v>
      </c>
      <c r="K59" s="247">
        <f t="shared" si="42"/>
        <v>0</v>
      </c>
      <c r="L59" s="247">
        <f t="shared" si="42"/>
        <v>0</v>
      </c>
      <c r="M59" s="247">
        <f t="shared" si="42"/>
        <v>0</v>
      </c>
      <c r="N59" s="247">
        <f t="shared" si="42"/>
        <v>0</v>
      </c>
      <c r="O59" s="247">
        <f t="shared" si="42"/>
        <v>0</v>
      </c>
      <c r="P59" s="247">
        <f t="shared" si="42"/>
        <v>0</v>
      </c>
      <c r="Q59" s="247">
        <f t="shared" si="42"/>
        <v>0</v>
      </c>
      <c r="R59" s="247">
        <f t="shared" si="42"/>
        <v>0</v>
      </c>
      <c r="S59" s="247">
        <f t="shared" si="42"/>
        <v>0</v>
      </c>
      <c r="T59" s="247">
        <f t="shared" si="42"/>
        <v>0</v>
      </c>
      <c r="U59" s="247">
        <f t="shared" si="42"/>
        <v>0</v>
      </c>
      <c r="V59" s="247">
        <f t="shared" si="42"/>
        <v>0</v>
      </c>
      <c r="W59" s="247">
        <f t="shared" ref="W59:AB59" si="43">IF(Tax_Efficient_Status?="Not Efficient",IF(W58&gt;W57,W58-W57,0),0)</f>
        <v>0</v>
      </c>
      <c r="X59" s="247">
        <f t="shared" si="43"/>
        <v>0</v>
      </c>
      <c r="Y59" s="247">
        <f t="shared" si="43"/>
        <v>0</v>
      </c>
      <c r="Z59" s="247">
        <f t="shared" si="43"/>
        <v>0</v>
      </c>
      <c r="AA59" s="247">
        <f t="shared" si="43"/>
        <v>0</v>
      </c>
      <c r="AB59" s="247">
        <f t="shared" si="43"/>
        <v>0</v>
      </c>
      <c r="AC59" s="247"/>
    </row>
    <row r="60" spans="1:29" ht="15" thickTop="1" x14ac:dyDescent="0.2">
      <c r="A60" s="3"/>
      <c r="B60" s="211" t="s">
        <v>237</v>
      </c>
      <c r="C60" s="253"/>
      <c r="D60" s="228">
        <f>IF(D58&gt;D57,0,D57-D58)</f>
        <v>0</v>
      </c>
      <c r="E60" s="228">
        <f t="shared" ref="E60:V60" si="44">IF(E58&gt;E57,0,E57-E58)</f>
        <v>0</v>
      </c>
      <c r="F60" s="228">
        <f t="shared" si="44"/>
        <v>0</v>
      </c>
      <c r="G60" s="228">
        <f t="shared" si="44"/>
        <v>0</v>
      </c>
      <c r="H60" s="228">
        <f t="shared" si="44"/>
        <v>0</v>
      </c>
      <c r="I60" s="228">
        <f t="shared" si="44"/>
        <v>751.11728402866538</v>
      </c>
      <c r="J60" s="228">
        <f t="shared" si="44"/>
        <v>6114.1362789908299</v>
      </c>
      <c r="K60" s="228">
        <f t="shared" si="44"/>
        <v>6235.4435082189257</v>
      </c>
      <c r="L60" s="228">
        <f t="shared" si="44"/>
        <v>6359.157494041594</v>
      </c>
      <c r="M60" s="228">
        <f t="shared" si="44"/>
        <v>6485.3259862544237</v>
      </c>
      <c r="N60" s="228">
        <f t="shared" si="44"/>
        <v>6613.9976819903586</v>
      </c>
      <c r="O60" s="228">
        <f t="shared" si="44"/>
        <v>6745.2222445142288</v>
      </c>
      <c r="P60" s="228">
        <f t="shared" si="44"/>
        <v>6879.0503223901442</v>
      </c>
      <c r="Q60" s="228">
        <f t="shared" si="44"/>
        <v>7015.5335690291704</v>
      </c>
      <c r="R60" s="228">
        <f t="shared" si="44"/>
        <v>7154.7246626247752</v>
      </c>
      <c r="S60" s="228">
        <f t="shared" si="44"/>
        <v>7296.6773264838166</v>
      </c>
      <c r="T60" s="228">
        <f t="shared" si="44"/>
        <v>7441.4463497608431</v>
      </c>
      <c r="U60" s="228">
        <f t="shared" si="44"/>
        <v>7589.087608603767</v>
      </c>
      <c r="V60" s="228">
        <f t="shared" si="44"/>
        <v>7739.6580877190218</v>
      </c>
      <c r="W60" s="228">
        <f t="shared" ref="W60:AB60" si="45">IF(W58&gt;W57,0,W57-W58)</f>
        <v>7893.2159023645727</v>
      </c>
      <c r="X60" s="228">
        <f t="shared" si="45"/>
        <v>8049.8203207792503</v>
      </c>
      <c r="Y60" s="228">
        <f t="shared" si="45"/>
        <v>8209.5317870570234</v>
      </c>
      <c r="Z60" s="228">
        <f t="shared" si="45"/>
        <v>8372.4119444751141</v>
      </c>
      <c r="AA60" s="228">
        <f t="shared" si="45"/>
        <v>8538.5236592848923</v>
      </c>
      <c r="AB60" s="228">
        <f t="shared" si="45"/>
        <v>8707.9310449747845</v>
      </c>
      <c r="AC60" s="228"/>
    </row>
    <row r="61" spans="1:29" ht="14" x14ac:dyDescent="0.2">
      <c r="A61" s="3"/>
      <c r="B61" s="210"/>
      <c r="C61" s="253"/>
      <c r="D61" s="228"/>
      <c r="E61" s="228"/>
      <c r="F61" s="228"/>
      <c r="G61" s="228"/>
      <c r="H61" s="228"/>
      <c r="I61" s="228"/>
      <c r="J61" s="228"/>
      <c r="K61" s="228"/>
      <c r="L61" s="228"/>
      <c r="M61" s="228"/>
      <c r="N61" s="228"/>
      <c r="O61" s="228"/>
      <c r="P61" s="228"/>
      <c r="Q61" s="228"/>
      <c r="R61" s="228"/>
      <c r="S61" s="228"/>
      <c r="T61" s="228"/>
      <c r="U61" s="228"/>
      <c r="V61" s="228"/>
      <c r="W61" s="228"/>
      <c r="X61" s="228"/>
      <c r="Y61" s="228"/>
      <c r="Z61" s="228"/>
      <c r="AA61" s="228"/>
      <c r="AB61" s="228"/>
      <c r="AC61" s="228"/>
    </row>
    <row r="62" spans="1:29" ht="14" x14ac:dyDescent="0.2">
      <c r="A62" s="3"/>
      <c r="B62" s="334" t="s">
        <v>272</v>
      </c>
      <c r="C62" s="335"/>
      <c r="D62" s="196">
        <f t="shared" ref="D62:V62" si="46">(D56-D60)</f>
        <v>-62389.776304000348</v>
      </c>
      <c r="E62" s="196">
        <f t="shared" si="46"/>
        <v>-115221.67235319581</v>
      </c>
      <c r="F62" s="196">
        <f t="shared" si="46"/>
        <v>-57768.922773736143</v>
      </c>
      <c r="G62" s="196">
        <f t="shared" si="46"/>
        <v>-23071.804368299978</v>
      </c>
      <c r="H62" s="196">
        <f t="shared" si="46"/>
        <v>-22513.248768133009</v>
      </c>
      <c r="I62" s="196">
        <f t="shared" si="46"/>
        <v>2825.6316875364082</v>
      </c>
      <c r="J62" s="196">
        <f t="shared" si="46"/>
        <v>23000.798382870264</v>
      </c>
      <c r="K62" s="196">
        <f t="shared" si="46"/>
        <v>23457.144626156911</v>
      </c>
      <c r="L62" s="196">
        <f t="shared" si="46"/>
        <v>23922.544858537425</v>
      </c>
      <c r="M62" s="196">
        <f t="shared" si="46"/>
        <v>24397.178710195214</v>
      </c>
      <c r="N62" s="196">
        <f t="shared" si="46"/>
        <v>24881.229375106588</v>
      </c>
      <c r="O62" s="196">
        <f t="shared" si="46"/>
        <v>25374.883681744006</v>
      </c>
      <c r="P62" s="196">
        <f t="shared" si="46"/>
        <v>25878.332165181975</v>
      </c>
      <c r="Q62" s="196">
        <f t="shared" si="46"/>
        <v>26391.769140633551</v>
      </c>
      <c r="R62" s="196">
        <f t="shared" si="46"/>
        <v>26915.392778445585</v>
      </c>
      <c r="S62" s="196">
        <f t="shared" si="46"/>
        <v>27449.40518058198</v>
      </c>
      <c r="T62" s="196">
        <f t="shared" si="46"/>
        <v>27994.012458624122</v>
      </c>
      <c r="U62" s="196">
        <f t="shared" si="46"/>
        <v>28549.424813318932</v>
      </c>
      <c r="V62" s="196">
        <f t="shared" si="46"/>
        <v>29115.856615704892</v>
      </c>
      <c r="W62" s="196">
        <f t="shared" ref="W62:AB62" si="47">(W56-W60)</f>
        <v>29693.526489847682</v>
      </c>
      <c r="X62" s="196">
        <f t="shared" si="47"/>
        <v>30282.657397217179</v>
      </c>
      <c r="Y62" s="196">
        <f t="shared" si="47"/>
        <v>30883.476722738327</v>
      </c>
      <c r="Z62" s="196">
        <f t="shared" si="47"/>
        <v>31496.216362549239</v>
      </c>
      <c r="AA62" s="196">
        <f t="shared" si="47"/>
        <v>32121.112813500313</v>
      </c>
      <c r="AB62" s="196">
        <f t="shared" si="47"/>
        <v>32758.407264428948</v>
      </c>
      <c r="AC62" s="196"/>
    </row>
    <row r="66" spans="1:32" ht="16" x14ac:dyDescent="0.2">
      <c r="A66" s="3"/>
      <c r="B66" s="577" t="s">
        <v>378</v>
      </c>
      <c r="C66" s="578"/>
      <c r="D66" s="578"/>
      <c r="E66" s="2"/>
      <c r="F66" s="2"/>
      <c r="G66" s="2"/>
      <c r="H66" s="2"/>
      <c r="I66" s="2"/>
      <c r="J66" s="2"/>
      <c r="K66" s="2"/>
      <c r="L66" s="2"/>
      <c r="M66" s="2"/>
      <c r="N66" s="2"/>
      <c r="O66" s="2"/>
      <c r="P66" s="2"/>
      <c r="Q66" s="2"/>
      <c r="R66" s="2"/>
      <c r="S66" s="2"/>
      <c r="T66" s="2"/>
      <c r="U66" s="2"/>
      <c r="V66" s="2"/>
      <c r="W66" s="2"/>
      <c r="X66" s="2"/>
      <c r="Y66" s="2"/>
      <c r="Z66" s="2"/>
      <c r="AA66" s="2"/>
      <c r="AB66" s="2"/>
    </row>
    <row r="67" spans="1:32" ht="14" x14ac:dyDescent="0.2">
      <c r="A67" s="3"/>
      <c r="B67" s="7" t="s">
        <v>32</v>
      </c>
      <c r="C67" s="16">
        <v>0</v>
      </c>
      <c r="D67" s="4">
        <f t="shared" ref="D67:V67" si="48">C67+1</f>
        <v>1</v>
      </c>
      <c r="E67" s="4">
        <f t="shared" si="48"/>
        <v>2</v>
      </c>
      <c r="F67" s="4">
        <f t="shared" si="48"/>
        <v>3</v>
      </c>
      <c r="G67" s="4">
        <f t="shared" si="48"/>
        <v>4</v>
      </c>
      <c r="H67" s="4">
        <f t="shared" si="48"/>
        <v>5</v>
      </c>
      <c r="I67" s="4">
        <f t="shared" si="48"/>
        <v>6</v>
      </c>
      <c r="J67" s="4">
        <f t="shared" si="48"/>
        <v>7</v>
      </c>
      <c r="K67" s="4">
        <f t="shared" si="48"/>
        <v>8</v>
      </c>
      <c r="L67" s="4">
        <f t="shared" si="48"/>
        <v>9</v>
      </c>
      <c r="M67" s="4">
        <f t="shared" si="48"/>
        <v>10</v>
      </c>
      <c r="N67" s="4">
        <f t="shared" si="48"/>
        <v>11</v>
      </c>
      <c r="O67" s="4">
        <f t="shared" si="48"/>
        <v>12</v>
      </c>
      <c r="P67" s="4">
        <f t="shared" si="48"/>
        <v>13</v>
      </c>
      <c r="Q67" s="4">
        <f t="shared" si="48"/>
        <v>14</v>
      </c>
      <c r="R67" s="4">
        <f t="shared" si="48"/>
        <v>15</v>
      </c>
      <c r="S67" s="4">
        <f t="shared" si="48"/>
        <v>16</v>
      </c>
      <c r="T67" s="4">
        <f t="shared" si="48"/>
        <v>17</v>
      </c>
      <c r="U67" s="4">
        <f t="shared" si="48"/>
        <v>18</v>
      </c>
      <c r="V67" s="4">
        <f t="shared" si="48"/>
        <v>19</v>
      </c>
      <c r="W67" s="4">
        <f t="shared" ref="W67:AB67" si="49">V67+1</f>
        <v>20</v>
      </c>
      <c r="X67" s="4">
        <f t="shared" si="49"/>
        <v>21</v>
      </c>
      <c r="Y67" s="4">
        <f t="shared" si="49"/>
        <v>22</v>
      </c>
      <c r="Z67" s="4">
        <f t="shared" si="49"/>
        <v>23</v>
      </c>
      <c r="AA67" s="4">
        <f t="shared" si="49"/>
        <v>24</v>
      </c>
      <c r="AB67" s="4">
        <f t="shared" si="49"/>
        <v>25</v>
      </c>
    </row>
    <row r="68" spans="1:32" ht="14" x14ac:dyDescent="0.2">
      <c r="A68" s="3"/>
      <c r="B68" s="233" t="s">
        <v>138</v>
      </c>
      <c r="C68" s="253"/>
      <c r="D68" s="228"/>
      <c r="E68" s="228"/>
      <c r="F68" s="228"/>
      <c r="G68" s="228"/>
      <c r="H68" s="228"/>
      <c r="I68" s="228"/>
      <c r="J68" s="228"/>
      <c r="K68" s="228"/>
      <c r="L68" s="228"/>
      <c r="M68" s="228"/>
      <c r="N68" s="228"/>
      <c r="O68" s="228"/>
      <c r="P68" s="228"/>
      <c r="Q68" s="228"/>
      <c r="R68" s="228"/>
      <c r="S68" s="228"/>
      <c r="T68" s="228"/>
      <c r="U68" s="228"/>
      <c r="V68" s="228"/>
      <c r="W68" s="228"/>
      <c r="X68" s="228"/>
      <c r="Y68" s="228"/>
      <c r="Z68" s="228"/>
      <c r="AA68" s="228"/>
      <c r="AB68" s="228"/>
    </row>
    <row r="69" spans="1:32" ht="14" x14ac:dyDescent="0.2">
      <c r="A69" s="3"/>
      <c r="B69" s="210" t="s">
        <v>168</v>
      </c>
      <c r="C69" s="253"/>
      <c r="D69" s="228">
        <f>IF(OR(Owner_is_Taxpayer_Non_Taxpayer?="Non-Taxpayer",Tax_Efficient_Status?="Not Efficient", Tax_Credit_Selector_ITC_or_PTC="PTC",Federal_ITC_Cash_Sale_OnOff="On"),0,Unstructured!D59)</f>
        <v>156936.71447249997</v>
      </c>
      <c r="E69" s="228"/>
      <c r="F69" s="228"/>
      <c r="G69" s="228"/>
      <c r="H69" s="228"/>
      <c r="I69" s="228"/>
      <c r="J69" s="228"/>
      <c r="K69" s="228"/>
      <c r="L69" s="228"/>
      <c r="M69" s="228"/>
      <c r="N69" s="228"/>
      <c r="O69" s="228"/>
      <c r="P69" s="228"/>
      <c r="Q69" s="228"/>
      <c r="R69" s="228"/>
      <c r="S69" s="228"/>
      <c r="T69" s="228"/>
      <c r="U69" s="228"/>
      <c r="V69" s="228"/>
      <c r="W69" s="228"/>
      <c r="X69" s="228"/>
      <c r="Y69" s="228"/>
      <c r="Z69" s="228"/>
      <c r="AA69" s="228"/>
      <c r="AB69" s="228"/>
    </row>
    <row r="70" spans="1:32" ht="14" x14ac:dyDescent="0.2">
      <c r="A70" s="3"/>
      <c r="B70" s="210" t="s">
        <v>236</v>
      </c>
      <c r="C70" s="253"/>
      <c r="D70" s="228">
        <f t="shared" ref="D70:AB70" si="50">IF(OR(Owner_is_Taxpayer_Non_Taxpayer?="Taxpayer",Tax_Efficient_Status?="State &amp; Federal", Tax_Efficient_Status?="Federal Only"),D124*(Taxpayer_Marginal_Rate),0)</f>
        <v>13101.853023840071</v>
      </c>
      <c r="E70" s="228">
        <f t="shared" si="50"/>
        <v>24196.551194171119</v>
      </c>
      <c r="F70" s="228">
        <f t="shared" si="50"/>
        <v>12131.473782484589</v>
      </c>
      <c r="G70" s="228">
        <f t="shared" si="50"/>
        <v>4845.0789173429948</v>
      </c>
      <c r="H70" s="228">
        <f t="shared" si="50"/>
        <v>4727.7822413079321</v>
      </c>
      <c r="I70" s="228">
        <f t="shared" si="50"/>
        <v>0</v>
      </c>
      <c r="J70" s="228">
        <f t="shared" si="50"/>
        <v>0</v>
      </c>
      <c r="K70" s="228">
        <f t="shared" si="50"/>
        <v>0</v>
      </c>
      <c r="L70" s="228">
        <f t="shared" si="50"/>
        <v>0</v>
      </c>
      <c r="M70" s="228">
        <f t="shared" si="50"/>
        <v>0</v>
      </c>
      <c r="N70" s="228">
        <f t="shared" si="50"/>
        <v>0</v>
      </c>
      <c r="O70" s="228">
        <f t="shared" si="50"/>
        <v>0</v>
      </c>
      <c r="P70" s="228">
        <f t="shared" si="50"/>
        <v>0</v>
      </c>
      <c r="Q70" s="228">
        <f t="shared" si="50"/>
        <v>0</v>
      </c>
      <c r="R70" s="228">
        <f t="shared" si="50"/>
        <v>0</v>
      </c>
      <c r="S70" s="228">
        <f t="shared" si="50"/>
        <v>0</v>
      </c>
      <c r="T70" s="228">
        <f t="shared" si="50"/>
        <v>0</v>
      </c>
      <c r="U70" s="228">
        <f t="shared" si="50"/>
        <v>0</v>
      </c>
      <c r="V70" s="228">
        <f t="shared" si="50"/>
        <v>0</v>
      </c>
      <c r="W70" s="228">
        <f t="shared" si="50"/>
        <v>0</v>
      </c>
      <c r="X70" s="228">
        <f t="shared" si="50"/>
        <v>0</v>
      </c>
      <c r="Y70" s="228">
        <f t="shared" si="50"/>
        <v>0</v>
      </c>
      <c r="Z70" s="228">
        <f t="shared" si="50"/>
        <v>0</v>
      </c>
      <c r="AA70" s="228">
        <f t="shared" si="50"/>
        <v>0</v>
      </c>
      <c r="AB70" s="228">
        <f t="shared" si="50"/>
        <v>0</v>
      </c>
    </row>
    <row r="71" spans="1:32" ht="14" x14ac:dyDescent="0.2">
      <c r="A71" s="3"/>
      <c r="B71" s="210" t="s">
        <v>359</v>
      </c>
      <c r="C71" s="253"/>
      <c r="D71" s="228">
        <f>IF(OR(Owner_is_Taxpayer_Non_Taxpayer?="Non-Taxpayer",Tax_Efficient_Status?="Not Efficient"),0,D52)</f>
        <v>0</v>
      </c>
      <c r="E71" s="228"/>
      <c r="F71" s="228"/>
      <c r="G71" s="228"/>
      <c r="H71" s="228"/>
      <c r="I71" s="228"/>
      <c r="J71" s="228"/>
      <c r="K71" s="228"/>
      <c r="L71" s="228"/>
      <c r="M71" s="228"/>
      <c r="N71" s="228"/>
      <c r="O71" s="228"/>
      <c r="P71" s="228"/>
      <c r="Q71" s="228"/>
      <c r="R71" s="228"/>
      <c r="S71" s="228"/>
      <c r="T71" s="228"/>
      <c r="U71" s="228"/>
      <c r="V71" s="228"/>
      <c r="W71" s="228"/>
      <c r="X71" s="228"/>
      <c r="Y71" s="228"/>
      <c r="Z71" s="228"/>
      <c r="AA71" s="228"/>
      <c r="AB71" s="228"/>
    </row>
    <row r="72" spans="1:32" ht="15" thickBot="1" x14ac:dyDescent="0.25">
      <c r="A72" s="3"/>
      <c r="B72" s="210" t="s">
        <v>206</v>
      </c>
      <c r="C72" s="253"/>
      <c r="D72" s="247">
        <f t="shared" ref="D72:AB72" si="51">IF(OR(Owner_is_Taxpayer_Non_Taxpayer?="Taxpayer",Tax_Efficient_Status?="State &amp; Federal"),D117*State_Income_Tax_Rate*(1-Taxpayer_Marginal_Rate),0)</f>
        <v>1232.1980820040069</v>
      </c>
      <c r="E72" s="247">
        <f t="shared" si="51"/>
        <v>2275.6280289756178</v>
      </c>
      <c r="F72" s="247">
        <f t="shared" si="51"/>
        <v>1140.9362247812887</v>
      </c>
      <c r="G72" s="247">
        <f t="shared" si="51"/>
        <v>455.66813627392457</v>
      </c>
      <c r="H72" s="247">
        <f t="shared" si="51"/>
        <v>444.636663170627</v>
      </c>
      <c r="I72" s="247">
        <f t="shared" si="51"/>
        <v>0</v>
      </c>
      <c r="J72" s="247">
        <f t="shared" si="51"/>
        <v>0</v>
      </c>
      <c r="K72" s="247">
        <f t="shared" si="51"/>
        <v>0</v>
      </c>
      <c r="L72" s="247">
        <f t="shared" si="51"/>
        <v>0</v>
      </c>
      <c r="M72" s="247">
        <f t="shared" si="51"/>
        <v>0</v>
      </c>
      <c r="N72" s="247">
        <f t="shared" si="51"/>
        <v>0</v>
      </c>
      <c r="O72" s="247">
        <f t="shared" si="51"/>
        <v>0</v>
      </c>
      <c r="P72" s="247">
        <f t="shared" si="51"/>
        <v>0</v>
      </c>
      <c r="Q72" s="247">
        <f t="shared" si="51"/>
        <v>0</v>
      </c>
      <c r="R72" s="247">
        <f t="shared" si="51"/>
        <v>0</v>
      </c>
      <c r="S72" s="247">
        <f t="shared" si="51"/>
        <v>0</v>
      </c>
      <c r="T72" s="247">
        <f t="shared" si="51"/>
        <v>0</v>
      </c>
      <c r="U72" s="247">
        <f t="shared" si="51"/>
        <v>0</v>
      </c>
      <c r="V72" s="247">
        <f t="shared" si="51"/>
        <v>0</v>
      </c>
      <c r="W72" s="247">
        <f t="shared" si="51"/>
        <v>0</v>
      </c>
      <c r="X72" s="247">
        <f t="shared" si="51"/>
        <v>0</v>
      </c>
      <c r="Y72" s="247">
        <f t="shared" si="51"/>
        <v>0</v>
      </c>
      <c r="Z72" s="247">
        <f t="shared" si="51"/>
        <v>0</v>
      </c>
      <c r="AA72" s="247">
        <f t="shared" si="51"/>
        <v>0</v>
      </c>
      <c r="AB72" s="247">
        <f t="shared" si="51"/>
        <v>0</v>
      </c>
    </row>
    <row r="73" spans="1:32" ht="15" thickTop="1" x14ac:dyDescent="0.2">
      <c r="A73" s="3"/>
      <c r="B73" s="233" t="s">
        <v>106</v>
      </c>
      <c r="C73" s="253"/>
      <c r="D73" s="228">
        <f>SUM(D69:D72)</f>
        <v>171270.76557834403</v>
      </c>
      <c r="E73" s="228">
        <f t="shared" ref="E73:V73" si="52">SUM(E69:E72)</f>
        <v>26472.179223146737</v>
      </c>
      <c r="F73" s="228">
        <f t="shared" si="52"/>
        <v>13272.410007265877</v>
      </c>
      <c r="G73" s="228">
        <f t="shared" si="52"/>
        <v>5300.7470536169194</v>
      </c>
      <c r="H73" s="228">
        <f t="shared" si="52"/>
        <v>5172.4189044785589</v>
      </c>
      <c r="I73" s="228">
        <f t="shared" si="52"/>
        <v>0</v>
      </c>
      <c r="J73" s="228">
        <f t="shared" si="52"/>
        <v>0</v>
      </c>
      <c r="K73" s="228">
        <f t="shared" si="52"/>
        <v>0</v>
      </c>
      <c r="L73" s="228">
        <f t="shared" si="52"/>
        <v>0</v>
      </c>
      <c r="M73" s="228">
        <f t="shared" si="52"/>
        <v>0</v>
      </c>
      <c r="N73" s="228">
        <f t="shared" si="52"/>
        <v>0</v>
      </c>
      <c r="O73" s="228">
        <f t="shared" si="52"/>
        <v>0</v>
      </c>
      <c r="P73" s="228">
        <f t="shared" si="52"/>
        <v>0</v>
      </c>
      <c r="Q73" s="228">
        <f t="shared" si="52"/>
        <v>0</v>
      </c>
      <c r="R73" s="228">
        <f t="shared" si="52"/>
        <v>0</v>
      </c>
      <c r="S73" s="228">
        <f t="shared" si="52"/>
        <v>0</v>
      </c>
      <c r="T73" s="228">
        <f t="shared" si="52"/>
        <v>0</v>
      </c>
      <c r="U73" s="228">
        <f t="shared" si="52"/>
        <v>0</v>
      </c>
      <c r="V73" s="228">
        <f t="shared" si="52"/>
        <v>0</v>
      </c>
      <c r="W73" s="228">
        <f t="shared" ref="W73:AB73" si="53">SUM(W69:W72)</f>
        <v>0</v>
      </c>
      <c r="X73" s="228">
        <f t="shared" si="53"/>
        <v>0</v>
      </c>
      <c r="Y73" s="228">
        <f t="shared" si="53"/>
        <v>0</v>
      </c>
      <c r="Z73" s="228">
        <f t="shared" si="53"/>
        <v>0</v>
      </c>
      <c r="AA73" s="228">
        <f t="shared" si="53"/>
        <v>0</v>
      </c>
      <c r="AB73" s="228">
        <f t="shared" si="53"/>
        <v>0</v>
      </c>
    </row>
    <row r="74" spans="1:32" ht="14" x14ac:dyDescent="0.2">
      <c r="A74" s="3"/>
      <c r="B74" s="233"/>
      <c r="C74" s="228"/>
      <c r="D74" s="228"/>
      <c r="E74" s="228"/>
      <c r="F74" s="228"/>
      <c r="G74" s="228"/>
      <c r="H74" s="228"/>
      <c r="I74" s="228"/>
      <c r="J74" s="228"/>
      <c r="K74" s="228"/>
      <c r="L74" s="228"/>
      <c r="M74" s="228"/>
      <c r="N74" s="228"/>
      <c r="O74" s="228"/>
      <c r="P74" s="228"/>
      <c r="Q74" s="228"/>
      <c r="R74" s="228"/>
      <c r="S74" s="228"/>
      <c r="T74" s="228"/>
      <c r="U74" s="228"/>
      <c r="V74" s="228"/>
      <c r="W74" s="228"/>
      <c r="X74" s="228"/>
      <c r="Y74" s="228"/>
      <c r="Z74" s="228"/>
      <c r="AA74" s="228"/>
      <c r="AB74" s="228"/>
    </row>
    <row r="75" spans="1:32" ht="14" x14ac:dyDescent="0.2">
      <c r="A75" s="3"/>
      <c r="B75" s="233" t="s">
        <v>452</v>
      </c>
      <c r="C75" s="253"/>
      <c r="D75" s="228">
        <f>IF(Project_Debt?="Yes",-Unstructured!D100,0)</f>
        <v>0</v>
      </c>
      <c r="E75" s="228">
        <f>IF(Project_Debt?="Yes",-Unstructured!E100,0)</f>
        <v>0</v>
      </c>
      <c r="F75" s="228">
        <f>IF(Project_Debt?="Yes",-Unstructured!F100,0)</f>
        <v>0</v>
      </c>
      <c r="G75" s="228">
        <f>IF(Project_Debt?="Yes",-Unstructured!G100,0)</f>
        <v>0</v>
      </c>
      <c r="H75" s="228">
        <f>IF(Project_Debt?="Yes",-Unstructured!H100,0)</f>
        <v>0</v>
      </c>
      <c r="I75" s="228">
        <f>IF(Project_Debt?="Yes",-Unstructured!I100,0)</f>
        <v>0</v>
      </c>
      <c r="J75" s="228">
        <f>IF(Project_Debt?="Yes",-Unstructured!J100,0)</f>
        <v>0</v>
      </c>
      <c r="K75" s="228">
        <f>IF(Project_Debt?="Yes",-Unstructured!K100,0)</f>
        <v>0</v>
      </c>
      <c r="L75" s="228">
        <f>IF(Project_Debt?="Yes",-Unstructured!L100,0)</f>
        <v>0</v>
      </c>
      <c r="M75" s="228">
        <f>IF(Project_Debt?="Yes",-Unstructured!M100,0)</f>
        <v>0</v>
      </c>
      <c r="N75" s="228">
        <f>IF(Project_Debt?="Yes",-Unstructured!N100,0)</f>
        <v>0</v>
      </c>
      <c r="O75" s="228">
        <f>IF(Project_Debt?="Yes",-Unstructured!O100,0)</f>
        <v>0</v>
      </c>
      <c r="P75" s="228">
        <f>IF(Project_Debt?="Yes",-Unstructured!P100,0)</f>
        <v>0</v>
      </c>
      <c r="Q75" s="228">
        <f>IF(Project_Debt?="Yes",-Unstructured!Q100,0)</f>
        <v>0</v>
      </c>
      <c r="R75" s="228">
        <f>IF(Project_Debt?="Yes",-Unstructured!R100,0)</f>
        <v>0</v>
      </c>
      <c r="S75" s="228">
        <f>IF(Project_Debt?="Yes",-Unstructured!S100,0)</f>
        <v>0</v>
      </c>
      <c r="T75" s="228">
        <f>IF(Project_Debt?="Yes",-Unstructured!T100,0)</f>
        <v>0</v>
      </c>
      <c r="U75" s="228">
        <f>IF(Project_Debt?="Yes",-Unstructured!U100,0)</f>
        <v>0</v>
      </c>
      <c r="V75" s="228">
        <f>IF(Project_Debt?="Yes",-Unstructured!V100,0)</f>
        <v>0</v>
      </c>
      <c r="W75" s="228">
        <f>IF(Project_Debt?="Yes",-Unstructured!W100,0)</f>
        <v>0</v>
      </c>
      <c r="X75" s="228">
        <f>IF(Project_Debt?="Yes",-Unstructured!X100,0)</f>
        <v>0</v>
      </c>
      <c r="Y75" s="228">
        <f>IF(Project_Debt?="Yes",-Unstructured!Y100,0)</f>
        <v>0</v>
      </c>
      <c r="Z75" s="228">
        <f>IF(Project_Debt?="Yes",-Unstructured!Z100,0)</f>
        <v>0</v>
      </c>
      <c r="AA75" s="228">
        <f>IF(Project_Debt?="Yes",-Unstructured!AA100,0)</f>
        <v>0</v>
      </c>
      <c r="AB75" s="228">
        <f>IF(Project_Debt?="Yes",-Unstructured!AB100,0)</f>
        <v>0</v>
      </c>
    </row>
    <row r="76" spans="1:32" ht="14" x14ac:dyDescent="0.2">
      <c r="A76" s="3"/>
      <c r="B76" s="233" t="s">
        <v>453</v>
      </c>
      <c r="C76" s="253"/>
      <c r="D76" s="228">
        <f>IF(AND(Tax_Credit_Selector_ITC_or_PTC="ITC", D67&gt;=ITC_Cash_Sale_First_Year_Payment,D$67&lt;=(ITC_Cash_Sale_Number_of_Annual_Payments+1),Federal_ITC_Cash_Sale_OnOff="On", SUM($C$76:C76)&lt;(1-ITC_Cash_Sale_Discount_to_Purchase_Price)*Federal_ITC_Dollar_Value),
Federal_ITC_Dollar_Value/ITC_Cash_Sale_Number_of_Annual_Payments*(1-ITC_Cash_Sale_Discount_to_Purchase_Price),0)</f>
        <v>0</v>
      </c>
      <c r="E76" s="228">
        <f>IF(AND(Tax_Credit_Selector_ITC_or_PTC="ITC", E67&gt;=ITC_Cash_Sale_First_Year_Payment,E$67&lt;=(ITC_Cash_Sale_Number_of_Annual_Payments+1),Federal_ITC_Cash_Sale_OnOff="On", SUM($C$76:D76)&lt;(1-ITC_Cash_Sale_Discount_to_Purchase_Price)*Federal_ITC_Dollar_Value),
Federal_ITC_Dollar_Value/ITC_Cash_Sale_Number_of_Annual_Payments*(1-ITC_Cash_Sale_Discount_to_Purchase_Price),0)</f>
        <v>0</v>
      </c>
      <c r="F76" s="228">
        <f>IF(AND(Tax_Credit_Selector_ITC_or_PTC="ITC", F67&gt;=ITC_Cash_Sale_First_Year_Payment,F$67&lt;=(ITC_Cash_Sale_Number_of_Annual_Payments+1),Federal_ITC_Cash_Sale_OnOff="On", SUM($C$76:E76)&lt;(1-ITC_Cash_Sale_Discount_to_Purchase_Price)*Federal_ITC_Dollar_Value),
Federal_ITC_Dollar_Value/ITC_Cash_Sale_Number_of_Annual_Payments*(1-ITC_Cash_Sale_Discount_to_Purchase_Price),0)</f>
        <v>0</v>
      </c>
      <c r="G76" s="228">
        <f>IF(AND(Tax_Credit_Selector_ITC_or_PTC="ITC", G67&gt;=ITC_Cash_Sale_First_Year_Payment,G$67&lt;=(ITC_Cash_Sale_Number_of_Annual_Payments+1),Federal_ITC_Cash_Sale_OnOff="On", SUM($C$76:F76)&lt;(1-ITC_Cash_Sale_Discount_to_Purchase_Price)*Federal_ITC_Dollar_Value),
Federal_ITC_Dollar_Value/ITC_Cash_Sale_Number_of_Annual_Payments*(1-ITC_Cash_Sale_Discount_to_Purchase_Price),0)</f>
        <v>0</v>
      </c>
      <c r="H76" s="228">
        <f>IF(AND(Tax_Credit_Selector_ITC_or_PTC="ITC", H67&gt;=ITC_Cash_Sale_First_Year_Payment,H$67&lt;=(ITC_Cash_Sale_Number_of_Annual_Payments+1),Federal_ITC_Cash_Sale_OnOff="On", SUM($C$76:G76)&lt;(1-ITC_Cash_Sale_Discount_to_Purchase_Price)*Federal_ITC_Dollar_Value),
Federal_ITC_Dollar_Value/ITC_Cash_Sale_Number_of_Annual_Payments*(1-ITC_Cash_Sale_Discount_to_Purchase_Price),0)</f>
        <v>0</v>
      </c>
      <c r="I76" s="228">
        <f>IF(AND(Tax_Credit_Selector_ITC_or_PTC="ITC", I67&gt;=ITC_Cash_Sale_First_Year_Payment,I$67&lt;=(ITC_Cash_Sale_Number_of_Annual_Payments+1),Federal_ITC_Cash_Sale_OnOff="On", SUM($C$76:H76)&lt;(1-ITC_Cash_Sale_Discount_to_Purchase_Price)*Federal_ITC_Dollar_Value),
Federal_ITC_Dollar_Value/ITC_Cash_Sale_Number_of_Annual_Payments*(1-ITC_Cash_Sale_Discount_to_Purchase_Price),0)</f>
        <v>0</v>
      </c>
      <c r="J76" s="228">
        <f>IF(AND(Tax_Credit_Selector_ITC_or_PTC="ITC", J67&gt;=ITC_Cash_Sale_First_Year_Payment,J$67&lt;=(ITC_Cash_Sale_Number_of_Annual_Payments+1),Federal_ITC_Cash_Sale_OnOff="On", SUM($C$76:I76)&lt;(1-ITC_Cash_Sale_Discount_to_Purchase_Price)*Federal_ITC_Dollar_Value),
Federal_ITC_Dollar_Value/ITC_Cash_Sale_Number_of_Annual_Payments*(1-ITC_Cash_Sale_Discount_to_Purchase_Price),0)</f>
        <v>0</v>
      </c>
      <c r="K76" s="228">
        <f>IF(AND(Tax_Credit_Selector_ITC_or_PTC="ITC", K67&gt;=ITC_Cash_Sale_First_Year_Payment,K$67&lt;=(ITC_Cash_Sale_Number_of_Annual_Payments+1),Federal_ITC_Cash_Sale_OnOff="On", SUM($C$76:J76)&lt;(1-ITC_Cash_Sale_Discount_to_Purchase_Price)*Federal_ITC_Dollar_Value),
Federal_ITC_Dollar_Value/ITC_Cash_Sale_Number_of_Annual_Payments*(1-ITC_Cash_Sale_Discount_to_Purchase_Price),0)</f>
        <v>0</v>
      </c>
      <c r="L76" s="228">
        <f>IF(AND(Tax_Credit_Selector_ITC_or_PTC="ITC", L67&gt;=ITC_Cash_Sale_First_Year_Payment,L$67&lt;=(ITC_Cash_Sale_Number_of_Annual_Payments+1),Federal_ITC_Cash_Sale_OnOff="On", SUM($C$76:K76)&lt;(1-ITC_Cash_Sale_Discount_to_Purchase_Price)*Federal_ITC_Dollar_Value),
Federal_ITC_Dollar_Value/ITC_Cash_Sale_Number_of_Annual_Payments*(1-ITC_Cash_Sale_Discount_to_Purchase_Price),0)</f>
        <v>0</v>
      </c>
      <c r="M76" s="228">
        <f>IF(AND(Tax_Credit_Selector_ITC_or_PTC="ITC", M67&gt;=ITC_Cash_Sale_First_Year_Payment,M$67&lt;=(ITC_Cash_Sale_Number_of_Annual_Payments+1),Federal_ITC_Cash_Sale_OnOff="On", SUM($C$76:L76)&lt;(1-ITC_Cash_Sale_Discount_to_Purchase_Price)*Federal_ITC_Dollar_Value),
Federal_ITC_Dollar_Value/ITC_Cash_Sale_Number_of_Annual_Payments*(1-ITC_Cash_Sale_Discount_to_Purchase_Price),0)</f>
        <v>0</v>
      </c>
      <c r="N76" s="228">
        <f>IF(AND(Tax_Credit_Selector_ITC_or_PTC="ITC", N67&gt;=ITC_Cash_Sale_First_Year_Payment,N$67&lt;=(ITC_Cash_Sale_Number_of_Annual_Payments+1),Federal_ITC_Cash_Sale_OnOff="On", SUM($C$76:M76)&lt;(1-ITC_Cash_Sale_Discount_to_Purchase_Price)*Federal_ITC_Dollar_Value),
Federal_ITC_Dollar_Value/ITC_Cash_Sale_Number_of_Annual_Payments*(1-ITC_Cash_Sale_Discount_to_Purchase_Price),0)</f>
        <v>0</v>
      </c>
      <c r="O76" s="228">
        <f>IF(AND(Tax_Credit_Selector_ITC_or_PTC="ITC", O67&gt;=ITC_Cash_Sale_First_Year_Payment,O$67&lt;=(ITC_Cash_Sale_Number_of_Annual_Payments+1),Federal_ITC_Cash_Sale_OnOff="On", SUM($C$76:N76)&lt;(1-ITC_Cash_Sale_Discount_to_Purchase_Price)*Federal_ITC_Dollar_Value),
Federal_ITC_Dollar_Value/ITC_Cash_Sale_Number_of_Annual_Payments*(1-ITC_Cash_Sale_Discount_to_Purchase_Price),0)</f>
        <v>0</v>
      </c>
      <c r="P76" s="228">
        <f>IF(AND(Tax_Credit_Selector_ITC_or_PTC="ITC", P67&gt;=ITC_Cash_Sale_First_Year_Payment,P$67&lt;=(ITC_Cash_Sale_Number_of_Annual_Payments+1),Federal_ITC_Cash_Sale_OnOff="On", SUM($C$76:O76)&lt;(1-ITC_Cash_Sale_Discount_to_Purchase_Price)*Federal_ITC_Dollar_Value),
Federal_ITC_Dollar_Value/ITC_Cash_Sale_Number_of_Annual_Payments*(1-ITC_Cash_Sale_Discount_to_Purchase_Price),0)</f>
        <v>0</v>
      </c>
      <c r="Q76" s="228">
        <f>IF(AND(Tax_Credit_Selector_ITC_or_PTC="ITC", Q67&gt;=ITC_Cash_Sale_First_Year_Payment,Q$67&lt;=(ITC_Cash_Sale_Number_of_Annual_Payments+1),Federal_ITC_Cash_Sale_OnOff="On", SUM($C$76:P76)&lt;(1-ITC_Cash_Sale_Discount_to_Purchase_Price)*Federal_ITC_Dollar_Value),
Federal_ITC_Dollar_Value/ITC_Cash_Sale_Number_of_Annual_Payments*(1-ITC_Cash_Sale_Discount_to_Purchase_Price),0)</f>
        <v>0</v>
      </c>
      <c r="R76" s="228">
        <f>IF(AND(Tax_Credit_Selector_ITC_or_PTC="ITC", R67&gt;=ITC_Cash_Sale_First_Year_Payment,R$67&lt;=(ITC_Cash_Sale_Number_of_Annual_Payments+1),Federal_ITC_Cash_Sale_OnOff="On", SUM($C$76:Q76)&lt;(1-ITC_Cash_Sale_Discount_to_Purchase_Price)*Federal_ITC_Dollar_Value),
Federal_ITC_Dollar_Value/ITC_Cash_Sale_Number_of_Annual_Payments*(1-ITC_Cash_Sale_Discount_to_Purchase_Price),0)</f>
        <v>0</v>
      </c>
      <c r="S76" s="228">
        <f>IF(AND(Tax_Credit_Selector_ITC_or_PTC="ITC", S67&gt;=ITC_Cash_Sale_First_Year_Payment,S$67&lt;=(ITC_Cash_Sale_Number_of_Annual_Payments+1),Federal_ITC_Cash_Sale_OnOff="On", SUM($C$76:R76)&lt;(1-ITC_Cash_Sale_Discount_to_Purchase_Price)*Federal_ITC_Dollar_Value),
Federal_ITC_Dollar_Value/ITC_Cash_Sale_Number_of_Annual_Payments*(1-ITC_Cash_Sale_Discount_to_Purchase_Price),0)</f>
        <v>0</v>
      </c>
      <c r="T76" s="228">
        <f>IF(AND(Tax_Credit_Selector_ITC_or_PTC="ITC", T67&gt;=ITC_Cash_Sale_First_Year_Payment,T$67&lt;=(ITC_Cash_Sale_Number_of_Annual_Payments+1),Federal_ITC_Cash_Sale_OnOff="On", SUM($C$76:S76)&lt;(1-ITC_Cash_Sale_Discount_to_Purchase_Price)*Federal_ITC_Dollar_Value),
Federal_ITC_Dollar_Value/ITC_Cash_Sale_Number_of_Annual_Payments*(1-ITC_Cash_Sale_Discount_to_Purchase_Price),0)</f>
        <v>0</v>
      </c>
      <c r="U76" s="228">
        <f>IF(AND(Tax_Credit_Selector_ITC_or_PTC="ITC", U67&gt;=ITC_Cash_Sale_First_Year_Payment,U$67&lt;=(ITC_Cash_Sale_Number_of_Annual_Payments+1),Federal_ITC_Cash_Sale_OnOff="On", SUM($C$76:T76)&lt;(1-ITC_Cash_Sale_Discount_to_Purchase_Price)*Federal_ITC_Dollar_Value),
Federal_ITC_Dollar_Value/ITC_Cash_Sale_Number_of_Annual_Payments*(1-ITC_Cash_Sale_Discount_to_Purchase_Price),0)</f>
        <v>0</v>
      </c>
      <c r="V76" s="228">
        <f>IF(AND(Tax_Credit_Selector_ITC_or_PTC="ITC", V67&gt;=ITC_Cash_Sale_First_Year_Payment,V$67&lt;=(ITC_Cash_Sale_Number_of_Annual_Payments+1),Federal_ITC_Cash_Sale_OnOff="On", SUM($C$76:U76)&lt;(1-ITC_Cash_Sale_Discount_to_Purchase_Price)*Federal_ITC_Dollar_Value),
Federal_ITC_Dollar_Value/ITC_Cash_Sale_Number_of_Annual_Payments*(1-ITC_Cash_Sale_Discount_to_Purchase_Price),0)</f>
        <v>0</v>
      </c>
      <c r="W76" s="228">
        <f>IF(AND(Tax_Credit_Selector_ITC_or_PTC="ITC", W67&gt;=ITC_Cash_Sale_First_Year_Payment,W$67&lt;=(ITC_Cash_Sale_Number_of_Annual_Payments+1),Federal_ITC_Cash_Sale_OnOff="On", SUM($C$76:V76)&lt;(1-ITC_Cash_Sale_Discount_to_Purchase_Price)*Federal_ITC_Dollar_Value),
Federal_ITC_Dollar_Value/ITC_Cash_Sale_Number_of_Annual_Payments*(1-ITC_Cash_Sale_Discount_to_Purchase_Price),0)</f>
        <v>0</v>
      </c>
      <c r="X76" s="228">
        <f>IF(AND(Tax_Credit_Selector_ITC_or_PTC="ITC", X67&gt;=ITC_Cash_Sale_First_Year_Payment,X$67&lt;=(ITC_Cash_Sale_Number_of_Annual_Payments+1),Federal_ITC_Cash_Sale_OnOff="On", SUM($C$76:W76)&lt;(1-ITC_Cash_Sale_Discount_to_Purchase_Price)*Federal_ITC_Dollar_Value),
Federal_ITC_Dollar_Value/ITC_Cash_Sale_Number_of_Annual_Payments*(1-ITC_Cash_Sale_Discount_to_Purchase_Price),0)</f>
        <v>0</v>
      </c>
      <c r="Y76" s="228">
        <f>IF(AND(Tax_Credit_Selector_ITC_or_PTC="ITC", Y67&gt;=ITC_Cash_Sale_First_Year_Payment,Y$67&lt;=(ITC_Cash_Sale_Number_of_Annual_Payments+1),Federal_ITC_Cash_Sale_OnOff="On", SUM($C$76:X76)&lt;(1-ITC_Cash_Sale_Discount_to_Purchase_Price)*Federal_ITC_Dollar_Value),
Federal_ITC_Dollar_Value/ITC_Cash_Sale_Number_of_Annual_Payments*(1-ITC_Cash_Sale_Discount_to_Purchase_Price),0)</f>
        <v>0</v>
      </c>
      <c r="Z76" s="228">
        <f>IF(AND(Tax_Credit_Selector_ITC_or_PTC="ITC", Z67&gt;=ITC_Cash_Sale_First_Year_Payment,Z$67&lt;=(ITC_Cash_Sale_Number_of_Annual_Payments+1),Federal_ITC_Cash_Sale_OnOff="On", SUM($C$76:Y76)&lt;(1-ITC_Cash_Sale_Discount_to_Purchase_Price)*Federal_ITC_Dollar_Value),
Federal_ITC_Dollar_Value/ITC_Cash_Sale_Number_of_Annual_Payments*(1-ITC_Cash_Sale_Discount_to_Purchase_Price),0)</f>
        <v>0</v>
      </c>
      <c r="AA76" s="228">
        <f>IF(AND(Tax_Credit_Selector_ITC_or_PTC="ITC", AA67&gt;=ITC_Cash_Sale_First_Year_Payment,AA$67&lt;=(ITC_Cash_Sale_Number_of_Annual_Payments+1),Federal_ITC_Cash_Sale_OnOff="On", SUM($C$76:Z76)&lt;(1-ITC_Cash_Sale_Discount_to_Purchase_Price)*Federal_ITC_Dollar_Value),
Federal_ITC_Dollar_Value/ITC_Cash_Sale_Number_of_Annual_Payments*(1-ITC_Cash_Sale_Discount_to_Purchase_Price),0)</f>
        <v>0</v>
      </c>
      <c r="AB76" s="228">
        <f>IF(AND(Tax_Credit_Selector_ITC_or_PTC="ITC", AB67&gt;=ITC_Cash_Sale_First_Year_Payment,AB$67&lt;=(ITC_Cash_Sale_Number_of_Annual_Payments+1),Federal_ITC_Cash_Sale_OnOff="On", SUM($C$76:AA76)&lt;(1-ITC_Cash_Sale_Discount_to_Purchase_Price)*Federal_ITC_Dollar_Value),
Federal_ITC_Dollar_Value/ITC_Cash_Sale_Number_of_Annual_Payments*(1-ITC_Cash_Sale_Discount_to_Purchase_Price),0)</f>
        <v>0</v>
      </c>
    </row>
    <row r="77" spans="1:32" ht="14" x14ac:dyDescent="0.2">
      <c r="A77" s="3"/>
      <c r="B77" s="233" t="s">
        <v>454</v>
      </c>
      <c r="C77" s="228"/>
      <c r="D77" s="228">
        <f>IF(AND(Tax_Credit_Selector_ITC_or_PTC="PTC",COUNTIF($C$77:$C77,"&gt;0")&lt;PTC_Term_in_Years),D22*D23,0)</f>
        <v>0</v>
      </c>
      <c r="E77" s="228">
        <f>IF(AND(Tax_Credit_Selector_ITC_or_PTC="PTC",COUNTIF($C$77:$C77,"&gt;0")&lt;PTC_Term_in_Years),E22*E23,0)</f>
        <v>0</v>
      </c>
      <c r="F77" s="228">
        <f>IF(AND(Tax_Credit_Selector_ITC_or_PTC="PTC",COUNTIF($C$77:$C77,"&gt;0")&lt;PTC_Term_in_Years),F22*F23,0)</f>
        <v>0</v>
      </c>
      <c r="G77" s="228">
        <f>IF(AND(Tax_Credit_Selector_ITC_or_PTC="PTC",COUNTIF($C$77:$C77,"&gt;0")&lt;PTC_Term_in_Years),G22*G23,0)</f>
        <v>0</v>
      </c>
      <c r="H77" s="228">
        <f>IF(AND(Tax_Credit_Selector_ITC_or_PTC="PTC",COUNTIF($C$77:$C77,"&gt;0")&lt;PTC_Term_in_Years),H22*H23,0)</f>
        <v>0</v>
      </c>
      <c r="I77" s="228">
        <f>IF(AND(Tax_Credit_Selector_ITC_or_PTC="PTC",COUNTIF($C$77:$C77,"&gt;0")&lt;PTC_Term_in_Years),I22*I23,0)</f>
        <v>0</v>
      </c>
      <c r="J77" s="228">
        <f>IF(AND(Tax_Credit_Selector_ITC_or_PTC="PTC",COUNTIF($C$77:$C77,"&gt;0")&lt;PTC_Term_in_Years),J22*J23,0)</f>
        <v>0</v>
      </c>
      <c r="K77" s="228">
        <f>IF(AND(Tax_Credit_Selector_ITC_or_PTC="PTC",COUNTIF($C$77:$C77,"&gt;0")&lt;PTC_Term_in_Years),K22*K23,0)</f>
        <v>0</v>
      </c>
      <c r="L77" s="228">
        <f>IF(AND(Tax_Credit_Selector_ITC_or_PTC="PTC",COUNTIF($C$77:$C77,"&gt;0")&lt;PTC_Term_in_Years),L22*L23,0)</f>
        <v>0</v>
      </c>
      <c r="M77" s="228">
        <f>IF(AND(Tax_Credit_Selector_ITC_or_PTC="PTC",COUNTIF($C$77:$C77,"&gt;0")&lt;PTC_Term_in_Years),M22*M23,0)</f>
        <v>0</v>
      </c>
      <c r="N77" s="228">
        <f>IF(AND(Tax_Credit_Selector_ITC_or_PTC="PTC",COUNTIF($C$77:$C77,"&gt;0")&lt;PTC_Term_in_Years),N22*N23,0)</f>
        <v>0</v>
      </c>
      <c r="O77" s="228">
        <f>IF(AND(Tax_Credit_Selector_ITC_or_PTC="PTC",COUNTIF($C$77:$C77,"&gt;0")&lt;PTC_Term_in_Years),O22*O23,0)</f>
        <v>0</v>
      </c>
      <c r="P77" s="228">
        <f>IF(AND(Tax_Credit_Selector_ITC_or_PTC="PTC",COUNTIF($C$77:$C77,"&gt;0")&lt;PTC_Term_in_Years),P22*P23,0)</f>
        <v>0</v>
      </c>
      <c r="Q77" s="228">
        <f>IF(AND(Tax_Credit_Selector_ITC_or_PTC="PTC",COUNTIF($C$77:$C77,"&gt;0")&lt;PTC_Term_in_Years),Q22*Q23,0)</f>
        <v>0</v>
      </c>
      <c r="R77" s="228">
        <f>IF(AND(Tax_Credit_Selector_ITC_or_PTC="PTC",COUNTIF($C$77:$C77,"&gt;0")&lt;PTC_Term_in_Years),R22*R23,0)</f>
        <v>0</v>
      </c>
      <c r="S77" s="228">
        <f>IF(AND(Tax_Credit_Selector_ITC_or_PTC="PTC",COUNTIF($C$77:$C77,"&gt;0")&lt;PTC_Term_in_Years),S22*S23,0)</f>
        <v>0</v>
      </c>
      <c r="T77" s="228">
        <f>IF(AND(Tax_Credit_Selector_ITC_or_PTC="PTC",COUNTIF($C$77:$C77,"&gt;0")&lt;PTC_Term_in_Years),T22*T23,0)</f>
        <v>0</v>
      </c>
      <c r="U77" s="228">
        <f>IF(AND(Tax_Credit_Selector_ITC_or_PTC="PTC",COUNTIF($C$77:$C77,"&gt;0")&lt;PTC_Term_in_Years),U22*U23,0)</f>
        <v>0</v>
      </c>
      <c r="V77" s="228">
        <f>IF(AND(Tax_Credit_Selector_ITC_or_PTC="PTC",COUNTIF($C$77:$C77,"&gt;0")&lt;PTC_Term_in_Years),V22*V23,0)</f>
        <v>0</v>
      </c>
      <c r="W77" s="228">
        <f>IF(AND(Tax_Credit_Selector_ITC_or_PTC="PTC",COUNTIF($C$77:$C77,"&gt;0")&lt;PTC_Term_in_Years),W22*W23,0)</f>
        <v>0</v>
      </c>
      <c r="X77" s="228">
        <f>IF(AND(Tax_Credit_Selector_ITC_or_PTC="PTC",COUNTIF($C$77:$C77,"&gt;0")&lt;PTC_Term_in_Years),X22*X23,0)</f>
        <v>0</v>
      </c>
      <c r="Y77" s="228">
        <f>IF(AND(Tax_Credit_Selector_ITC_or_PTC="PTC",COUNTIF($C$77:$C77,"&gt;0")&lt;PTC_Term_in_Years),Y22*Y23,0)</f>
        <v>0</v>
      </c>
      <c r="Z77" s="228">
        <f>IF(AND(Tax_Credit_Selector_ITC_or_PTC="PTC",COUNTIF($C$77:$C77,"&gt;0")&lt;PTC_Term_in_Years),Z22*Z23,0)</f>
        <v>0</v>
      </c>
      <c r="AA77" s="228">
        <f>IF(AND(Tax_Credit_Selector_ITC_or_PTC="PTC",COUNTIF($C$77:$C77,"&gt;0")&lt;PTC_Term_in_Years),AA22*AA23,0)</f>
        <v>0</v>
      </c>
      <c r="AB77" s="228">
        <f>IF(AND(Tax_Credit_Selector_ITC_or_PTC="PTC",COUNTIF($C$77:$C77,"&gt;0")&lt;PTC_Term_in_Years),AB22*AB23,0)</f>
        <v>0</v>
      </c>
    </row>
    <row r="78" spans="1:32" ht="15" thickBot="1" x14ac:dyDescent="0.25">
      <c r="A78" s="3"/>
      <c r="B78" s="233"/>
      <c r="C78" s="253"/>
      <c r="D78" s="228"/>
      <c r="E78" s="228"/>
      <c r="F78" s="228"/>
      <c r="G78" s="228"/>
      <c r="H78" s="228"/>
      <c r="I78" s="228"/>
      <c r="J78" s="228"/>
      <c r="K78" s="228"/>
      <c r="L78" s="228"/>
      <c r="M78" s="228"/>
      <c r="N78" s="228"/>
      <c r="O78" s="228"/>
      <c r="P78" s="228"/>
      <c r="Q78" s="228"/>
      <c r="R78" s="228"/>
      <c r="S78" s="228"/>
      <c r="T78" s="228"/>
      <c r="U78" s="228"/>
      <c r="V78" s="228"/>
      <c r="W78" s="228"/>
      <c r="X78" s="228"/>
      <c r="Y78" s="228"/>
      <c r="Z78" s="228"/>
      <c r="AA78" s="228"/>
      <c r="AB78" s="228"/>
    </row>
    <row r="79" spans="1:32" ht="15" thickBot="1" x14ac:dyDescent="0.25">
      <c r="A79" s="3"/>
      <c r="B79" s="233" t="s">
        <v>169</v>
      </c>
      <c r="C79" s="253"/>
      <c r="D79" s="228"/>
      <c r="E79" s="228"/>
      <c r="F79" s="228"/>
      <c r="G79" s="228"/>
      <c r="H79" s="228"/>
      <c r="I79" s="228"/>
      <c r="J79" s="228"/>
      <c r="K79" s="228"/>
      <c r="L79" s="228"/>
      <c r="M79" s="228"/>
      <c r="N79" s="228"/>
      <c r="O79" s="228"/>
      <c r="P79" s="228"/>
      <c r="Q79" s="228"/>
      <c r="R79" s="228"/>
      <c r="S79" s="228"/>
      <c r="T79" s="228"/>
      <c r="U79" s="228"/>
      <c r="V79" s="228"/>
      <c r="W79" s="228"/>
      <c r="X79" s="228"/>
      <c r="Y79" s="228"/>
      <c r="Z79" s="228"/>
      <c r="AA79" s="228"/>
      <c r="AB79" s="228"/>
      <c r="AD79" s="548" t="s">
        <v>460</v>
      </c>
      <c r="AE79" s="549"/>
      <c r="AF79" s="550"/>
    </row>
    <row r="80" spans="1:32" ht="14" customHeight="1" thickBot="1" x14ac:dyDescent="0.25">
      <c r="A80" s="3"/>
      <c r="B80" s="210" t="s">
        <v>233</v>
      </c>
      <c r="C80" s="247">
        <f>-Project_Net_Investment</f>
        <v>-574682.63235239836</v>
      </c>
      <c r="D80" s="247">
        <f>(D62+D46+SUM(D75:D77))</f>
        <v>26541.028563749642</v>
      </c>
      <c r="E80" s="247">
        <f t="shared" ref="E80:AA80" si="54">(E62+E46+SUM(E75:E77))</f>
        <v>27067.615435204178</v>
      </c>
      <c r="F80" s="247">
        <f t="shared" si="54"/>
        <v>27604.649899303848</v>
      </c>
      <c r="G80" s="247">
        <f t="shared" si="54"/>
        <v>28152.339235524014</v>
      </c>
      <c r="H80" s="247">
        <f t="shared" si="54"/>
        <v>28710.894835690982</v>
      </c>
      <c r="I80" s="247">
        <f t="shared" si="54"/>
        <v>28437.703489448402</v>
      </c>
      <c r="J80" s="247">
        <f t="shared" si="54"/>
        <v>23000.798382870264</v>
      </c>
      <c r="K80" s="247">
        <f t="shared" si="54"/>
        <v>23457.144626156911</v>
      </c>
      <c r="L80" s="247">
        <f t="shared" si="54"/>
        <v>23922.544858537425</v>
      </c>
      <c r="M80" s="247">
        <f t="shared" si="54"/>
        <v>24397.178710195214</v>
      </c>
      <c r="N80" s="247">
        <f t="shared" si="54"/>
        <v>24881.229375106588</v>
      </c>
      <c r="O80" s="247">
        <f t="shared" si="54"/>
        <v>25374.883681744006</v>
      </c>
      <c r="P80" s="247">
        <f t="shared" si="54"/>
        <v>25878.332165181975</v>
      </c>
      <c r="Q80" s="247">
        <f t="shared" si="54"/>
        <v>26391.769140633551</v>
      </c>
      <c r="R80" s="247">
        <f t="shared" si="54"/>
        <v>26915.392778445585</v>
      </c>
      <c r="S80" s="247">
        <f t="shared" si="54"/>
        <v>27449.40518058198</v>
      </c>
      <c r="T80" s="247">
        <f t="shared" si="54"/>
        <v>27994.012458624122</v>
      </c>
      <c r="U80" s="247">
        <f t="shared" si="54"/>
        <v>28549.424813318932</v>
      </c>
      <c r="V80" s="247">
        <f t="shared" si="54"/>
        <v>29115.856615704892</v>
      </c>
      <c r="W80" s="247">
        <f t="shared" si="54"/>
        <v>29693.526489847682</v>
      </c>
      <c r="X80" s="247">
        <f t="shared" si="54"/>
        <v>30282.657397217179</v>
      </c>
      <c r="Y80" s="247">
        <f t="shared" si="54"/>
        <v>30883.476722738327</v>
      </c>
      <c r="Z80" s="247">
        <f t="shared" si="54"/>
        <v>31496.216362549239</v>
      </c>
      <c r="AA80" s="247">
        <f t="shared" si="54"/>
        <v>32121.112813500313</v>
      </c>
      <c r="AB80" s="441">
        <f>((AB62+AB46+SUM(AB75:AB77))+IF(Termination_Value_OnOff="On",INDEX(Termination_Value_Table_End_of_Term,2,MATCH(Termination_Value_Percentage,Dashboard!C72:E72,0)),0))</f>
        <v>118960.80211728869</v>
      </c>
      <c r="AD80" s="551"/>
      <c r="AE80" s="552"/>
      <c r="AF80" s="553"/>
    </row>
    <row r="81" spans="1:32" ht="16" thickTop="1" thickBot="1" x14ac:dyDescent="0.25">
      <c r="A81" s="3"/>
      <c r="B81" s="210" t="s">
        <v>165</v>
      </c>
      <c r="C81" s="228">
        <f>C80</f>
        <v>-574682.63235239836</v>
      </c>
      <c r="D81" s="228">
        <f t="shared" ref="D81:V81" si="55">C81+D80</f>
        <v>-548141.60378864873</v>
      </c>
      <c r="E81" s="228">
        <f t="shared" si="55"/>
        <v>-521073.98835344455</v>
      </c>
      <c r="F81" s="228">
        <f t="shared" si="55"/>
        <v>-493469.3384541407</v>
      </c>
      <c r="G81" s="228">
        <f t="shared" si="55"/>
        <v>-465316.99921861669</v>
      </c>
      <c r="H81" s="228">
        <f t="shared" si="55"/>
        <v>-436606.10438292573</v>
      </c>
      <c r="I81" s="228">
        <f t="shared" si="55"/>
        <v>-408168.40089347732</v>
      </c>
      <c r="J81" s="228">
        <f t="shared" si="55"/>
        <v>-385167.60251060704</v>
      </c>
      <c r="K81" s="228">
        <f t="shared" si="55"/>
        <v>-361710.45788445015</v>
      </c>
      <c r="L81" s="228">
        <f t="shared" si="55"/>
        <v>-337787.91302591271</v>
      </c>
      <c r="M81" s="228">
        <f t="shared" si="55"/>
        <v>-313390.73431571748</v>
      </c>
      <c r="N81" s="228">
        <f t="shared" si="55"/>
        <v>-288509.5049406109</v>
      </c>
      <c r="O81" s="228">
        <f t="shared" si="55"/>
        <v>-263134.62125886692</v>
      </c>
      <c r="P81" s="228">
        <f t="shared" si="55"/>
        <v>-237256.28909368493</v>
      </c>
      <c r="Q81" s="228">
        <f t="shared" si="55"/>
        <v>-210864.51995305138</v>
      </c>
      <c r="R81" s="228">
        <f t="shared" si="55"/>
        <v>-183949.12717460579</v>
      </c>
      <c r="S81" s="228">
        <f t="shared" si="55"/>
        <v>-156499.7219940238</v>
      </c>
      <c r="T81" s="228">
        <f t="shared" si="55"/>
        <v>-128505.70953539968</v>
      </c>
      <c r="U81" s="228">
        <f t="shared" si="55"/>
        <v>-99956.284722080745</v>
      </c>
      <c r="V81" s="228">
        <f t="shared" si="55"/>
        <v>-70840.428106375854</v>
      </c>
      <c r="W81" s="228">
        <f t="shared" ref="W81:AB81" si="56">V81+W80</f>
        <v>-41146.901616528172</v>
      </c>
      <c r="X81" s="228">
        <f t="shared" si="56"/>
        <v>-10864.244219310993</v>
      </c>
      <c r="Y81" s="228">
        <f t="shared" si="56"/>
        <v>20019.232503427334</v>
      </c>
      <c r="Z81" s="228">
        <f t="shared" si="56"/>
        <v>51515.448865976578</v>
      </c>
      <c r="AA81" s="228">
        <f t="shared" si="56"/>
        <v>83636.561679476887</v>
      </c>
      <c r="AB81" s="228">
        <f t="shared" si="56"/>
        <v>202597.36379676557</v>
      </c>
      <c r="AD81" s="554"/>
      <c r="AE81" s="555"/>
      <c r="AF81" s="556"/>
    </row>
    <row r="82" spans="1:32" ht="14" x14ac:dyDescent="0.2">
      <c r="A82" s="3"/>
      <c r="B82" s="210" t="s">
        <v>166</v>
      </c>
      <c r="C82" s="228">
        <f>NPV(Investor_Discount_Rate,D80:AB80)+C80</f>
        <v>-227041.73122693569</v>
      </c>
      <c r="D82" s="228"/>
      <c r="E82" s="228"/>
      <c r="F82" s="228"/>
      <c r="G82" s="228"/>
      <c r="H82" s="228"/>
      <c r="I82" s="228"/>
      <c r="J82" s="228"/>
      <c r="K82" s="228"/>
      <c r="L82" s="228"/>
      <c r="M82" s="228"/>
      <c r="N82" s="228"/>
      <c r="O82" s="228"/>
      <c r="P82" s="228"/>
      <c r="Q82" s="228"/>
      <c r="R82" s="228"/>
      <c r="S82" s="228"/>
      <c r="T82" s="228"/>
      <c r="U82" s="228"/>
      <c r="V82" s="228"/>
      <c r="W82" s="228"/>
      <c r="X82" s="228"/>
      <c r="Y82" s="228"/>
      <c r="Z82" s="228"/>
      <c r="AA82" s="228"/>
      <c r="AB82" s="228"/>
    </row>
    <row r="83" spans="1:32" ht="14" x14ac:dyDescent="0.2">
      <c r="A83" s="3"/>
      <c r="B83" s="210" t="s">
        <v>167</v>
      </c>
      <c r="C83" s="255">
        <f>IRR(C80:AB80)</f>
        <v>2.1710019669161085E-2</v>
      </c>
      <c r="D83" s="246"/>
      <c r="E83" s="246"/>
      <c r="F83" s="246"/>
      <c r="G83" s="246"/>
      <c r="H83" s="246"/>
      <c r="I83" s="246"/>
      <c r="J83" s="246"/>
      <c r="K83" s="246"/>
      <c r="L83" s="246"/>
      <c r="M83" s="246"/>
      <c r="N83" s="246"/>
      <c r="O83" s="246"/>
      <c r="P83" s="246"/>
      <c r="Q83" s="246"/>
      <c r="R83" s="246"/>
      <c r="S83" s="246"/>
      <c r="T83" s="246"/>
      <c r="U83" s="246"/>
      <c r="V83" s="246"/>
      <c r="W83" s="246"/>
      <c r="X83" s="246"/>
      <c r="Y83" s="246"/>
      <c r="Z83" s="246"/>
      <c r="AA83" s="246"/>
      <c r="AB83" s="246"/>
    </row>
    <row r="84" spans="1:32" ht="14" x14ac:dyDescent="0.2">
      <c r="A84" s="3"/>
      <c r="B84" s="210" t="s">
        <v>198</v>
      </c>
      <c r="C84" s="256" t="str">
        <f>IF(SUM(D84:AB84)&gt;0,"Fail","Pass")</f>
        <v>Pass</v>
      </c>
      <c r="D84" s="241">
        <f t="shared" ref="D84:V84" si="57">IF(D80&gt;0,0,1)</f>
        <v>0</v>
      </c>
      <c r="E84" s="241">
        <f t="shared" si="57"/>
        <v>0</v>
      </c>
      <c r="F84" s="241">
        <f t="shared" si="57"/>
        <v>0</v>
      </c>
      <c r="G84" s="241">
        <f t="shared" si="57"/>
        <v>0</v>
      </c>
      <c r="H84" s="241">
        <f t="shared" si="57"/>
        <v>0</v>
      </c>
      <c r="I84" s="241">
        <f t="shared" si="57"/>
        <v>0</v>
      </c>
      <c r="J84" s="241">
        <f>IF(J80&gt;0,0,1)</f>
        <v>0</v>
      </c>
      <c r="K84" s="241">
        <f t="shared" si="57"/>
        <v>0</v>
      </c>
      <c r="L84" s="241">
        <f t="shared" si="57"/>
        <v>0</v>
      </c>
      <c r="M84" s="241">
        <f t="shared" si="57"/>
        <v>0</v>
      </c>
      <c r="N84" s="241">
        <f t="shared" si="57"/>
        <v>0</v>
      </c>
      <c r="O84" s="241">
        <f t="shared" si="57"/>
        <v>0</v>
      </c>
      <c r="P84" s="241">
        <f t="shared" si="57"/>
        <v>0</v>
      </c>
      <c r="Q84" s="241">
        <f t="shared" si="57"/>
        <v>0</v>
      </c>
      <c r="R84" s="241">
        <f t="shared" si="57"/>
        <v>0</v>
      </c>
      <c r="S84" s="241">
        <f t="shared" si="57"/>
        <v>0</v>
      </c>
      <c r="T84" s="241">
        <f t="shared" si="57"/>
        <v>0</v>
      </c>
      <c r="U84" s="241">
        <f t="shared" si="57"/>
        <v>0</v>
      </c>
      <c r="V84" s="241">
        <f t="shared" si="57"/>
        <v>0</v>
      </c>
      <c r="W84" s="241">
        <f t="shared" ref="W84:AB84" si="58">IF(W80&gt;0,0,1)</f>
        <v>0</v>
      </c>
      <c r="X84" s="241">
        <f t="shared" si="58"/>
        <v>0</v>
      </c>
      <c r="Y84" s="241">
        <f t="shared" si="58"/>
        <v>0</v>
      </c>
      <c r="Z84" s="241">
        <f t="shared" si="58"/>
        <v>0</v>
      </c>
      <c r="AA84" s="241">
        <f t="shared" si="58"/>
        <v>0</v>
      </c>
      <c r="AB84" s="241">
        <f t="shared" si="58"/>
        <v>0</v>
      </c>
    </row>
    <row r="85" spans="1:32" ht="15" thickBot="1" x14ac:dyDescent="0.25">
      <c r="A85" s="3"/>
      <c r="B85" s="210"/>
      <c r="C85" s="255"/>
      <c r="D85" s="228"/>
      <c r="E85" s="228"/>
      <c r="F85" s="228"/>
      <c r="G85" s="228"/>
      <c r="H85" s="228"/>
      <c r="I85" s="228"/>
      <c r="J85" s="228"/>
      <c r="K85" s="228"/>
      <c r="L85" s="228"/>
      <c r="M85" s="228"/>
      <c r="N85" s="228"/>
      <c r="O85" s="228"/>
      <c r="P85" s="228"/>
      <c r="Q85" s="228"/>
      <c r="R85" s="228"/>
      <c r="S85" s="228"/>
      <c r="T85" s="228"/>
      <c r="U85" s="228"/>
      <c r="V85" s="228"/>
      <c r="W85" s="228"/>
      <c r="X85" s="228"/>
      <c r="Y85" s="228"/>
      <c r="Z85" s="228"/>
      <c r="AA85" s="228"/>
      <c r="AB85" s="228"/>
    </row>
    <row r="86" spans="1:32" ht="15" thickBot="1" x14ac:dyDescent="0.25">
      <c r="A86" s="3"/>
      <c r="B86" s="233" t="s">
        <v>203</v>
      </c>
      <c r="C86" s="253"/>
      <c r="D86" s="228"/>
      <c r="E86" s="228"/>
      <c r="F86" s="228"/>
      <c r="G86" s="228"/>
      <c r="H86" s="228"/>
      <c r="I86" s="228"/>
      <c r="J86" s="228"/>
      <c r="K86" s="228"/>
      <c r="L86" s="228"/>
      <c r="M86" s="228"/>
      <c r="N86" s="228"/>
      <c r="O86" s="228"/>
      <c r="P86" s="228"/>
      <c r="Q86" s="228"/>
      <c r="R86" s="228"/>
      <c r="S86" s="228"/>
      <c r="T86" s="228"/>
      <c r="U86" s="228"/>
      <c r="V86" s="228"/>
      <c r="W86" s="228"/>
      <c r="X86" s="228"/>
      <c r="Y86" s="228"/>
      <c r="Z86" s="228"/>
      <c r="AA86" s="228"/>
      <c r="AB86" s="228"/>
      <c r="AD86" s="548" t="s">
        <v>460</v>
      </c>
      <c r="AE86" s="549"/>
      <c r="AF86" s="550"/>
    </row>
    <row r="87" spans="1:32" ht="14" customHeight="1" thickBot="1" x14ac:dyDescent="0.25">
      <c r="A87" s="3"/>
      <c r="B87" s="210" t="s">
        <v>289</v>
      </c>
      <c r="C87" s="247">
        <f>-Project_Net_Investment</f>
        <v>-574682.63235239836</v>
      </c>
      <c r="D87" s="247">
        <f t="shared" ref="D87:AA87" si="59">(D62+D46+D73+SUM(D75:D77))</f>
        <v>197811.79414209368</v>
      </c>
      <c r="E87" s="247">
        <f t="shared" si="59"/>
        <v>53539.794658350918</v>
      </c>
      <c r="F87" s="247">
        <f t="shared" si="59"/>
        <v>40877.059906569724</v>
      </c>
      <c r="G87" s="247">
        <f t="shared" si="59"/>
        <v>33453.086289140934</v>
      </c>
      <c r="H87" s="247">
        <f t="shared" si="59"/>
        <v>33883.313740169542</v>
      </c>
      <c r="I87" s="247">
        <f t="shared" si="59"/>
        <v>28437.703489448402</v>
      </c>
      <c r="J87" s="247">
        <f t="shared" si="59"/>
        <v>23000.798382870264</v>
      </c>
      <c r="K87" s="247">
        <f t="shared" si="59"/>
        <v>23457.144626156911</v>
      </c>
      <c r="L87" s="247">
        <f t="shared" si="59"/>
        <v>23922.544858537425</v>
      </c>
      <c r="M87" s="247">
        <f t="shared" si="59"/>
        <v>24397.178710195214</v>
      </c>
      <c r="N87" s="247">
        <f t="shared" si="59"/>
        <v>24881.229375106588</v>
      </c>
      <c r="O87" s="247">
        <f t="shared" si="59"/>
        <v>25374.883681744006</v>
      </c>
      <c r="P87" s="247">
        <f t="shared" si="59"/>
        <v>25878.332165181975</v>
      </c>
      <c r="Q87" s="247">
        <f t="shared" si="59"/>
        <v>26391.769140633551</v>
      </c>
      <c r="R87" s="247">
        <f t="shared" si="59"/>
        <v>26915.392778445585</v>
      </c>
      <c r="S87" s="247">
        <f t="shared" si="59"/>
        <v>27449.40518058198</v>
      </c>
      <c r="T87" s="247">
        <f t="shared" si="59"/>
        <v>27994.012458624122</v>
      </c>
      <c r="U87" s="247">
        <f t="shared" si="59"/>
        <v>28549.424813318932</v>
      </c>
      <c r="V87" s="247">
        <f t="shared" si="59"/>
        <v>29115.856615704892</v>
      </c>
      <c r="W87" s="247">
        <f t="shared" si="59"/>
        <v>29693.526489847682</v>
      </c>
      <c r="X87" s="247">
        <f t="shared" si="59"/>
        <v>30282.657397217179</v>
      </c>
      <c r="Y87" s="247">
        <f t="shared" si="59"/>
        <v>30883.476722738327</v>
      </c>
      <c r="Z87" s="247">
        <f t="shared" si="59"/>
        <v>31496.216362549239</v>
      </c>
      <c r="AA87" s="247">
        <f t="shared" si="59"/>
        <v>32121.112813500313</v>
      </c>
      <c r="AB87" s="441">
        <f>((AB62+AB46+AB73++SUM(AB75:AB77))-AB75)++IF(Termination_Value_OnOff="On",INDEX(Termination_Value_Table_End_of_Term,2,MATCH(Termination_Value_Percentage,Dashboard!C72:E72,0)),0)</f>
        <v>118960.80211728869</v>
      </c>
      <c r="AD87" s="551"/>
      <c r="AE87" s="552"/>
      <c r="AF87" s="553"/>
    </row>
    <row r="88" spans="1:32" ht="16" thickTop="1" thickBot="1" x14ac:dyDescent="0.25">
      <c r="A88" s="3"/>
      <c r="B88" s="210" t="s">
        <v>51</v>
      </c>
      <c r="C88" s="228">
        <f>C87</f>
        <v>-574682.63235239836</v>
      </c>
      <c r="D88" s="228">
        <f t="shared" ref="D88:V88" si="60">C88+D87</f>
        <v>-376870.83821030468</v>
      </c>
      <c r="E88" s="228">
        <f t="shared" si="60"/>
        <v>-323331.04355195374</v>
      </c>
      <c r="F88" s="228">
        <f t="shared" si="60"/>
        <v>-282453.98364538403</v>
      </c>
      <c r="G88" s="228">
        <f t="shared" si="60"/>
        <v>-249000.89735624311</v>
      </c>
      <c r="H88" s="228">
        <f t="shared" si="60"/>
        <v>-215117.58361607356</v>
      </c>
      <c r="I88" s="228">
        <f t="shared" si="60"/>
        <v>-186679.88012662515</v>
      </c>
      <c r="J88" s="228">
        <f t="shared" si="60"/>
        <v>-163679.08174375488</v>
      </c>
      <c r="K88" s="228">
        <f t="shared" si="60"/>
        <v>-140221.93711759796</v>
      </c>
      <c r="L88" s="228">
        <f t="shared" si="60"/>
        <v>-116299.39225906054</v>
      </c>
      <c r="M88" s="228">
        <f t="shared" si="60"/>
        <v>-91902.213548865315</v>
      </c>
      <c r="N88" s="228">
        <f t="shared" si="60"/>
        <v>-67020.984173758727</v>
      </c>
      <c r="O88" s="228">
        <f t="shared" si="60"/>
        <v>-41646.100492014724</v>
      </c>
      <c r="P88" s="228">
        <f t="shared" si="60"/>
        <v>-15767.768326832749</v>
      </c>
      <c r="Q88" s="228">
        <f t="shared" si="60"/>
        <v>10624.000813800802</v>
      </c>
      <c r="R88" s="228">
        <f t="shared" si="60"/>
        <v>37539.393592246386</v>
      </c>
      <c r="S88" s="228">
        <f t="shared" si="60"/>
        <v>64988.798772828362</v>
      </c>
      <c r="T88" s="228">
        <f t="shared" si="60"/>
        <v>92982.811231452477</v>
      </c>
      <c r="U88" s="228">
        <f t="shared" si="60"/>
        <v>121532.23604477142</v>
      </c>
      <c r="V88" s="228">
        <f t="shared" si="60"/>
        <v>150648.09266047631</v>
      </c>
      <c r="W88" s="228">
        <f t="shared" ref="W88:AB88" si="61">V88+W87</f>
        <v>180341.619150324</v>
      </c>
      <c r="X88" s="228">
        <f t="shared" si="61"/>
        <v>210624.27654754117</v>
      </c>
      <c r="Y88" s="228">
        <f t="shared" si="61"/>
        <v>241507.7532702795</v>
      </c>
      <c r="Z88" s="228">
        <f t="shared" si="61"/>
        <v>273003.96963282872</v>
      </c>
      <c r="AA88" s="228">
        <f t="shared" si="61"/>
        <v>305125.08244632906</v>
      </c>
      <c r="AB88" s="228">
        <f t="shared" si="61"/>
        <v>424085.88456361776</v>
      </c>
      <c r="AD88" s="554"/>
      <c r="AE88" s="555"/>
      <c r="AF88" s="556"/>
    </row>
    <row r="89" spans="1:32" ht="14" x14ac:dyDescent="0.2">
      <c r="A89" s="3"/>
      <c r="B89" s="210" t="s">
        <v>223</v>
      </c>
      <c r="C89" s="228">
        <f>NPV(Investor_Discount_Rate,D87:AB87)+C87</f>
        <v>-24001.473327178275</v>
      </c>
      <c r="D89" s="228"/>
      <c r="E89" s="228"/>
      <c r="F89" s="228"/>
      <c r="G89" s="228"/>
      <c r="H89" s="228"/>
      <c r="I89" s="228"/>
      <c r="J89" s="228"/>
      <c r="K89" s="228"/>
      <c r="L89" s="228"/>
      <c r="M89" s="228"/>
      <c r="N89" s="228"/>
      <c r="O89" s="228"/>
      <c r="P89" s="228"/>
      <c r="Q89" s="228"/>
      <c r="R89" s="228"/>
      <c r="S89" s="228"/>
      <c r="T89" s="228"/>
      <c r="U89" s="228"/>
      <c r="V89" s="228"/>
      <c r="W89" s="228"/>
      <c r="X89" s="228"/>
      <c r="Y89" s="228"/>
      <c r="Z89" s="228"/>
      <c r="AA89" s="228"/>
      <c r="AB89" s="228"/>
    </row>
    <row r="90" spans="1:32" ht="14" x14ac:dyDescent="0.2">
      <c r="A90" s="3"/>
      <c r="B90" s="220" t="s">
        <v>222</v>
      </c>
      <c r="C90" s="257">
        <f>IRR(C87:AB87)</f>
        <v>5.8981612712178944E-2</v>
      </c>
      <c r="D90" s="196"/>
      <c r="E90" s="196"/>
      <c r="F90" s="196"/>
      <c r="G90" s="196"/>
      <c r="H90" s="196"/>
      <c r="I90" s="196"/>
      <c r="J90" s="196"/>
      <c r="K90" s="196"/>
      <c r="L90" s="196"/>
      <c r="M90" s="196"/>
      <c r="N90" s="196"/>
      <c r="O90" s="196"/>
      <c r="P90" s="196"/>
      <c r="Q90" s="196"/>
      <c r="R90" s="196"/>
      <c r="S90" s="196"/>
      <c r="T90" s="196"/>
      <c r="U90" s="196"/>
      <c r="V90" s="196"/>
      <c r="W90" s="196"/>
      <c r="X90" s="196"/>
      <c r="Y90" s="196"/>
      <c r="Z90" s="196"/>
      <c r="AA90" s="196"/>
      <c r="AB90" s="196"/>
    </row>
    <row r="91" spans="1:32" ht="14" x14ac:dyDescent="0.2">
      <c r="A91" s="3"/>
      <c r="B91" s="18"/>
      <c r="C91" s="19"/>
      <c r="D91" s="12"/>
      <c r="E91" s="12"/>
      <c r="F91" s="12"/>
      <c r="G91" s="12"/>
      <c r="H91" s="12"/>
      <c r="I91" s="12"/>
      <c r="J91" s="12"/>
      <c r="K91" s="12"/>
      <c r="L91" s="12"/>
      <c r="M91" s="12"/>
      <c r="N91" s="12"/>
      <c r="O91" s="12"/>
      <c r="P91" s="12"/>
      <c r="Q91" s="12"/>
      <c r="R91" s="12"/>
      <c r="S91" s="12"/>
      <c r="T91" s="12"/>
      <c r="U91" s="12"/>
      <c r="V91" s="12"/>
      <c r="W91" s="12"/>
      <c r="X91" s="12"/>
      <c r="Y91" s="12"/>
      <c r="Z91" s="12"/>
      <c r="AA91" s="12"/>
      <c r="AB91" s="12"/>
    </row>
    <row r="92" spans="1:32" ht="14" x14ac:dyDescent="0.2">
      <c r="A92" s="3"/>
      <c r="B92" s="18"/>
      <c r="C92" s="19"/>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row>
    <row r="93" spans="1:32" ht="14" x14ac:dyDescent="0.2">
      <c r="A93" s="3"/>
      <c r="B93" s="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row>
    <row r="94" spans="1:32" ht="16" x14ac:dyDescent="0.2">
      <c r="A94" s="3"/>
      <c r="B94" s="579" t="s">
        <v>184</v>
      </c>
      <c r="C94" s="579"/>
      <c r="D94" s="579"/>
      <c r="E94" s="2"/>
      <c r="F94" s="2"/>
      <c r="G94" s="2"/>
      <c r="H94" s="2"/>
      <c r="I94" s="2"/>
      <c r="J94" s="2"/>
      <c r="K94" s="2"/>
      <c r="L94" s="2"/>
      <c r="M94" s="2"/>
      <c r="N94" s="2"/>
      <c r="O94" s="2"/>
      <c r="P94" s="2"/>
      <c r="Q94" s="2"/>
      <c r="R94" s="2"/>
      <c r="S94" s="2"/>
      <c r="T94" s="2"/>
      <c r="U94" s="2"/>
      <c r="V94" s="2"/>
      <c r="W94" s="2"/>
      <c r="X94" s="2"/>
      <c r="Y94" s="2"/>
      <c r="Z94" s="2"/>
      <c r="AA94" s="2"/>
      <c r="AB94" s="2"/>
      <c r="AC94" s="12"/>
    </row>
    <row r="95" spans="1:32" ht="14" x14ac:dyDescent="0.2">
      <c r="A95" s="3"/>
      <c r="B95" s="7" t="s">
        <v>286</v>
      </c>
      <c r="C95" s="16">
        <v>0</v>
      </c>
      <c r="D95" s="4">
        <v>1</v>
      </c>
      <c r="E95" s="4">
        <v>2</v>
      </c>
      <c r="F95" s="4">
        <v>3</v>
      </c>
      <c r="G95" s="4">
        <v>4</v>
      </c>
      <c r="H95" s="4">
        <v>5</v>
      </c>
      <c r="I95" s="4">
        <v>6</v>
      </c>
      <c r="J95" s="4">
        <v>7</v>
      </c>
      <c r="K95" s="4">
        <v>8</v>
      </c>
      <c r="L95" s="4">
        <v>9</v>
      </c>
      <c r="M95" s="4">
        <v>10</v>
      </c>
      <c r="N95" s="4">
        <v>11</v>
      </c>
      <c r="O95" s="4">
        <v>12</v>
      </c>
      <c r="P95" s="4">
        <v>13</v>
      </c>
      <c r="Q95" s="4">
        <v>14</v>
      </c>
      <c r="R95" s="4">
        <v>15</v>
      </c>
      <c r="S95" s="4">
        <v>16</v>
      </c>
      <c r="T95" s="4">
        <v>17</v>
      </c>
      <c r="U95" s="4">
        <v>18</v>
      </c>
      <c r="V95" s="4">
        <v>19</v>
      </c>
      <c r="W95" s="4">
        <v>20</v>
      </c>
      <c r="X95" s="4">
        <v>21</v>
      </c>
      <c r="Y95" s="4">
        <v>22</v>
      </c>
      <c r="Z95" s="4">
        <v>23</v>
      </c>
      <c r="AA95" s="4">
        <v>24</v>
      </c>
      <c r="AB95" s="4">
        <v>25</v>
      </c>
      <c r="AC95" s="12"/>
    </row>
    <row r="96" spans="1:32" ht="14" x14ac:dyDescent="0.2">
      <c r="A96" s="3"/>
      <c r="B96" s="235" t="s">
        <v>164</v>
      </c>
      <c r="C96" s="239"/>
      <c r="D96" s="239"/>
      <c r="E96" s="239"/>
      <c r="F96" s="239"/>
      <c r="G96" s="239"/>
      <c r="H96" s="239"/>
      <c r="I96" s="239"/>
      <c r="J96" s="239"/>
      <c r="K96" s="239"/>
      <c r="L96" s="239"/>
      <c r="M96" s="239"/>
      <c r="N96" s="239"/>
      <c r="O96" s="239"/>
      <c r="P96" s="239"/>
      <c r="Q96" s="239"/>
      <c r="R96" s="239"/>
      <c r="S96" s="239"/>
      <c r="T96" s="239"/>
      <c r="U96" s="239"/>
      <c r="V96" s="239"/>
      <c r="W96" s="239"/>
      <c r="X96" s="239"/>
      <c r="Y96" s="239"/>
      <c r="Z96" s="239"/>
      <c r="AA96" s="239"/>
      <c r="AB96" s="239"/>
      <c r="AC96" s="12"/>
    </row>
    <row r="97" spans="1:29" ht="14" x14ac:dyDescent="0.2">
      <c r="A97" s="3"/>
      <c r="B97" s="236" t="s">
        <v>83</v>
      </c>
      <c r="C97" s="228"/>
      <c r="D97" s="228"/>
      <c r="E97" s="228"/>
      <c r="F97" s="228"/>
      <c r="G97" s="228"/>
      <c r="H97" s="228"/>
      <c r="I97" s="228"/>
      <c r="J97" s="228"/>
      <c r="K97" s="228"/>
      <c r="L97" s="228"/>
      <c r="M97" s="228"/>
      <c r="N97" s="228"/>
      <c r="O97" s="228"/>
      <c r="P97" s="228"/>
      <c r="Q97" s="228"/>
      <c r="R97" s="228"/>
      <c r="S97" s="228"/>
      <c r="T97" s="228"/>
      <c r="U97" s="228"/>
      <c r="V97" s="228"/>
      <c r="W97" s="228"/>
      <c r="X97" s="228"/>
      <c r="Y97" s="228"/>
      <c r="Z97" s="228"/>
      <c r="AA97" s="228"/>
      <c r="AB97" s="228"/>
      <c r="AC97" s="12"/>
    </row>
    <row r="98" spans="1:29" ht="14" x14ac:dyDescent="0.2">
      <c r="A98" s="3"/>
      <c r="B98" s="210" t="s">
        <v>187</v>
      </c>
      <c r="C98" s="228"/>
      <c r="D98" s="228">
        <f>IF(Project_Debt?="Yes",IF(Unstructured!D$17&lt;=Project_Loan_Term?,PMT(Project_Loan_Rate,Project_Loan_Term?,-Project_Loan_Amount,0),0),0)</f>
        <v>0</v>
      </c>
      <c r="E98" s="228">
        <f>IF(Project_Debt?="Yes",IF(Unstructured!E$17&lt;=Project_Loan_Term?,PMT(Project_Loan_Rate,Project_Loan_Term?,-Project_Loan_Amount,0),0),0)</f>
        <v>0</v>
      </c>
      <c r="F98" s="228">
        <f>IF(Project_Debt?="Yes",IF(Unstructured!F$17&lt;=Project_Loan_Term?,PMT(Project_Loan_Rate,Project_Loan_Term?,-Project_Loan_Amount,0),0),0)</f>
        <v>0</v>
      </c>
      <c r="G98" s="228">
        <f>IF(Project_Debt?="Yes",IF(Unstructured!G$17&lt;=Project_Loan_Term?,PMT(Project_Loan_Rate,Project_Loan_Term?,-Project_Loan_Amount,0),0),0)</f>
        <v>0</v>
      </c>
      <c r="H98" s="228">
        <f>IF(Project_Debt?="Yes",IF(Unstructured!H$17&lt;=Project_Loan_Term?,PMT(Project_Loan_Rate,Project_Loan_Term?,-Project_Loan_Amount,0),0),0)</f>
        <v>0</v>
      </c>
      <c r="I98" s="228">
        <f>IF(Project_Debt?="Yes",IF(Unstructured!I$17&lt;=Project_Loan_Term?,PMT(Project_Loan_Rate,Project_Loan_Term?,-Project_Loan_Amount,0),0),0)</f>
        <v>0</v>
      </c>
      <c r="J98" s="228">
        <f>IF(Project_Debt?="Yes",IF(Unstructured!J$17&lt;=Project_Loan_Term?,PMT(Project_Loan_Rate,Project_Loan_Term?,-Project_Loan_Amount,0),0),0)</f>
        <v>0</v>
      </c>
      <c r="K98" s="228">
        <f>IF(Project_Debt?="Yes",IF(Unstructured!K$17&lt;=Project_Loan_Term?,PMT(Project_Loan_Rate,Project_Loan_Term?,-Project_Loan_Amount,0),0),0)</f>
        <v>0</v>
      </c>
      <c r="L98" s="228">
        <f>IF(Project_Debt?="Yes",IF(Unstructured!L$17&lt;=Project_Loan_Term?,PMT(Project_Loan_Rate,Project_Loan_Term?,-Project_Loan_Amount,0),0),0)</f>
        <v>0</v>
      </c>
      <c r="M98" s="228">
        <f>IF(Project_Debt?="Yes",IF(Unstructured!M$17&lt;=Project_Loan_Term?,PMT(Project_Loan_Rate,Project_Loan_Term?,-Project_Loan_Amount,0),0),0)</f>
        <v>0</v>
      </c>
      <c r="N98" s="228">
        <f>IF(Project_Debt?="Yes",IF(Unstructured!N$17&lt;=Project_Loan_Term?,PMT(Project_Loan_Rate,Project_Loan_Term?,-Project_Loan_Amount,0),0),0)</f>
        <v>0</v>
      </c>
      <c r="O98" s="228">
        <f>IF(Project_Debt?="Yes",IF(Unstructured!O$17&lt;=Project_Loan_Term?,PMT(Project_Loan_Rate,Project_Loan_Term?,-Project_Loan_Amount,0),0),0)</f>
        <v>0</v>
      </c>
      <c r="P98" s="228">
        <f>IF(Project_Debt?="Yes",IF(Unstructured!P$17&lt;=Project_Loan_Term?,PMT(Project_Loan_Rate,Project_Loan_Term?,-Project_Loan_Amount,0),0),0)</f>
        <v>0</v>
      </c>
      <c r="Q98" s="228">
        <f>IF(Project_Debt?="Yes",IF(Unstructured!Q$17&lt;=Project_Loan_Term?,PMT(Project_Loan_Rate,Project_Loan_Term?,-Project_Loan_Amount,0),0),0)</f>
        <v>0</v>
      </c>
      <c r="R98" s="228">
        <f>IF(Project_Debt?="Yes",IF(Unstructured!R$17&lt;=Project_Loan_Term?,PMT(Project_Loan_Rate,Project_Loan_Term?,-Project_Loan_Amount,0),0),0)</f>
        <v>0</v>
      </c>
      <c r="S98" s="228">
        <f>IF(Project_Debt?="Yes",IF(Unstructured!S$17&lt;=Project_Loan_Term?,PMT(Project_Loan_Rate,Project_Loan_Term?,-Project_Loan_Amount,0),0),0)</f>
        <v>0</v>
      </c>
      <c r="T98" s="228">
        <f>IF(Project_Debt?="Yes",IF(Unstructured!T$17&lt;=Project_Loan_Term?,PMT(Project_Loan_Rate,Project_Loan_Term?,-Project_Loan_Amount,0),0),0)</f>
        <v>0</v>
      </c>
      <c r="U98" s="228">
        <f>IF(Project_Debt?="Yes",IF(Unstructured!U$17&lt;=Project_Loan_Term?,PMT(Project_Loan_Rate,Project_Loan_Term?,-Project_Loan_Amount,0),0),0)</f>
        <v>0</v>
      </c>
      <c r="V98" s="228">
        <f>IF(Project_Debt?="Yes",IF(Unstructured!V$17&lt;=Project_Loan_Term?,PMT(Project_Loan_Rate,Project_Loan_Term?,-Project_Loan_Amount,0),0),0)</f>
        <v>0</v>
      </c>
      <c r="W98" s="228">
        <f>IF(Project_Debt?="Yes",IF(Unstructured!W$17&lt;=Project_Loan_Term?,PMT(Project_Loan_Rate,Project_Loan_Term?,-Project_Loan_Amount,0),0),0)</f>
        <v>0</v>
      </c>
      <c r="X98" s="228">
        <f>IF(Project_Debt?="Yes",IF(Unstructured!X$17&lt;=Project_Loan_Term?,PMT(Project_Loan_Rate,Project_Loan_Term?,-Project_Loan_Amount,0),0),0)</f>
        <v>0</v>
      </c>
      <c r="Y98" s="228">
        <f>IF(Project_Debt?="Yes",IF(Unstructured!Y$17&lt;=Project_Loan_Term?,PMT(Project_Loan_Rate,Project_Loan_Term?,-Project_Loan_Amount,0),0),0)</f>
        <v>0</v>
      </c>
      <c r="Z98" s="228">
        <f>IF(Project_Debt?="Yes",IF(Unstructured!Z$17&lt;=Project_Loan_Term?,PMT(Project_Loan_Rate,Project_Loan_Term?,-Project_Loan_Amount,0),0),0)</f>
        <v>0</v>
      </c>
      <c r="AA98" s="228">
        <f>IF(Project_Debt?="Yes",IF(Unstructured!AA$17&lt;=Project_Loan_Term?,PMT(Project_Loan_Rate,Project_Loan_Term?,-Project_Loan_Amount,0),0),0)</f>
        <v>0</v>
      </c>
      <c r="AB98" s="228">
        <f>IF(Project_Debt?="Yes",IF(Unstructured!AB$17&lt;=Project_Loan_Term?,PMT(Project_Loan_Rate,Project_Loan_Term?,-Project_Loan_Amount,0),0),0)</f>
        <v>0</v>
      </c>
      <c r="AC98" s="12"/>
    </row>
    <row r="99" spans="1:29" ht="14" x14ac:dyDescent="0.2">
      <c r="A99" s="3"/>
      <c r="B99" s="210" t="s">
        <v>30</v>
      </c>
      <c r="C99" s="228"/>
      <c r="D99" s="228">
        <f>C101*Project_Loan_Rate</f>
        <v>0</v>
      </c>
      <c r="E99" s="228">
        <f t="shared" ref="E99:V99" si="62">D101*Project_Loan_Rate</f>
        <v>0</v>
      </c>
      <c r="F99" s="228">
        <f t="shared" si="62"/>
        <v>0</v>
      </c>
      <c r="G99" s="228">
        <f t="shared" si="62"/>
        <v>0</v>
      </c>
      <c r="H99" s="228">
        <f t="shared" si="62"/>
        <v>0</v>
      </c>
      <c r="I99" s="228">
        <f t="shared" si="62"/>
        <v>0</v>
      </c>
      <c r="J99" s="228">
        <f t="shared" si="62"/>
        <v>0</v>
      </c>
      <c r="K99" s="228">
        <f t="shared" si="62"/>
        <v>0</v>
      </c>
      <c r="L99" s="228">
        <f t="shared" si="62"/>
        <v>0</v>
      </c>
      <c r="M99" s="228">
        <f t="shared" si="62"/>
        <v>0</v>
      </c>
      <c r="N99" s="228">
        <f t="shared" si="62"/>
        <v>0</v>
      </c>
      <c r="O99" s="228">
        <f t="shared" si="62"/>
        <v>0</v>
      </c>
      <c r="P99" s="228">
        <f t="shared" si="62"/>
        <v>0</v>
      </c>
      <c r="Q99" s="228">
        <f t="shared" si="62"/>
        <v>0</v>
      </c>
      <c r="R99" s="228">
        <f t="shared" si="62"/>
        <v>0</v>
      </c>
      <c r="S99" s="228">
        <f t="shared" si="62"/>
        <v>0</v>
      </c>
      <c r="T99" s="228">
        <f t="shared" si="62"/>
        <v>0</v>
      </c>
      <c r="U99" s="228">
        <f t="shared" si="62"/>
        <v>0</v>
      </c>
      <c r="V99" s="228">
        <f t="shared" si="62"/>
        <v>0</v>
      </c>
      <c r="W99" s="228">
        <f t="shared" ref="W99:AB99" si="63">V101*Project_Loan_Rate</f>
        <v>0</v>
      </c>
      <c r="X99" s="228">
        <f t="shared" si="63"/>
        <v>0</v>
      </c>
      <c r="Y99" s="228">
        <f t="shared" si="63"/>
        <v>0</v>
      </c>
      <c r="Z99" s="228">
        <f t="shared" si="63"/>
        <v>0</v>
      </c>
      <c r="AA99" s="228">
        <f t="shared" si="63"/>
        <v>0</v>
      </c>
      <c r="AB99" s="228">
        <f t="shared" si="63"/>
        <v>0</v>
      </c>
      <c r="AC99" s="12"/>
    </row>
    <row r="100" spans="1:29" ht="14" x14ac:dyDescent="0.2">
      <c r="A100" s="3"/>
      <c r="B100" s="210" t="s">
        <v>119</v>
      </c>
      <c r="C100" s="228"/>
      <c r="D100" s="228">
        <f>D98-D99</f>
        <v>0</v>
      </c>
      <c r="E100" s="228">
        <f t="shared" ref="E100:V100" si="64">E98-E99</f>
        <v>0</v>
      </c>
      <c r="F100" s="228">
        <f t="shared" si="64"/>
        <v>0</v>
      </c>
      <c r="G100" s="228">
        <f t="shared" si="64"/>
        <v>0</v>
      </c>
      <c r="H100" s="228">
        <f t="shared" si="64"/>
        <v>0</v>
      </c>
      <c r="I100" s="228">
        <f t="shared" si="64"/>
        <v>0</v>
      </c>
      <c r="J100" s="228">
        <f t="shared" si="64"/>
        <v>0</v>
      </c>
      <c r="K100" s="228">
        <f t="shared" si="64"/>
        <v>0</v>
      </c>
      <c r="L100" s="228">
        <f t="shared" si="64"/>
        <v>0</v>
      </c>
      <c r="M100" s="228">
        <f t="shared" si="64"/>
        <v>0</v>
      </c>
      <c r="N100" s="228">
        <f t="shared" si="64"/>
        <v>0</v>
      </c>
      <c r="O100" s="228">
        <f t="shared" si="64"/>
        <v>0</v>
      </c>
      <c r="P100" s="228">
        <f t="shared" si="64"/>
        <v>0</v>
      </c>
      <c r="Q100" s="228">
        <f t="shared" si="64"/>
        <v>0</v>
      </c>
      <c r="R100" s="228">
        <f t="shared" si="64"/>
        <v>0</v>
      </c>
      <c r="S100" s="228">
        <f t="shared" si="64"/>
        <v>0</v>
      </c>
      <c r="T100" s="228">
        <f t="shared" si="64"/>
        <v>0</v>
      </c>
      <c r="U100" s="228">
        <f t="shared" si="64"/>
        <v>0</v>
      </c>
      <c r="V100" s="228">
        <f t="shared" si="64"/>
        <v>0</v>
      </c>
      <c r="W100" s="228">
        <f t="shared" ref="W100:AB100" si="65">W98-W99</f>
        <v>0</v>
      </c>
      <c r="X100" s="228">
        <f t="shared" si="65"/>
        <v>0</v>
      </c>
      <c r="Y100" s="228">
        <f t="shared" si="65"/>
        <v>0</v>
      </c>
      <c r="Z100" s="228">
        <f t="shared" si="65"/>
        <v>0</v>
      </c>
      <c r="AA100" s="228">
        <f t="shared" si="65"/>
        <v>0</v>
      </c>
      <c r="AB100" s="228">
        <f t="shared" si="65"/>
        <v>0</v>
      </c>
      <c r="AC100" s="12"/>
    </row>
    <row r="101" spans="1:29" ht="14" x14ac:dyDescent="0.2">
      <c r="A101" s="3"/>
      <c r="B101" s="236" t="s">
        <v>242</v>
      </c>
      <c r="C101" s="228">
        <f>IF(Project_Debt?="Yes",Project_Loan_Amount,0)</f>
        <v>0</v>
      </c>
      <c r="D101" s="228">
        <f t="shared" ref="D101:V101" si="66">C101-D100</f>
        <v>0</v>
      </c>
      <c r="E101" s="228">
        <f t="shared" si="66"/>
        <v>0</v>
      </c>
      <c r="F101" s="228">
        <f t="shared" si="66"/>
        <v>0</v>
      </c>
      <c r="G101" s="228">
        <f t="shared" si="66"/>
        <v>0</v>
      </c>
      <c r="H101" s="228">
        <f t="shared" si="66"/>
        <v>0</v>
      </c>
      <c r="I101" s="228">
        <f t="shared" si="66"/>
        <v>0</v>
      </c>
      <c r="J101" s="228">
        <f t="shared" si="66"/>
        <v>0</v>
      </c>
      <c r="K101" s="228">
        <f t="shared" si="66"/>
        <v>0</v>
      </c>
      <c r="L101" s="228">
        <f t="shared" si="66"/>
        <v>0</v>
      </c>
      <c r="M101" s="228">
        <f t="shared" si="66"/>
        <v>0</v>
      </c>
      <c r="N101" s="228">
        <f t="shared" si="66"/>
        <v>0</v>
      </c>
      <c r="O101" s="228">
        <f t="shared" si="66"/>
        <v>0</v>
      </c>
      <c r="P101" s="228">
        <f t="shared" si="66"/>
        <v>0</v>
      </c>
      <c r="Q101" s="228">
        <f t="shared" si="66"/>
        <v>0</v>
      </c>
      <c r="R101" s="228">
        <f t="shared" si="66"/>
        <v>0</v>
      </c>
      <c r="S101" s="228">
        <f t="shared" si="66"/>
        <v>0</v>
      </c>
      <c r="T101" s="228">
        <f t="shared" si="66"/>
        <v>0</v>
      </c>
      <c r="U101" s="228">
        <f t="shared" si="66"/>
        <v>0</v>
      </c>
      <c r="V101" s="228">
        <f t="shared" si="66"/>
        <v>0</v>
      </c>
      <c r="W101" s="228">
        <f t="shared" ref="W101:AB101" si="67">V101-W100</f>
        <v>0</v>
      </c>
      <c r="X101" s="228">
        <f t="shared" si="67"/>
        <v>0</v>
      </c>
      <c r="Y101" s="228">
        <f t="shared" si="67"/>
        <v>0</v>
      </c>
      <c r="Z101" s="228">
        <f t="shared" si="67"/>
        <v>0</v>
      </c>
      <c r="AA101" s="228">
        <f t="shared" si="67"/>
        <v>0</v>
      </c>
      <c r="AB101" s="228">
        <f t="shared" si="67"/>
        <v>0</v>
      </c>
      <c r="AC101" s="12"/>
    </row>
    <row r="102" spans="1:29" ht="14" x14ac:dyDescent="0.2">
      <c r="A102" s="3"/>
      <c r="B102" s="236"/>
      <c r="C102" s="228"/>
      <c r="D102" s="228"/>
      <c r="E102" s="228"/>
      <c r="F102" s="228"/>
      <c r="G102" s="228"/>
      <c r="H102" s="228"/>
      <c r="I102" s="228"/>
      <c r="J102" s="228"/>
      <c r="K102" s="228"/>
      <c r="L102" s="228"/>
      <c r="M102" s="228"/>
      <c r="N102" s="228"/>
      <c r="O102" s="228"/>
      <c r="P102" s="228"/>
      <c r="Q102" s="228"/>
      <c r="R102" s="228"/>
      <c r="S102" s="228"/>
      <c r="T102" s="228"/>
      <c r="U102" s="228"/>
      <c r="V102" s="228"/>
      <c r="W102" s="228"/>
      <c r="X102" s="228"/>
      <c r="Y102" s="228"/>
      <c r="Z102" s="228"/>
      <c r="AA102" s="228"/>
      <c r="AB102" s="228"/>
      <c r="AC102" s="12"/>
    </row>
    <row r="103" spans="1:29" ht="14" x14ac:dyDescent="0.2">
      <c r="A103" s="3"/>
      <c r="B103" s="236" t="s">
        <v>70</v>
      </c>
      <c r="C103" s="228"/>
      <c r="D103" s="228">
        <f>(((Unstructured!D30*Production_Delta_P95_P50)-Unstructured!D38)/Project_Loan_Coverage_Ratio)</f>
        <v>20988.53718433305</v>
      </c>
      <c r="E103" s="228">
        <f>(((Unstructured!E30*Production_Delta_P95_P50)-Unstructured!E38)/Project_Loan_Coverage_Ratio)</f>
        <v>21404.920968163333</v>
      </c>
      <c r="F103" s="228">
        <f>(((Unstructured!F30*Production_Delta_P95_P50)-Unstructured!F38)/Project_Loan_Coverage_Ratio)</f>
        <v>21829.565111843083</v>
      </c>
      <c r="G103" s="228">
        <f>(((Unstructured!G30*Production_Delta_P95_P50)-Unstructured!G38)/Project_Loan_Coverage_Ratio)</f>
        <v>22262.633484667211</v>
      </c>
      <c r="H103" s="228">
        <f>(((Unstructured!H30*Production_Delta_P95_P50)-Unstructured!H38)/Project_Loan_Coverage_Ratio)</f>
        <v>22704.293206725742</v>
      </c>
      <c r="I103" s="228">
        <f>(((Unstructured!I30*Production_Delta_P95_P50)-Unstructured!I38)/Project_Loan_Coverage_Ratio)</f>
        <v>23154.714713391204</v>
      </c>
      <c r="J103" s="228">
        <f>(((Unstructured!J30*Production_Delta_P95_P50)-Unstructured!J38)/Project_Loan_Coverage_Ratio)</f>
        <v>23614.071821085272</v>
      </c>
      <c r="K103" s="228">
        <f>(((Unstructured!K30*Production_Delta_P95_P50)-Unstructured!K38)/Project_Loan_Coverage_Ratio)</f>
        <v>24082.541794350076</v>
      </c>
      <c r="L103" s="228">
        <f>(((Unstructured!L30*Production_Delta_P95_P50)-Unstructured!L38)/Project_Loan_Coverage_Ratio)</f>
        <v>24560.305414249935</v>
      </c>
      <c r="M103" s="228">
        <f>(((Unstructured!M30*Production_Delta_P95_P50)-Unstructured!M38)/Project_Loan_Coverage_Ratio)</f>
        <v>25047.547048130036</v>
      </c>
      <c r="N103" s="228">
        <f>(((Unstructured!N30*Production_Delta_P95_P50)-Unstructured!N38)/Project_Loan_Coverage_Ratio)</f>
        <v>25544.454720758946</v>
      </c>
      <c r="O103" s="228">
        <f>(((Unstructured!O30*Production_Delta_P95_P50)-Unstructured!O38)/Project_Loan_Coverage_Ratio)</f>
        <v>26051.22018688231</v>
      </c>
      <c r="P103" s="228">
        <f>(((Unstructured!P30*Production_Delta_P95_P50)-Unstructured!P38)/Project_Loan_Coverage_Ratio)</f>
        <v>26568.039005215829</v>
      </c>
      <c r="Q103" s="228">
        <f>(((Unstructured!Q30*Production_Delta_P95_P50)-Unstructured!Q38)/Project_Loan_Coverage_Ratio)</f>
        <v>27095.110613906116</v>
      </c>
      <c r="R103" s="228">
        <f>(((Unstructured!R30*Production_Delta_P95_P50)-Unstructured!R38)/Project_Loan_Coverage_Ratio)</f>
        <v>27632.638407488357</v>
      </c>
      <c r="S103" s="228">
        <f>(((Unstructured!S30*Production_Delta_P95_P50)-Unstructured!S38)/Project_Loan_Coverage_Ratio)</f>
        <v>28180.82981537066</v>
      </c>
      <c r="T103" s="228">
        <f>(((Unstructured!T30*Production_Delta_P95_P50)-Unstructured!T38)/Project_Loan_Coverage_Ratio)</f>
        <v>28739.896381875293</v>
      </c>
      <c r="U103" s="228">
        <f>(((Unstructured!U30*Production_Delta_P95_P50)-Unstructured!U38)/Project_Loan_Coverage_Ratio)</f>
        <v>29310.05384786769</v>
      </c>
      <c r="V103" s="228">
        <f>(((Unstructured!V30*Production_Delta_P95_P50)-Unstructured!V38)/Project_Loan_Coverage_Ratio)</f>
        <v>29891.522234004748</v>
      </c>
      <c r="W103" s="228">
        <f>(((Unstructured!W30*Production_Delta_P95_P50)-Unstructured!W38)/Project_Loan_Coverage_Ratio)</f>
        <v>30484.525925634469</v>
      </c>
      <c r="X103" s="228">
        <f>(((Unstructured!X30*Production_Delta_P95_P50)-Unstructured!X38)/Project_Loan_Coverage_Ratio)</f>
        <v>31089.293759379925</v>
      </c>
      <c r="Y103" s="228">
        <f>(((Unstructured!Y30*Production_Delta_P95_P50)-Unstructured!Y38)/Project_Loan_Coverage_Ratio)</f>
        <v>31706.059111440543</v>
      </c>
      <c r="Z103" s="228">
        <f>(((Unstructured!Z30*Production_Delta_P95_P50)-Unstructured!Z38)/Project_Loan_Coverage_Ratio)</f>
        <v>32335.059987645232</v>
      </c>
      <c r="AA103" s="228">
        <f>(((Unstructured!AA30*Production_Delta_P95_P50)-Unstructured!AA38)/Project_Loan_Coverage_Ratio)</f>
        <v>32976.539115291773</v>
      </c>
      <c r="AB103" s="228">
        <f>(((Unstructured!AB30*Production_Delta_P95_P50)-Unstructured!AB38)/Project_Loan_Coverage_Ratio)</f>
        <v>33630.74403680813</v>
      </c>
      <c r="AC103" s="12"/>
    </row>
    <row r="104" spans="1:29" ht="14" x14ac:dyDescent="0.2">
      <c r="A104" s="3"/>
      <c r="B104" s="236" t="s">
        <v>71</v>
      </c>
      <c r="C104" s="228"/>
      <c r="D104" s="228">
        <f t="shared" ref="D104:V104" si="68">D103-D98</f>
        <v>20988.53718433305</v>
      </c>
      <c r="E104" s="228">
        <f t="shared" si="68"/>
        <v>21404.920968163333</v>
      </c>
      <c r="F104" s="228">
        <f t="shared" si="68"/>
        <v>21829.565111843083</v>
      </c>
      <c r="G104" s="228">
        <f t="shared" si="68"/>
        <v>22262.633484667211</v>
      </c>
      <c r="H104" s="228">
        <f t="shared" si="68"/>
        <v>22704.293206725742</v>
      </c>
      <c r="I104" s="228">
        <f t="shared" si="68"/>
        <v>23154.714713391204</v>
      </c>
      <c r="J104" s="228">
        <f t="shared" si="68"/>
        <v>23614.071821085272</v>
      </c>
      <c r="K104" s="228">
        <f t="shared" si="68"/>
        <v>24082.541794350076</v>
      </c>
      <c r="L104" s="228">
        <f t="shared" si="68"/>
        <v>24560.305414249935</v>
      </c>
      <c r="M104" s="228">
        <f t="shared" si="68"/>
        <v>25047.547048130036</v>
      </c>
      <c r="N104" s="228">
        <f t="shared" si="68"/>
        <v>25544.454720758946</v>
      </c>
      <c r="O104" s="228">
        <f t="shared" si="68"/>
        <v>26051.22018688231</v>
      </c>
      <c r="P104" s="228">
        <f t="shared" si="68"/>
        <v>26568.039005215829</v>
      </c>
      <c r="Q104" s="228">
        <f t="shared" si="68"/>
        <v>27095.110613906116</v>
      </c>
      <c r="R104" s="228">
        <f t="shared" si="68"/>
        <v>27632.638407488357</v>
      </c>
      <c r="S104" s="228">
        <f t="shared" si="68"/>
        <v>28180.82981537066</v>
      </c>
      <c r="T104" s="228">
        <f t="shared" si="68"/>
        <v>28739.896381875293</v>
      </c>
      <c r="U104" s="228">
        <f t="shared" si="68"/>
        <v>29310.05384786769</v>
      </c>
      <c r="V104" s="228">
        <f t="shared" si="68"/>
        <v>29891.522234004748</v>
      </c>
      <c r="W104" s="228">
        <f t="shared" ref="W104:AB104" si="69">W103-W98</f>
        <v>30484.525925634469</v>
      </c>
      <c r="X104" s="228">
        <f t="shared" si="69"/>
        <v>31089.293759379925</v>
      </c>
      <c r="Y104" s="228">
        <f t="shared" si="69"/>
        <v>31706.059111440543</v>
      </c>
      <c r="Z104" s="228">
        <f t="shared" si="69"/>
        <v>32335.059987645232</v>
      </c>
      <c r="AA104" s="228">
        <f t="shared" si="69"/>
        <v>32976.539115291773</v>
      </c>
      <c r="AB104" s="228">
        <f t="shared" si="69"/>
        <v>33630.74403680813</v>
      </c>
      <c r="AC104" s="12"/>
    </row>
    <row r="105" spans="1:29" ht="14" x14ac:dyDescent="0.2">
      <c r="A105" s="3"/>
      <c r="B105" s="236" t="s">
        <v>35</v>
      </c>
      <c r="C105" s="240" t="str">
        <f>IF(Dashboard!$H$27="Yes",IF(SUM(D105:W105)&lt;0,"Fail","Pass"),"N/A")</f>
        <v>N/A</v>
      </c>
      <c r="D105" s="241">
        <f>IF(D104&lt;0,D104,0)</f>
        <v>0</v>
      </c>
      <c r="E105" s="241">
        <f t="shared" ref="E105:V105" si="70">IF(E104&lt;0,D105+E104,D105+0)</f>
        <v>0</v>
      </c>
      <c r="F105" s="241">
        <f t="shared" si="70"/>
        <v>0</v>
      </c>
      <c r="G105" s="241">
        <f t="shared" si="70"/>
        <v>0</v>
      </c>
      <c r="H105" s="241">
        <f t="shared" si="70"/>
        <v>0</v>
      </c>
      <c r="I105" s="241">
        <f t="shared" si="70"/>
        <v>0</v>
      </c>
      <c r="J105" s="241">
        <f t="shared" si="70"/>
        <v>0</v>
      </c>
      <c r="K105" s="241">
        <f t="shared" si="70"/>
        <v>0</v>
      </c>
      <c r="L105" s="241">
        <f t="shared" si="70"/>
        <v>0</v>
      </c>
      <c r="M105" s="241">
        <f t="shared" si="70"/>
        <v>0</v>
      </c>
      <c r="N105" s="241">
        <f t="shared" si="70"/>
        <v>0</v>
      </c>
      <c r="O105" s="241">
        <f t="shared" si="70"/>
        <v>0</v>
      </c>
      <c r="P105" s="241">
        <f t="shared" si="70"/>
        <v>0</v>
      </c>
      <c r="Q105" s="241">
        <f t="shared" si="70"/>
        <v>0</v>
      </c>
      <c r="R105" s="241">
        <f t="shared" si="70"/>
        <v>0</v>
      </c>
      <c r="S105" s="241">
        <f t="shared" si="70"/>
        <v>0</v>
      </c>
      <c r="T105" s="241">
        <f t="shared" si="70"/>
        <v>0</v>
      </c>
      <c r="U105" s="241">
        <f t="shared" si="70"/>
        <v>0</v>
      </c>
      <c r="V105" s="241">
        <f t="shared" si="70"/>
        <v>0</v>
      </c>
      <c r="W105" s="241">
        <f t="shared" ref="W105:AB105" si="71">IF(W104&lt;0,V105+W104,V105+0)</f>
        <v>0</v>
      </c>
      <c r="X105" s="241">
        <f t="shared" si="71"/>
        <v>0</v>
      </c>
      <c r="Y105" s="241">
        <f t="shared" si="71"/>
        <v>0</v>
      </c>
      <c r="Z105" s="241">
        <f t="shared" si="71"/>
        <v>0</v>
      </c>
      <c r="AA105" s="241">
        <f t="shared" si="71"/>
        <v>0</v>
      </c>
      <c r="AB105" s="241">
        <f t="shared" si="71"/>
        <v>0</v>
      </c>
      <c r="AC105" s="12"/>
    </row>
    <row r="106" spans="1:29" ht="14" x14ac:dyDescent="0.2">
      <c r="A106" s="3"/>
      <c r="B106" s="237" t="s">
        <v>147</v>
      </c>
      <c r="C106" s="242" t="str">
        <f>IF(Project_Debt?="Yes",IF(MIN(D101:W101)&lt;1,"Yes","No"),"N/A")</f>
        <v>N/A</v>
      </c>
      <c r="D106" s="196"/>
      <c r="E106" s="196"/>
      <c r="F106" s="196"/>
      <c r="G106" s="196"/>
      <c r="H106" s="196"/>
      <c r="I106" s="196"/>
      <c r="J106" s="196"/>
      <c r="K106" s="196"/>
      <c r="L106" s="196"/>
      <c r="M106" s="196"/>
      <c r="N106" s="196"/>
      <c r="O106" s="196"/>
      <c r="P106" s="196"/>
      <c r="Q106" s="196"/>
      <c r="R106" s="196"/>
      <c r="S106" s="196"/>
      <c r="T106" s="196"/>
      <c r="U106" s="196"/>
      <c r="V106" s="196"/>
      <c r="W106" s="196"/>
      <c r="X106" s="196"/>
      <c r="Y106" s="196"/>
      <c r="Z106" s="196"/>
      <c r="AA106" s="196"/>
      <c r="AB106" s="196"/>
      <c r="AC106" s="12"/>
    </row>
    <row r="107" spans="1:29" ht="14" x14ac:dyDescent="0.2">
      <c r="A107" s="3"/>
      <c r="B107" s="2"/>
      <c r="C107" s="20"/>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row>
    <row r="108" spans="1:29" ht="14"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12"/>
    </row>
    <row r="109" spans="1:29" ht="16" x14ac:dyDescent="0.2">
      <c r="A109" s="3"/>
      <c r="B109" s="579" t="s">
        <v>183</v>
      </c>
      <c r="C109" s="579"/>
      <c r="D109" s="579">
        <v>1</v>
      </c>
      <c r="E109" s="3"/>
      <c r="F109" s="3"/>
      <c r="G109" s="3"/>
      <c r="H109" s="3"/>
      <c r="I109" s="3"/>
      <c r="J109" s="3"/>
      <c r="K109" s="3"/>
      <c r="L109" s="3"/>
      <c r="M109" s="3"/>
      <c r="N109" s="3"/>
      <c r="O109" s="3"/>
      <c r="P109" s="3"/>
      <c r="Q109" s="3"/>
      <c r="R109" s="3"/>
      <c r="S109" s="3"/>
      <c r="T109" s="3"/>
      <c r="U109" s="3"/>
      <c r="V109" s="3"/>
      <c r="W109" s="3"/>
      <c r="X109" s="3"/>
      <c r="Y109" s="3"/>
      <c r="Z109" s="3"/>
      <c r="AA109" s="3"/>
      <c r="AB109" s="3"/>
      <c r="AC109" s="12"/>
    </row>
    <row r="110" spans="1:29" ht="14" x14ac:dyDescent="0.2">
      <c r="A110" s="3"/>
      <c r="B110" s="7" t="s">
        <v>286</v>
      </c>
      <c r="C110" s="16">
        <v>0</v>
      </c>
      <c r="D110" s="4">
        <v>1</v>
      </c>
      <c r="E110" s="4">
        <v>2</v>
      </c>
      <c r="F110" s="4">
        <v>3</v>
      </c>
      <c r="G110" s="4">
        <v>4</v>
      </c>
      <c r="H110" s="4">
        <v>5</v>
      </c>
      <c r="I110" s="4">
        <v>6</v>
      </c>
      <c r="J110" s="4">
        <v>7</v>
      </c>
      <c r="K110" s="4">
        <v>8</v>
      </c>
      <c r="L110" s="4">
        <v>9</v>
      </c>
      <c r="M110" s="4">
        <v>10</v>
      </c>
      <c r="N110" s="4">
        <v>11</v>
      </c>
      <c r="O110" s="4">
        <v>12</v>
      </c>
      <c r="P110" s="4">
        <v>13</v>
      </c>
      <c r="Q110" s="4">
        <v>14</v>
      </c>
      <c r="R110" s="4">
        <v>15</v>
      </c>
      <c r="S110" s="4">
        <v>16</v>
      </c>
      <c r="T110" s="4">
        <v>17</v>
      </c>
      <c r="U110" s="4">
        <v>18</v>
      </c>
      <c r="V110" s="4">
        <v>19</v>
      </c>
      <c r="W110" s="4">
        <v>20</v>
      </c>
      <c r="X110" s="4">
        <v>21</v>
      </c>
      <c r="Y110" s="4">
        <v>22</v>
      </c>
      <c r="Z110" s="4">
        <v>23</v>
      </c>
      <c r="AA110" s="4">
        <v>24</v>
      </c>
      <c r="AB110" s="4">
        <v>25</v>
      </c>
      <c r="AC110" s="12"/>
    </row>
    <row r="111" spans="1:29" ht="14" x14ac:dyDescent="0.2">
      <c r="A111" s="3"/>
      <c r="B111" s="238"/>
      <c r="C111" s="243"/>
      <c r="D111" s="243"/>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12"/>
    </row>
    <row r="112" spans="1:29" ht="14" x14ac:dyDescent="0.2">
      <c r="A112" s="3"/>
      <c r="B112" s="233" t="s">
        <v>292</v>
      </c>
      <c r="C112" s="245"/>
      <c r="D112" s="245"/>
      <c r="E112" s="246"/>
      <c r="F112" s="246"/>
      <c r="G112" s="246"/>
      <c r="H112" s="246"/>
      <c r="I112" s="246"/>
      <c r="J112" s="246"/>
      <c r="K112" s="246"/>
      <c r="L112" s="246"/>
      <c r="M112" s="246"/>
      <c r="N112" s="246"/>
      <c r="O112" s="246"/>
      <c r="P112" s="246"/>
      <c r="Q112" s="246"/>
      <c r="R112" s="246"/>
      <c r="S112" s="246"/>
      <c r="T112" s="246"/>
      <c r="U112" s="246"/>
      <c r="V112" s="246"/>
      <c r="W112" s="246"/>
      <c r="X112" s="246"/>
      <c r="Y112" s="246"/>
      <c r="Z112" s="246"/>
      <c r="AA112" s="246"/>
      <c r="AB112" s="246"/>
      <c r="AC112" s="12"/>
    </row>
    <row r="113" spans="1:29" ht="14" x14ac:dyDescent="0.2">
      <c r="A113" s="3"/>
      <c r="B113" s="236" t="s">
        <v>293</v>
      </c>
      <c r="C113" s="245"/>
      <c r="D113" s="228">
        <f>Unstructured!D30-(Unstructured!D38+Unstructured!D42)</f>
        <v>26541.028563749649</v>
      </c>
      <c r="E113" s="228">
        <f>Unstructured!E30-(Unstructured!E38+Unstructured!E42)</f>
        <v>27067.61543520417</v>
      </c>
      <c r="F113" s="228">
        <f>Unstructured!F30-(Unstructured!F38+Unstructured!F42)</f>
        <v>27604.649899303855</v>
      </c>
      <c r="G113" s="228">
        <f>Unstructured!G30-(Unstructured!G38+Unstructured!G42)</f>
        <v>28152.339235524014</v>
      </c>
      <c r="H113" s="228">
        <f>Unstructured!H30-(Unstructured!H38+Unstructured!H42)</f>
        <v>28710.894835690982</v>
      </c>
      <c r="I113" s="228">
        <f>Unstructured!I30-(Unstructured!I38+Unstructured!I42)</f>
        <v>29280.532285568479</v>
      </c>
      <c r="J113" s="228">
        <f>Unstructured!J30-(Unstructured!J38+Unstructured!J42)</f>
        <v>29861.471448062657</v>
      </c>
      <c r="K113" s="228">
        <f>Unstructured!K30-(Unstructured!K38+Unstructured!K42)</f>
        <v>30453.936548077781</v>
      </c>
      <c r="L113" s="228">
        <f>Unstructured!L30-(Unstructured!L38+Unstructured!L42)</f>
        <v>31058.156259055406</v>
      </c>
      <c r="M113" s="228">
        <f>Unstructured!M30-(Unstructured!M38+Unstructured!M42)</f>
        <v>31674.363791230397</v>
      </c>
      <c r="N113" s="228">
        <f>Unstructured!N30-(Unstructured!N38+Unstructured!N42)</f>
        <v>32302.79698163789</v>
      </c>
      <c r="O113" s="228">
        <f>Unstructured!O30-(Unstructured!O38+Unstructured!O42)</f>
        <v>32943.698385905882</v>
      </c>
      <c r="P113" s="228">
        <f>Unstructured!P30-(Unstructured!P38+Unstructured!P42)</f>
        <v>33597.315371868841</v>
      </c>
      <c r="Q113" s="228">
        <f>Unstructured!Q30-(Unstructured!Q38+Unstructured!Q42)</f>
        <v>34263.90021503868</v>
      </c>
      <c r="R113" s="228">
        <f>Unstructured!R30-(Unstructured!R38+Unstructured!R42)</f>
        <v>34943.710195969601</v>
      </c>
      <c r="S113" s="228">
        <f>Unstructured!S30-(Unstructured!S38+Unstructured!S42)</f>
        <v>35637.007699554662</v>
      </c>
      <c r="T113" s="228">
        <f>Unstructured!T30-(Unstructured!T38+Unstructured!T42)</f>
        <v>36344.060316292278</v>
      </c>
      <c r="U113" s="228">
        <f>Unstructured!U30-(Unstructured!U38+Unstructured!U42)</f>
        <v>37065.140945561739</v>
      </c>
      <c r="V113" s="228">
        <f>Unstructured!V30-(Unstructured!V38+Unstructured!V42)</f>
        <v>37800.527900947607</v>
      </c>
      <c r="W113" s="228">
        <f>Unstructured!W30-(Unstructured!W38+Unstructured!W42)</f>
        <v>38550.505017653588</v>
      </c>
      <c r="X113" s="228">
        <f>Unstructured!X30-(Unstructured!X38+Unstructured!X42)</f>
        <v>39315.361762047622</v>
      </c>
      <c r="Y113" s="228">
        <f>Unstructured!Y30-(Unstructured!Y38+Unstructured!Y42)</f>
        <v>40095.393343379845</v>
      </c>
      <c r="Z113" s="228">
        <f>Unstructured!Z30-(Unstructured!Z38+Unstructured!Z42)</f>
        <v>40890.900827717283</v>
      </c>
      <c r="AA113" s="228">
        <f>Unstructured!AA30-(Unstructured!AA38+Unstructured!AA42)</f>
        <v>41702.191254138677</v>
      </c>
      <c r="AB113" s="228">
        <f>Unstructured!AB30-(Unstructured!AB38+Unstructured!AB42)</f>
        <v>42529.577753234596</v>
      </c>
      <c r="AC113" s="12"/>
    </row>
    <row r="114" spans="1:29" ht="14" x14ac:dyDescent="0.2">
      <c r="A114" s="3"/>
      <c r="B114" s="236" t="s">
        <v>20</v>
      </c>
      <c r="C114" s="245"/>
      <c r="D114" s="228">
        <f>IF(AND(Owner_is_Taxpayer_Non_Taxpayer?="Taxpayer",Unstructured!D17&lt;7),VLOOKUP(Unstructured!D17,Depreciation_Table,4),0)</f>
        <v>88930.80486774999</v>
      </c>
      <c r="E114" s="228">
        <f>IF(AND(Owner_is_Taxpayer_Non_Taxpayer?="Taxpayer",Unstructured!E17&lt;7),VLOOKUP(Unstructured!E17,Depreciation_Table,4),0)</f>
        <v>142289.28778839999</v>
      </c>
      <c r="F114" s="228">
        <f>IF(AND(Owner_is_Taxpayer_Non_Taxpayer?="Taxpayer",Unstructured!F17&lt;7),VLOOKUP(Unstructured!F17,Depreciation_Table,4),0)</f>
        <v>85373.572673039991</v>
      </c>
      <c r="G114" s="228">
        <f>IF(AND(Owner_is_Taxpayer_Non_Taxpayer?="Taxpayer",Unstructured!G17&lt;7),VLOOKUP(Unstructured!G17,Depreciation_Table,4),0)</f>
        <v>51224.143603823992</v>
      </c>
      <c r="H114" s="228">
        <f>IF(AND(Owner_is_Taxpayer_Non_Taxpayer?="Taxpayer",Unstructured!H17&lt;7),VLOOKUP(Unstructured!H17,Depreciation_Table,4),0)</f>
        <v>51224.143603823992</v>
      </c>
      <c r="I114" s="228">
        <f>IF(AND(Owner_is_Taxpayer_Non_Taxpayer?="Taxpayer",Unstructured!I17&lt;7),VLOOKUP(Unstructured!I17,Depreciation_Table,4),0)</f>
        <v>25612.071801911996</v>
      </c>
      <c r="J114" s="228">
        <f>IF(AND(Owner_is_Taxpayer_Non_Taxpayer?="Taxpayer",Unstructured!J17&lt;7),VLOOKUP(Unstructured!J17,Depreciation_Table,4),0)</f>
        <v>0</v>
      </c>
      <c r="K114" s="228">
        <f>IF(AND(Owner_is_Taxpayer_Non_Taxpayer?="Taxpayer",Unstructured!K17&lt;7),VLOOKUP(Unstructured!K17,Depreciation_Table,4),0)</f>
        <v>0</v>
      </c>
      <c r="L114" s="228">
        <f>IF(AND(Owner_is_Taxpayer_Non_Taxpayer?="Taxpayer",Unstructured!L17&lt;7),VLOOKUP(Unstructured!L17,Depreciation_Table,4),0)</f>
        <v>0</v>
      </c>
      <c r="M114" s="228">
        <f>IF(AND(Owner_is_Taxpayer_Non_Taxpayer?="Taxpayer",Unstructured!M17&lt;7),VLOOKUP(Unstructured!M17,Depreciation_Table,4),0)</f>
        <v>0</v>
      </c>
      <c r="N114" s="228">
        <f>IF(AND(Owner_is_Taxpayer_Non_Taxpayer?="Taxpayer",Unstructured!N17&lt;7),VLOOKUP(Unstructured!N17,Depreciation_Table,4),0)</f>
        <v>0</v>
      </c>
      <c r="O114" s="228">
        <f>IF(AND(Owner_is_Taxpayer_Non_Taxpayer?="Taxpayer",Unstructured!O17&lt;7),VLOOKUP(Unstructured!O17,Depreciation_Table,4),0)</f>
        <v>0</v>
      </c>
      <c r="P114" s="228">
        <f>IF(AND(Owner_is_Taxpayer_Non_Taxpayer?="Taxpayer",Unstructured!P17&lt;7),VLOOKUP(Unstructured!P17,Depreciation_Table,4),0)</f>
        <v>0</v>
      </c>
      <c r="Q114" s="228">
        <f>IF(AND(Owner_is_Taxpayer_Non_Taxpayer?="Taxpayer",Unstructured!Q17&lt;7),VLOOKUP(Unstructured!Q17,Depreciation_Table,4),0)</f>
        <v>0</v>
      </c>
      <c r="R114" s="228">
        <f>IF(AND(Owner_is_Taxpayer_Non_Taxpayer?="Taxpayer",Unstructured!R17&lt;7),VLOOKUP(Unstructured!R17,Depreciation_Table,4),0)</f>
        <v>0</v>
      </c>
      <c r="S114" s="228">
        <f>IF(AND(Owner_is_Taxpayer_Non_Taxpayer?="Taxpayer",Unstructured!S17&lt;7),VLOOKUP(Unstructured!S17,Depreciation_Table,4),0)</f>
        <v>0</v>
      </c>
      <c r="T114" s="228">
        <f>IF(AND(Owner_is_Taxpayer_Non_Taxpayer?="Taxpayer",Unstructured!T17&lt;7),VLOOKUP(Unstructured!T17,Depreciation_Table,4),0)</f>
        <v>0</v>
      </c>
      <c r="U114" s="228">
        <f>IF(AND(Owner_is_Taxpayer_Non_Taxpayer?="Taxpayer",Unstructured!U17&lt;7),VLOOKUP(Unstructured!U17,Depreciation_Table,4),0)</f>
        <v>0</v>
      </c>
      <c r="V114" s="228">
        <f>IF(AND(Owner_is_Taxpayer_Non_Taxpayer?="Taxpayer",Unstructured!V17&lt;7),VLOOKUP(Unstructured!V17,Depreciation_Table,4),0)</f>
        <v>0</v>
      </c>
      <c r="W114" s="228">
        <f>IF(AND(Owner_is_Taxpayer_Non_Taxpayer?="Taxpayer",Unstructured!W17&lt;7),VLOOKUP(Unstructured!W17,Depreciation_Table,4),0)</f>
        <v>0</v>
      </c>
      <c r="X114" s="228">
        <f>IF(AND(Owner_is_Taxpayer_Non_Taxpayer?="Taxpayer",Unstructured!X17&lt;7),VLOOKUP(Unstructured!X17,Depreciation_Table,4),0)</f>
        <v>0</v>
      </c>
      <c r="Y114" s="228">
        <f>IF(AND(Owner_is_Taxpayer_Non_Taxpayer?="Taxpayer",Unstructured!Y17&lt;7),VLOOKUP(Unstructured!Y17,Depreciation_Table,4),0)</f>
        <v>0</v>
      </c>
      <c r="Z114" s="228">
        <f>IF(AND(Owner_is_Taxpayer_Non_Taxpayer?="Taxpayer",Unstructured!Z17&lt;7),VLOOKUP(Unstructured!Z17,Depreciation_Table,4),0)</f>
        <v>0</v>
      </c>
      <c r="AA114" s="228">
        <f>IF(AND(Owner_is_Taxpayer_Non_Taxpayer?="Taxpayer",Unstructured!AA17&lt;7),VLOOKUP(Unstructured!AA17,Depreciation_Table,4),0)</f>
        <v>0</v>
      </c>
      <c r="AB114" s="228">
        <f>IF(AND(Owner_is_Taxpayer_Non_Taxpayer?="Taxpayer",Unstructured!AB17&lt;7),VLOOKUP(Unstructured!AB17,Depreciation_Table,4),0)</f>
        <v>0</v>
      </c>
      <c r="AC114" s="12"/>
    </row>
    <row r="115" spans="1:29" ht="14" x14ac:dyDescent="0.2">
      <c r="A115" s="3"/>
      <c r="B115" s="233" t="s">
        <v>189</v>
      </c>
      <c r="C115" s="245"/>
      <c r="D115" s="228">
        <f>IF(OR(Tax_Efficient_Status?="Federal Only",Tax_Efficient_Status?="Not Efficient"),C117,0)</f>
        <v>0</v>
      </c>
      <c r="E115" s="228">
        <f t="shared" ref="E115:V115" si="72">IF(OR(Tax_Efficient_Status?="Federal Only",Tax_Efficient_Status?="Not Efficient"),D117,0)</f>
        <v>0</v>
      </c>
      <c r="F115" s="228">
        <f t="shared" si="72"/>
        <v>0</v>
      </c>
      <c r="G115" s="228">
        <f t="shared" si="72"/>
        <v>0</v>
      </c>
      <c r="H115" s="228">
        <f t="shared" si="72"/>
        <v>0</v>
      </c>
      <c r="I115" s="228">
        <f t="shared" si="72"/>
        <v>0</v>
      </c>
      <c r="J115" s="228">
        <f t="shared" si="72"/>
        <v>0</v>
      </c>
      <c r="K115" s="228">
        <f t="shared" si="72"/>
        <v>0</v>
      </c>
      <c r="L115" s="228">
        <f t="shared" si="72"/>
        <v>0</v>
      </c>
      <c r="M115" s="228">
        <f t="shared" si="72"/>
        <v>0</v>
      </c>
      <c r="N115" s="228">
        <f t="shared" si="72"/>
        <v>0</v>
      </c>
      <c r="O115" s="228">
        <f t="shared" si="72"/>
        <v>0</v>
      </c>
      <c r="P115" s="228">
        <f t="shared" si="72"/>
        <v>0</v>
      </c>
      <c r="Q115" s="228">
        <f t="shared" si="72"/>
        <v>0</v>
      </c>
      <c r="R115" s="228">
        <f t="shared" si="72"/>
        <v>0</v>
      </c>
      <c r="S115" s="228">
        <f t="shared" si="72"/>
        <v>0</v>
      </c>
      <c r="T115" s="228">
        <f t="shared" si="72"/>
        <v>0</v>
      </c>
      <c r="U115" s="228">
        <f t="shared" si="72"/>
        <v>0</v>
      </c>
      <c r="V115" s="228">
        <f t="shared" si="72"/>
        <v>0</v>
      </c>
      <c r="W115" s="228">
        <f t="shared" ref="W115:AB115" si="73">IF(OR(Tax_Efficient_Status?="Federal Only",Tax_Efficient_Status?="Not Efficient"),V117,0)</f>
        <v>0</v>
      </c>
      <c r="X115" s="228">
        <f t="shared" si="73"/>
        <v>0</v>
      </c>
      <c r="Y115" s="228">
        <f t="shared" si="73"/>
        <v>0</v>
      </c>
      <c r="Z115" s="228">
        <f t="shared" si="73"/>
        <v>0</v>
      </c>
      <c r="AA115" s="228">
        <f t="shared" si="73"/>
        <v>0</v>
      </c>
      <c r="AB115" s="228">
        <f t="shared" si="73"/>
        <v>0</v>
      </c>
      <c r="AC115" s="12"/>
    </row>
    <row r="116" spans="1:29" ht="15" thickBot="1" x14ac:dyDescent="0.25">
      <c r="A116" s="3"/>
      <c r="B116" s="236" t="s">
        <v>145</v>
      </c>
      <c r="C116" s="245"/>
      <c r="D116" s="247">
        <f t="shared" ref="D116:V116" si="74">IF(D113&gt;(D114+D115),D113-(D114+D115),0)</f>
        <v>0</v>
      </c>
      <c r="E116" s="247">
        <f t="shared" si="74"/>
        <v>0</v>
      </c>
      <c r="F116" s="247">
        <f t="shared" si="74"/>
        <v>0</v>
      </c>
      <c r="G116" s="247">
        <f t="shared" si="74"/>
        <v>0</v>
      </c>
      <c r="H116" s="247">
        <f t="shared" si="74"/>
        <v>0</v>
      </c>
      <c r="I116" s="247">
        <f t="shared" si="74"/>
        <v>3668.4604836564831</v>
      </c>
      <c r="J116" s="247">
        <f t="shared" si="74"/>
        <v>29861.471448062657</v>
      </c>
      <c r="K116" s="247">
        <f t="shared" si="74"/>
        <v>30453.936548077781</v>
      </c>
      <c r="L116" s="247">
        <f t="shared" si="74"/>
        <v>31058.156259055406</v>
      </c>
      <c r="M116" s="247">
        <f t="shared" si="74"/>
        <v>31674.363791230397</v>
      </c>
      <c r="N116" s="247">
        <f t="shared" si="74"/>
        <v>32302.79698163789</v>
      </c>
      <c r="O116" s="247">
        <f t="shared" si="74"/>
        <v>32943.698385905882</v>
      </c>
      <c r="P116" s="247">
        <f t="shared" si="74"/>
        <v>33597.315371868841</v>
      </c>
      <c r="Q116" s="247">
        <f t="shared" si="74"/>
        <v>34263.90021503868</v>
      </c>
      <c r="R116" s="247">
        <f t="shared" si="74"/>
        <v>34943.710195969601</v>
      </c>
      <c r="S116" s="247">
        <f t="shared" si="74"/>
        <v>35637.007699554662</v>
      </c>
      <c r="T116" s="247">
        <f t="shared" si="74"/>
        <v>36344.060316292278</v>
      </c>
      <c r="U116" s="247">
        <f t="shared" si="74"/>
        <v>37065.140945561739</v>
      </c>
      <c r="V116" s="247">
        <f t="shared" si="74"/>
        <v>37800.527900947607</v>
      </c>
      <c r="W116" s="247">
        <f t="shared" ref="W116:AB116" si="75">IF(W113&gt;(W114+W115),W113-(W114+W115),0)</f>
        <v>38550.505017653588</v>
      </c>
      <c r="X116" s="247">
        <f t="shared" si="75"/>
        <v>39315.361762047622</v>
      </c>
      <c r="Y116" s="247">
        <f t="shared" si="75"/>
        <v>40095.393343379845</v>
      </c>
      <c r="Z116" s="247">
        <f t="shared" si="75"/>
        <v>40890.900827717283</v>
      </c>
      <c r="AA116" s="247">
        <f t="shared" si="75"/>
        <v>41702.191254138677</v>
      </c>
      <c r="AB116" s="247">
        <f t="shared" si="75"/>
        <v>42529.577753234596</v>
      </c>
      <c r="AC116" s="12"/>
    </row>
    <row r="117" spans="1:29" ht="15" thickTop="1" x14ac:dyDescent="0.2">
      <c r="A117" s="3"/>
      <c r="B117" s="236" t="s">
        <v>79</v>
      </c>
      <c r="C117" s="245"/>
      <c r="D117" s="228">
        <f>IF(D113&gt;(D114+D115),0,(D114+D115)-D113)</f>
        <v>62389.776304000341</v>
      </c>
      <c r="E117" s="228">
        <f t="shared" ref="E117:V117" si="76">IF(E113&gt;(E114+E115),0,(E114+E115)-E113)</f>
        <v>115221.67235319581</v>
      </c>
      <c r="F117" s="228">
        <f t="shared" si="76"/>
        <v>57768.922773736136</v>
      </c>
      <c r="G117" s="228">
        <f t="shared" si="76"/>
        <v>23071.804368299978</v>
      </c>
      <c r="H117" s="228">
        <f t="shared" si="76"/>
        <v>22513.248768133009</v>
      </c>
      <c r="I117" s="228">
        <f t="shared" si="76"/>
        <v>0</v>
      </c>
      <c r="J117" s="228">
        <f t="shared" si="76"/>
        <v>0</v>
      </c>
      <c r="K117" s="228">
        <f t="shared" si="76"/>
        <v>0</v>
      </c>
      <c r="L117" s="228">
        <f t="shared" si="76"/>
        <v>0</v>
      </c>
      <c r="M117" s="228">
        <f t="shared" si="76"/>
        <v>0</v>
      </c>
      <c r="N117" s="228">
        <f t="shared" si="76"/>
        <v>0</v>
      </c>
      <c r="O117" s="228">
        <f t="shared" si="76"/>
        <v>0</v>
      </c>
      <c r="P117" s="228">
        <f t="shared" si="76"/>
        <v>0</v>
      </c>
      <c r="Q117" s="228">
        <f t="shared" si="76"/>
        <v>0</v>
      </c>
      <c r="R117" s="228">
        <f t="shared" si="76"/>
        <v>0</v>
      </c>
      <c r="S117" s="228">
        <f t="shared" si="76"/>
        <v>0</v>
      </c>
      <c r="T117" s="228">
        <f t="shared" si="76"/>
        <v>0</v>
      </c>
      <c r="U117" s="228">
        <f t="shared" si="76"/>
        <v>0</v>
      </c>
      <c r="V117" s="228">
        <f t="shared" si="76"/>
        <v>0</v>
      </c>
      <c r="W117" s="228">
        <f t="shared" ref="W117:AB117" si="77">IF(W113&gt;(W114+W115),0,(W114+W115)-W113)</f>
        <v>0</v>
      </c>
      <c r="X117" s="228">
        <f t="shared" si="77"/>
        <v>0</v>
      </c>
      <c r="Y117" s="228">
        <f t="shared" si="77"/>
        <v>0</v>
      </c>
      <c r="Z117" s="228">
        <f t="shared" si="77"/>
        <v>0</v>
      </c>
      <c r="AA117" s="228">
        <f t="shared" si="77"/>
        <v>0</v>
      </c>
      <c r="AB117" s="228">
        <f t="shared" si="77"/>
        <v>0</v>
      </c>
      <c r="AC117" s="12"/>
    </row>
    <row r="118" spans="1:29" ht="14" x14ac:dyDescent="0.2">
      <c r="A118" s="3"/>
      <c r="B118" s="236"/>
      <c r="C118" s="245"/>
      <c r="D118" s="245"/>
      <c r="E118" s="246"/>
      <c r="F118" s="246"/>
      <c r="G118" s="246"/>
      <c r="H118" s="246"/>
      <c r="I118" s="246"/>
      <c r="J118" s="246"/>
      <c r="K118" s="246"/>
      <c r="L118" s="246"/>
      <c r="M118" s="246"/>
      <c r="N118" s="246"/>
      <c r="O118" s="246"/>
      <c r="P118" s="246"/>
      <c r="Q118" s="246"/>
      <c r="R118" s="246"/>
      <c r="S118" s="246"/>
      <c r="T118" s="246"/>
      <c r="U118" s="246"/>
      <c r="V118" s="246"/>
      <c r="W118" s="246"/>
      <c r="X118" s="246"/>
      <c r="Y118" s="246"/>
      <c r="Z118" s="246"/>
      <c r="AA118" s="246"/>
      <c r="AB118" s="246"/>
      <c r="AC118" s="12"/>
    </row>
    <row r="119" spans="1:29" ht="14" x14ac:dyDescent="0.2">
      <c r="A119" s="3"/>
      <c r="B119" s="233" t="s">
        <v>80</v>
      </c>
      <c r="C119" s="245"/>
      <c r="D119" s="245"/>
      <c r="E119" s="246"/>
      <c r="F119" s="246"/>
      <c r="G119" s="246"/>
      <c r="H119" s="246"/>
      <c r="I119" s="246"/>
      <c r="J119" s="246"/>
      <c r="K119" s="246"/>
      <c r="L119" s="246"/>
      <c r="M119" s="246"/>
      <c r="N119" s="246"/>
      <c r="O119" s="246"/>
      <c r="P119" s="246"/>
      <c r="Q119" s="246"/>
      <c r="R119" s="246"/>
      <c r="S119" s="246"/>
      <c r="T119" s="246"/>
      <c r="U119" s="246"/>
      <c r="V119" s="246"/>
      <c r="W119" s="246"/>
      <c r="X119" s="246"/>
      <c r="Y119" s="246"/>
      <c r="Z119" s="246"/>
      <c r="AA119" s="246"/>
      <c r="AB119" s="246"/>
      <c r="AC119" s="12"/>
    </row>
    <row r="120" spans="1:29" ht="14" x14ac:dyDescent="0.2">
      <c r="A120" s="3"/>
      <c r="B120" s="236" t="s">
        <v>176</v>
      </c>
      <c r="C120" s="245"/>
      <c r="D120" s="228">
        <f>Unstructured!D30-(Unstructured!D38+Unstructured!D42+IF(D53&gt;0,Unstructured!D53,0))</f>
        <v>26541.028563749649</v>
      </c>
      <c r="E120" s="228">
        <f>Unstructured!E30-(Unstructured!E38+Unstructured!E42+Unstructured!E53)</f>
        <v>27067.61543520417</v>
      </c>
      <c r="F120" s="228">
        <f>Unstructured!F30-(Unstructured!F38+Unstructured!F42+Unstructured!F53)</f>
        <v>27604.649899303855</v>
      </c>
      <c r="G120" s="228">
        <f>Unstructured!G30-(Unstructured!G38+Unstructured!G42+Unstructured!G53)</f>
        <v>28152.339235524014</v>
      </c>
      <c r="H120" s="228">
        <f>Unstructured!H30-(Unstructured!H38+Unstructured!H42+Unstructured!H53)</f>
        <v>28710.894835690982</v>
      </c>
      <c r="I120" s="228">
        <f>Unstructured!I30-(Unstructured!I38+Unstructured!I42+Unstructured!I53)</f>
        <v>29188.820773477069</v>
      </c>
      <c r="J120" s="228">
        <f>Unstructured!J30-(Unstructured!J38+Unstructured!J42+Unstructured!J53)</f>
        <v>29114.934661861094</v>
      </c>
      <c r="K120" s="228">
        <f>Unstructured!K30-(Unstructured!K38+Unstructured!K42+Unstructured!K53)</f>
        <v>29692.588134375837</v>
      </c>
      <c r="L120" s="228">
        <f>Unstructured!L30-(Unstructured!L38+Unstructured!L42+Unstructured!L53)</f>
        <v>30281.702352579021</v>
      </c>
      <c r="M120" s="228">
        <f>Unstructured!M30-(Unstructured!M38+Unstructured!M42+Unstructured!M53)</f>
        <v>30882.504696449636</v>
      </c>
      <c r="N120" s="228">
        <f>Unstructured!N30-(Unstructured!N38+Unstructured!N42+Unstructured!N53)</f>
        <v>31495.227057096945</v>
      </c>
      <c r="O120" s="228">
        <f>Unstructured!O30-(Unstructured!O38+Unstructured!O42+Unstructured!O53)</f>
        <v>32120.105926258235</v>
      </c>
      <c r="P120" s="228">
        <f>Unstructured!P30-(Unstructured!P38+Unstructured!P42+Unstructured!P53)</f>
        <v>32757.382487572118</v>
      </c>
      <c r="Q120" s="228">
        <f>Unstructured!Q30-(Unstructured!Q38+Unstructured!Q42+Unstructured!Q53)</f>
        <v>33407.302709662719</v>
      </c>
      <c r="R120" s="228">
        <f>Unstructured!R30-(Unstructured!R38+Unstructured!R42+Unstructured!R53)</f>
        <v>34070.117441070361</v>
      </c>
      <c r="S120" s="228">
        <f>Unstructured!S30-(Unstructured!S38+Unstructured!S42+Unstructured!S53)</f>
        <v>34746.082507065796</v>
      </c>
      <c r="T120" s="228">
        <f>Unstructured!T30-(Unstructured!T38+Unstructured!T42+Unstructured!T53)</f>
        <v>35435.458808384967</v>
      </c>
      <c r="U120" s="228">
        <f>Unstructured!U30-(Unstructured!U38+Unstructured!U42+Unstructured!U53)</f>
        <v>36138.5124219227</v>
      </c>
      <c r="V120" s="228">
        <f>Unstructured!V30-(Unstructured!V38+Unstructured!V42+Unstructured!V53)</f>
        <v>36855.514703423913</v>
      </c>
      <c r="W120" s="228">
        <f>Unstructured!W30-(Unstructured!W38+Unstructured!W42+Unstructured!W53)</f>
        <v>37586.742392212254</v>
      </c>
      <c r="X120" s="228">
        <f>Unstructured!X30-(Unstructured!X38+Unstructured!X42+Unstructured!X53)</f>
        <v>38332.477717996429</v>
      </c>
      <c r="Y120" s="228">
        <f>Unstructured!Y30-(Unstructured!Y38+Unstructured!Y42+Unstructured!Y53)</f>
        <v>39093.008509795349</v>
      </c>
      <c r="Z120" s="228">
        <f>Unstructured!Z30-(Unstructured!Z38+Unstructured!Z42+Unstructured!Z53)</f>
        <v>39868.628307024352</v>
      </c>
      <c r="AA120" s="228">
        <f>Unstructured!AA30-(Unstructured!AA38+Unstructured!AA42+Unstructured!AA53)</f>
        <v>40659.636472785205</v>
      </c>
      <c r="AB120" s="228">
        <f>Unstructured!AB30-(Unstructured!AB38+Unstructured!AB42+Unstructured!AB53)</f>
        <v>41466.338309403734</v>
      </c>
      <c r="AC120" s="12"/>
    </row>
    <row r="121" spans="1:29" ht="14" x14ac:dyDescent="0.2">
      <c r="A121" s="3"/>
      <c r="B121" s="236" t="s">
        <v>177</v>
      </c>
      <c r="C121" s="245"/>
      <c r="D121" s="228">
        <f>IF(AND(Owner_is_Taxpayer_Non_Taxpayer?="Taxpayer",Unstructured!D17&lt;7),(VLOOKUP(Unstructured!D17,Depreciation_Table,3)),0)</f>
        <v>88930.80486774999</v>
      </c>
      <c r="E121" s="228">
        <f>IF(AND(Owner_is_Taxpayer_Non_Taxpayer?="Taxpayer",Unstructured!E17&lt;7),(VLOOKUP(Unstructured!E17,Depreciation_Table,3)),0)</f>
        <v>142289.28778839999</v>
      </c>
      <c r="F121" s="228">
        <f>IF(AND(Owner_is_Taxpayer_Non_Taxpayer?="Taxpayer",Unstructured!F17&lt;7),(VLOOKUP(Unstructured!F17,Depreciation_Table,3)),0)</f>
        <v>85373.572673039991</v>
      </c>
      <c r="G121" s="228">
        <f>IF(AND(Owner_is_Taxpayer_Non_Taxpayer?="Taxpayer",Unstructured!G17&lt;7),(VLOOKUP(Unstructured!G17,Depreciation_Table,3)),0)</f>
        <v>51224.143603823992</v>
      </c>
      <c r="H121" s="228">
        <f>IF(AND(Owner_is_Taxpayer_Non_Taxpayer?="Taxpayer",Unstructured!H17&lt;7),(VLOOKUP(Unstructured!H17,Depreciation_Table,3)),0)</f>
        <v>51224.143603823992</v>
      </c>
      <c r="I121" s="228">
        <f>IF(AND(Owner_is_Taxpayer_Non_Taxpayer?="Taxpayer",Unstructured!I17&lt;7),(VLOOKUP(Unstructured!I17,Depreciation_Table,3)),0)</f>
        <v>25612.071801911996</v>
      </c>
      <c r="J121" s="228">
        <f>IF(AND(Owner_is_Taxpayer_Non_Taxpayer?="Taxpayer",Unstructured!J17&lt;7),(VLOOKUP(Unstructured!J17,Depreciation_Table,3)),0)</f>
        <v>0</v>
      </c>
      <c r="K121" s="228">
        <f>IF(AND(Owner_is_Taxpayer_Non_Taxpayer?="Taxpayer",Unstructured!K17&lt;7),(VLOOKUP(Unstructured!K17,Depreciation_Table,3)),0)</f>
        <v>0</v>
      </c>
      <c r="L121" s="228">
        <f>IF(AND(Owner_is_Taxpayer_Non_Taxpayer?="Taxpayer",Unstructured!L17&lt;7),(VLOOKUP(Unstructured!L17,Depreciation_Table,3)),0)</f>
        <v>0</v>
      </c>
      <c r="M121" s="228">
        <f>IF(AND(Owner_is_Taxpayer_Non_Taxpayer?="Taxpayer",Unstructured!M17&lt;7),(VLOOKUP(Unstructured!M17,Depreciation_Table,3)),0)</f>
        <v>0</v>
      </c>
      <c r="N121" s="228">
        <f>IF(AND(Owner_is_Taxpayer_Non_Taxpayer?="Taxpayer",Unstructured!N17&lt;7),(VLOOKUP(Unstructured!N17,Depreciation_Table,3)),0)</f>
        <v>0</v>
      </c>
      <c r="O121" s="228">
        <f>IF(AND(Owner_is_Taxpayer_Non_Taxpayer?="Taxpayer",Unstructured!O17&lt;7),(VLOOKUP(Unstructured!O17,Depreciation_Table,3)),0)</f>
        <v>0</v>
      </c>
      <c r="P121" s="228">
        <f>IF(AND(Owner_is_Taxpayer_Non_Taxpayer?="Taxpayer",Unstructured!P17&lt;7),(VLOOKUP(Unstructured!P17,Depreciation_Table,3)),0)</f>
        <v>0</v>
      </c>
      <c r="Q121" s="228">
        <f>IF(AND(Owner_is_Taxpayer_Non_Taxpayer?="Taxpayer",Unstructured!Q17&lt;7),(VLOOKUP(Unstructured!Q17,Depreciation_Table,3)),0)</f>
        <v>0</v>
      </c>
      <c r="R121" s="228">
        <f>IF(AND(Owner_is_Taxpayer_Non_Taxpayer?="Taxpayer",Unstructured!R17&lt;7),(VLOOKUP(Unstructured!R17,Depreciation_Table,3)),0)</f>
        <v>0</v>
      </c>
      <c r="S121" s="228">
        <f>IF(AND(Owner_is_Taxpayer_Non_Taxpayer?="Taxpayer",Unstructured!S17&lt;7),(VLOOKUP(Unstructured!S17,Depreciation_Table,3)),0)</f>
        <v>0</v>
      </c>
      <c r="T121" s="228">
        <f>IF(AND(Owner_is_Taxpayer_Non_Taxpayer?="Taxpayer",Unstructured!T17&lt;7),(VLOOKUP(Unstructured!T17,Depreciation_Table,3)),0)</f>
        <v>0</v>
      </c>
      <c r="U121" s="228">
        <f>IF(AND(Owner_is_Taxpayer_Non_Taxpayer?="Taxpayer",Unstructured!U17&lt;7),(VLOOKUP(Unstructured!U17,Depreciation_Table,3)),0)</f>
        <v>0</v>
      </c>
      <c r="V121" s="228">
        <f>IF(AND(Owner_is_Taxpayer_Non_Taxpayer?="Taxpayer",Unstructured!V17&lt;7),(VLOOKUP(Unstructured!V17,Depreciation_Table,3)),0)</f>
        <v>0</v>
      </c>
      <c r="W121" s="228">
        <f>IF(AND(Owner_is_Taxpayer_Non_Taxpayer?="Taxpayer",Unstructured!W17&lt;7),(VLOOKUP(Unstructured!W17,Depreciation_Table,3)),0)</f>
        <v>0</v>
      </c>
      <c r="X121" s="228">
        <f>IF(AND(Owner_is_Taxpayer_Non_Taxpayer?="Taxpayer",Unstructured!X17&lt;7),(VLOOKUP(Unstructured!X17,Depreciation_Table,3)),0)</f>
        <v>0</v>
      </c>
      <c r="Y121" s="228">
        <f>IF(AND(Owner_is_Taxpayer_Non_Taxpayer?="Taxpayer",Unstructured!Y17&lt;7),(VLOOKUP(Unstructured!Y17,Depreciation_Table,3)),0)</f>
        <v>0</v>
      </c>
      <c r="Z121" s="228">
        <f>IF(AND(Owner_is_Taxpayer_Non_Taxpayer?="Taxpayer",Unstructured!Z17&lt;7),(VLOOKUP(Unstructured!Z17,Depreciation_Table,3)),0)</f>
        <v>0</v>
      </c>
      <c r="AA121" s="228">
        <f>IF(AND(Owner_is_Taxpayer_Non_Taxpayer?="Taxpayer",Unstructured!AA17&lt;7),(VLOOKUP(Unstructured!AA17,Depreciation_Table,3)),0)</f>
        <v>0</v>
      </c>
      <c r="AB121" s="228">
        <f>IF(AND(Owner_is_Taxpayer_Non_Taxpayer?="Taxpayer",Unstructured!AB17&lt;7),(VLOOKUP(Unstructured!AB17,Depreciation_Table,3)),0)</f>
        <v>0</v>
      </c>
      <c r="AC121" s="12"/>
    </row>
    <row r="122" spans="1:29" ht="14" x14ac:dyDescent="0.2">
      <c r="A122" s="3"/>
      <c r="B122" s="236" t="s">
        <v>178</v>
      </c>
      <c r="C122" s="245"/>
      <c r="D122" s="228">
        <f>IF(Tax_Efficient_Status?="Not Efficient",C124,0)</f>
        <v>0</v>
      </c>
      <c r="E122" s="228">
        <f t="shared" ref="E122:V122" si="78">IF(Tax_Efficient_Status?="Not Efficient",D124,0)</f>
        <v>0</v>
      </c>
      <c r="F122" s="228">
        <f t="shared" si="78"/>
        <v>0</v>
      </c>
      <c r="G122" s="228">
        <f t="shared" si="78"/>
        <v>0</v>
      </c>
      <c r="H122" s="228">
        <f t="shared" si="78"/>
        <v>0</v>
      </c>
      <c r="I122" s="228">
        <f t="shared" si="78"/>
        <v>0</v>
      </c>
      <c r="J122" s="228">
        <f t="shared" si="78"/>
        <v>0</v>
      </c>
      <c r="K122" s="228">
        <f t="shared" si="78"/>
        <v>0</v>
      </c>
      <c r="L122" s="228">
        <f t="shared" si="78"/>
        <v>0</v>
      </c>
      <c r="M122" s="228">
        <f t="shared" si="78"/>
        <v>0</v>
      </c>
      <c r="N122" s="228">
        <f t="shared" si="78"/>
        <v>0</v>
      </c>
      <c r="O122" s="228">
        <f t="shared" si="78"/>
        <v>0</v>
      </c>
      <c r="P122" s="228">
        <f t="shared" si="78"/>
        <v>0</v>
      </c>
      <c r="Q122" s="228">
        <f t="shared" si="78"/>
        <v>0</v>
      </c>
      <c r="R122" s="228">
        <f t="shared" si="78"/>
        <v>0</v>
      </c>
      <c r="S122" s="228">
        <f t="shared" si="78"/>
        <v>0</v>
      </c>
      <c r="T122" s="228">
        <f t="shared" si="78"/>
        <v>0</v>
      </c>
      <c r="U122" s="228">
        <f t="shared" si="78"/>
        <v>0</v>
      </c>
      <c r="V122" s="228">
        <f t="shared" si="78"/>
        <v>0</v>
      </c>
      <c r="W122" s="228">
        <f t="shared" ref="W122:AB122" si="79">IF(Tax_Efficient_Status?="Not Efficient",V124,0)</f>
        <v>0</v>
      </c>
      <c r="X122" s="228">
        <f t="shared" si="79"/>
        <v>0</v>
      </c>
      <c r="Y122" s="228">
        <f t="shared" si="79"/>
        <v>0</v>
      </c>
      <c r="Z122" s="228">
        <f t="shared" si="79"/>
        <v>0</v>
      </c>
      <c r="AA122" s="228">
        <f t="shared" si="79"/>
        <v>0</v>
      </c>
      <c r="AB122" s="228">
        <f t="shared" si="79"/>
        <v>0</v>
      </c>
      <c r="AC122" s="12"/>
    </row>
    <row r="123" spans="1:29" ht="15" thickBot="1" x14ac:dyDescent="0.25">
      <c r="A123" s="3"/>
      <c r="B123" s="236" t="s">
        <v>146</v>
      </c>
      <c r="C123" s="245"/>
      <c r="D123" s="247">
        <f t="shared" ref="D123:V123" si="80">IF(D120&gt;(D121+D122),D120-(D121+D122),0)</f>
        <v>0</v>
      </c>
      <c r="E123" s="247">
        <f t="shared" si="80"/>
        <v>0</v>
      </c>
      <c r="F123" s="247">
        <f t="shared" si="80"/>
        <v>0</v>
      </c>
      <c r="G123" s="247">
        <f t="shared" si="80"/>
        <v>0</v>
      </c>
      <c r="H123" s="247">
        <f t="shared" si="80"/>
        <v>0</v>
      </c>
      <c r="I123" s="247">
        <f t="shared" si="80"/>
        <v>3576.7489715650736</v>
      </c>
      <c r="J123" s="247">
        <f t="shared" si="80"/>
        <v>29114.934661861094</v>
      </c>
      <c r="K123" s="247">
        <f t="shared" si="80"/>
        <v>29692.588134375837</v>
      </c>
      <c r="L123" s="247">
        <f t="shared" si="80"/>
        <v>30281.702352579021</v>
      </c>
      <c r="M123" s="247">
        <f t="shared" si="80"/>
        <v>30882.504696449636</v>
      </c>
      <c r="N123" s="247">
        <f t="shared" si="80"/>
        <v>31495.227057096945</v>
      </c>
      <c r="O123" s="247">
        <f t="shared" si="80"/>
        <v>32120.105926258235</v>
      </c>
      <c r="P123" s="247">
        <f t="shared" si="80"/>
        <v>32757.382487572118</v>
      </c>
      <c r="Q123" s="247">
        <f t="shared" si="80"/>
        <v>33407.302709662719</v>
      </c>
      <c r="R123" s="247">
        <f t="shared" si="80"/>
        <v>34070.117441070361</v>
      </c>
      <c r="S123" s="247">
        <f t="shared" si="80"/>
        <v>34746.082507065796</v>
      </c>
      <c r="T123" s="247">
        <f t="shared" si="80"/>
        <v>35435.458808384967</v>
      </c>
      <c r="U123" s="247">
        <f t="shared" si="80"/>
        <v>36138.5124219227</v>
      </c>
      <c r="V123" s="247">
        <f t="shared" si="80"/>
        <v>36855.514703423913</v>
      </c>
      <c r="W123" s="247">
        <f t="shared" ref="W123:AB123" si="81">IF(W120&gt;(W121+W122),W120-(W121+W122),0)</f>
        <v>37586.742392212254</v>
      </c>
      <c r="X123" s="247">
        <f t="shared" si="81"/>
        <v>38332.477717996429</v>
      </c>
      <c r="Y123" s="247">
        <f t="shared" si="81"/>
        <v>39093.008509795349</v>
      </c>
      <c r="Z123" s="247">
        <f t="shared" si="81"/>
        <v>39868.628307024352</v>
      </c>
      <c r="AA123" s="247">
        <f t="shared" si="81"/>
        <v>40659.636472785205</v>
      </c>
      <c r="AB123" s="247">
        <f t="shared" si="81"/>
        <v>41466.338309403734</v>
      </c>
      <c r="AC123" s="12"/>
    </row>
    <row r="124" spans="1:29" ht="15" thickTop="1" x14ac:dyDescent="0.2">
      <c r="A124" s="3"/>
      <c r="B124" s="237" t="s">
        <v>179</v>
      </c>
      <c r="C124" s="248"/>
      <c r="D124" s="196">
        <f t="shared" ref="D124:V124" si="82">IF(D120&gt;(D121+D122),0,(D121+D122)-D120)</f>
        <v>62389.776304000341</v>
      </c>
      <c r="E124" s="196">
        <f t="shared" si="82"/>
        <v>115221.67235319581</v>
      </c>
      <c r="F124" s="196">
        <f t="shared" si="82"/>
        <v>57768.922773736136</v>
      </c>
      <c r="G124" s="196">
        <f t="shared" si="82"/>
        <v>23071.804368299978</v>
      </c>
      <c r="H124" s="196">
        <f t="shared" si="82"/>
        <v>22513.248768133009</v>
      </c>
      <c r="I124" s="196">
        <f t="shared" si="82"/>
        <v>0</v>
      </c>
      <c r="J124" s="196">
        <f t="shared" si="82"/>
        <v>0</v>
      </c>
      <c r="K124" s="196">
        <f t="shared" si="82"/>
        <v>0</v>
      </c>
      <c r="L124" s="196">
        <f t="shared" si="82"/>
        <v>0</v>
      </c>
      <c r="M124" s="196">
        <f t="shared" si="82"/>
        <v>0</v>
      </c>
      <c r="N124" s="196">
        <f t="shared" si="82"/>
        <v>0</v>
      </c>
      <c r="O124" s="196">
        <f t="shared" si="82"/>
        <v>0</v>
      </c>
      <c r="P124" s="196">
        <f t="shared" si="82"/>
        <v>0</v>
      </c>
      <c r="Q124" s="196">
        <f t="shared" si="82"/>
        <v>0</v>
      </c>
      <c r="R124" s="196">
        <f t="shared" si="82"/>
        <v>0</v>
      </c>
      <c r="S124" s="196">
        <f t="shared" si="82"/>
        <v>0</v>
      </c>
      <c r="T124" s="196">
        <f t="shared" si="82"/>
        <v>0</v>
      </c>
      <c r="U124" s="196">
        <f t="shared" si="82"/>
        <v>0</v>
      </c>
      <c r="V124" s="196">
        <f t="shared" si="82"/>
        <v>0</v>
      </c>
      <c r="W124" s="196">
        <f t="shared" ref="W124:AB124" si="83">IF(W120&gt;(W121+W122),0,(W121+W122)-W120)</f>
        <v>0</v>
      </c>
      <c r="X124" s="196">
        <f t="shared" si="83"/>
        <v>0</v>
      </c>
      <c r="Y124" s="196">
        <f t="shared" si="83"/>
        <v>0</v>
      </c>
      <c r="Z124" s="196">
        <f t="shared" si="83"/>
        <v>0</v>
      </c>
      <c r="AA124" s="196">
        <f t="shared" si="83"/>
        <v>0</v>
      </c>
      <c r="AB124" s="196">
        <f t="shared" si="83"/>
        <v>0</v>
      </c>
      <c r="AC124" s="12"/>
    </row>
    <row r="125" spans="1:29" ht="14" x14ac:dyDescent="0.2">
      <c r="A125" s="3"/>
      <c r="B125" s="2"/>
      <c r="C125" s="17"/>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row>
    <row r="128" spans="1:29" ht="15" thickBot="1" x14ac:dyDescent="0.25">
      <c r="A128" s="8"/>
      <c r="B128" s="8"/>
      <c r="C128" s="8"/>
      <c r="D128" s="8"/>
      <c r="E128" s="8"/>
      <c r="F128" s="8"/>
      <c r="G128" s="8"/>
      <c r="H128" s="8"/>
      <c r="I128" s="9"/>
      <c r="J128" s="9"/>
      <c r="K128" s="9"/>
      <c r="L128" s="9"/>
      <c r="M128" s="9"/>
      <c r="N128" s="9"/>
      <c r="O128" s="9"/>
      <c r="P128" s="9"/>
      <c r="Q128" s="9"/>
      <c r="R128" s="9"/>
      <c r="S128" s="9"/>
      <c r="T128" s="9"/>
      <c r="U128" s="9"/>
      <c r="V128" s="9"/>
      <c r="W128" s="9"/>
      <c r="X128" s="9"/>
      <c r="Y128" s="9"/>
      <c r="Z128" s="9"/>
      <c r="AA128" s="9"/>
      <c r="AB128" s="9"/>
      <c r="AC128" s="9"/>
    </row>
    <row r="129" spans="2:29" ht="15" thickTop="1" x14ac:dyDescent="0.2">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2:29" ht="19" x14ac:dyDescent="0.25">
      <c r="B130" s="11" t="s">
        <v>19</v>
      </c>
      <c r="C130" s="1"/>
      <c r="D130" s="1"/>
      <c r="E130" s="1"/>
      <c r="F130" s="1"/>
      <c r="G130" s="1"/>
      <c r="H130" s="1"/>
      <c r="I130" s="1"/>
      <c r="J130" s="1"/>
      <c r="K130" s="1"/>
      <c r="L130" s="1"/>
      <c r="M130" s="1"/>
      <c r="N130" s="58" t="s">
        <v>349</v>
      </c>
      <c r="O130" s="1"/>
      <c r="P130" s="1"/>
      <c r="Q130" s="1"/>
      <c r="R130" s="1"/>
      <c r="S130" s="1"/>
      <c r="T130" s="1"/>
      <c r="U130" s="1"/>
      <c r="V130" s="1"/>
      <c r="W130" s="1"/>
      <c r="X130" s="1"/>
      <c r="Y130" s="1"/>
      <c r="Z130" s="1"/>
      <c r="AA130" s="1"/>
      <c r="AB130" s="1"/>
      <c r="AC130" s="1"/>
    </row>
    <row r="131" spans="2:29" ht="14" x14ac:dyDescent="0.2">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2:29" ht="14" x14ac:dyDescent="0.2">
      <c r="B132" s="1"/>
      <c r="C132" s="573" t="s">
        <v>61</v>
      </c>
      <c r="D132" s="574"/>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2:29" ht="14" x14ac:dyDescent="0.2">
      <c r="B133" s="1"/>
      <c r="C133" s="42" t="s">
        <v>287</v>
      </c>
      <c r="D133" s="15">
        <f>Dashboard!H24</f>
        <v>574682.63235239836</v>
      </c>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2:29" ht="14" x14ac:dyDescent="0.2">
      <c r="B134" s="1"/>
      <c r="C134" s="43" t="s">
        <v>288</v>
      </c>
      <c r="D134" s="33">
        <f>IF(Dashboard!H27="Yes",Dashboard!H30,0)</f>
        <v>0</v>
      </c>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2:29" ht="14" x14ac:dyDescent="0.2">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2:29" ht="14" x14ac:dyDescent="0.2">
      <c r="B136" s="1"/>
      <c r="C136" s="575" t="s">
        <v>43</v>
      </c>
      <c r="D136" s="576"/>
      <c r="E136" s="576"/>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2:29" ht="14" x14ac:dyDescent="0.2">
      <c r="B137" s="1"/>
      <c r="C137" s="48" t="s">
        <v>16</v>
      </c>
      <c r="D137" s="54">
        <f>E137/$E$141</f>
        <v>0.6312925282223818</v>
      </c>
      <c r="E137" s="45">
        <f>NPV(Dashboard!$H$25,D152:AB152)</f>
        <v>347640.90112546267</v>
      </c>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2:29" ht="14" x14ac:dyDescent="0.2">
      <c r="C138" s="50" t="s">
        <v>17</v>
      </c>
      <c r="D138" s="55">
        <f>E138/$E$141</f>
        <v>0.26759298902819678</v>
      </c>
      <c r="E138" s="46">
        <f>NPV(Dashboard!$H$25,D153:W153)</f>
        <v>147358.4173450704</v>
      </c>
    </row>
    <row r="139" spans="2:29" ht="14" x14ac:dyDescent="0.2">
      <c r="C139" s="50" t="s">
        <v>18</v>
      </c>
      <c r="D139" s="55">
        <f>E139/$E$141</f>
        <v>9.2422378138753161E-2</v>
      </c>
      <c r="E139" s="46">
        <f>NPV(Dashboard!$H$25,D154:AB154)</f>
        <v>50895.262313315754</v>
      </c>
    </row>
    <row r="140" spans="2:29" ht="15" thickBot="1" x14ac:dyDescent="0.25">
      <c r="C140" s="50" t="s">
        <v>47</v>
      </c>
      <c r="D140" s="56">
        <f>E140/$E$141</f>
        <v>8.6921046106684524E-3</v>
      </c>
      <c r="E140" s="47">
        <f>NPV(Dashboard!$H$25,D155:AB155)</f>
        <v>4786.5782413713632</v>
      </c>
      <c r="O140" t="s">
        <v>349</v>
      </c>
    </row>
    <row r="141" spans="2:29" ht="15" thickTop="1" x14ac:dyDescent="0.2">
      <c r="C141" s="43"/>
      <c r="D141" s="57">
        <f>SUM(D137:D140)</f>
        <v>1.0000000000000002</v>
      </c>
      <c r="E141" s="44">
        <f>SUM(E137:E140)</f>
        <v>550681.15902522008</v>
      </c>
    </row>
    <row r="143" spans="2:29" ht="14" x14ac:dyDescent="0.2">
      <c r="B143" s="1"/>
      <c r="C143" s="573" t="s">
        <v>44</v>
      </c>
      <c r="D143" s="574"/>
      <c r="E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2:29" ht="14" x14ac:dyDescent="0.2">
      <c r="B144" s="1"/>
      <c r="C144" s="42" t="s">
        <v>23</v>
      </c>
      <c r="D144" s="15" t="str">
        <f>IF(Project_Debt?="No", "", Dashboard!H19)</f>
        <v/>
      </c>
      <c r="E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2:29" ht="14" x14ac:dyDescent="0.2">
      <c r="B145" s="1"/>
      <c r="C145" s="42" t="s">
        <v>68</v>
      </c>
      <c r="D145" s="15" t="str">
        <f>IF(Project_Debt?="No", "", Dashboard!E37)</f>
        <v/>
      </c>
      <c r="E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2:29" ht="14" x14ac:dyDescent="0.2">
      <c r="B146" s="1"/>
      <c r="C146" s="43" t="s">
        <v>67</v>
      </c>
      <c r="D146" s="33" t="str">
        <f>IF(Project_Debt?="No", "", Dashboard!H21)</f>
        <v/>
      </c>
      <c r="G146" s="1"/>
      <c r="H146" s="1"/>
      <c r="I146" s="1"/>
      <c r="J146" s="1"/>
      <c r="K146" s="1"/>
      <c r="L146" s="1"/>
      <c r="M146" s="1"/>
      <c r="N146" s="1"/>
      <c r="O146" s="1"/>
      <c r="P146" s="1"/>
      <c r="Q146" s="1"/>
      <c r="R146" s="1"/>
      <c r="S146" s="1"/>
      <c r="T146" s="1"/>
      <c r="U146" s="1"/>
      <c r="V146" s="1"/>
      <c r="W146" s="1"/>
      <c r="X146" s="1"/>
      <c r="Y146" s="1"/>
      <c r="Z146" s="1"/>
      <c r="AA146" s="1"/>
      <c r="AB146" s="1"/>
      <c r="AC146" s="1"/>
    </row>
    <row r="147" spans="2:29" ht="14" x14ac:dyDescent="0.2">
      <c r="B147" s="1"/>
      <c r="C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2:29" ht="14" x14ac:dyDescent="0.2">
      <c r="B148" s="1"/>
      <c r="C148" s="573" t="s">
        <v>29</v>
      </c>
      <c r="D148" s="574"/>
      <c r="E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2:29" ht="14" x14ac:dyDescent="0.2">
      <c r="B149" s="1"/>
      <c r="C149" s="43" t="s">
        <v>50</v>
      </c>
      <c r="D149" s="44">
        <f>IF(Dashboard!K33="Lease",NPV(Dashboard!E46,Unstructured!D34:W34),"N/A")</f>
        <v>0</v>
      </c>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2:29" ht="14" x14ac:dyDescent="0.2">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2:29" ht="14" x14ac:dyDescent="0.2">
      <c r="C151" s="61" t="s">
        <v>4</v>
      </c>
      <c r="D151" s="60">
        <v>1</v>
      </c>
      <c r="E151" s="4">
        <v>2</v>
      </c>
      <c r="F151" s="4">
        <v>3</v>
      </c>
      <c r="G151" s="4">
        <v>4</v>
      </c>
      <c r="H151" s="4">
        <v>5</v>
      </c>
      <c r="I151" s="4">
        <v>6</v>
      </c>
      <c r="J151" s="4">
        <v>7</v>
      </c>
      <c r="K151" s="4">
        <v>8</v>
      </c>
      <c r="L151" s="4">
        <v>9</v>
      </c>
      <c r="M151" s="4">
        <v>10</v>
      </c>
      <c r="N151" s="4">
        <v>11</v>
      </c>
      <c r="O151" s="4">
        <v>12</v>
      </c>
      <c r="P151" s="4">
        <v>13</v>
      </c>
      <c r="Q151" s="4">
        <v>14</v>
      </c>
      <c r="R151" s="4">
        <v>15</v>
      </c>
      <c r="S151" s="4">
        <v>16</v>
      </c>
      <c r="T151" s="4">
        <v>17</v>
      </c>
      <c r="U151" s="4">
        <v>18</v>
      </c>
      <c r="V151" s="4">
        <v>19</v>
      </c>
      <c r="W151" s="4">
        <v>20</v>
      </c>
      <c r="X151" s="4">
        <v>21</v>
      </c>
      <c r="Y151" s="4">
        <v>22</v>
      </c>
      <c r="Z151" s="4">
        <v>23</v>
      </c>
      <c r="AA151" s="4">
        <v>24</v>
      </c>
      <c r="AB151" s="4">
        <v>25</v>
      </c>
      <c r="AC151" s="4"/>
    </row>
    <row r="152" spans="2:29" ht="14" x14ac:dyDescent="0.2">
      <c r="C152" s="48" t="s">
        <v>16</v>
      </c>
      <c r="D152" s="49">
        <f>Unstructured!D80</f>
        <v>26541.028563749642</v>
      </c>
      <c r="E152" s="49">
        <f>Unstructured!E80</f>
        <v>27067.615435204178</v>
      </c>
      <c r="F152" s="49">
        <f>Unstructured!F80</f>
        <v>27604.649899303848</v>
      </c>
      <c r="G152" s="49">
        <f>Unstructured!G80</f>
        <v>28152.339235524014</v>
      </c>
      <c r="H152" s="49">
        <f>Unstructured!H80</f>
        <v>28710.894835690982</v>
      </c>
      <c r="I152" s="49">
        <f>Unstructured!I80</f>
        <v>28437.703489448402</v>
      </c>
      <c r="J152" s="49">
        <f>Unstructured!J80</f>
        <v>23000.798382870264</v>
      </c>
      <c r="K152" s="49">
        <f>Unstructured!K80</f>
        <v>23457.144626156911</v>
      </c>
      <c r="L152" s="49">
        <f>Unstructured!L80</f>
        <v>23922.544858537425</v>
      </c>
      <c r="M152" s="49">
        <f>Unstructured!M80</f>
        <v>24397.178710195214</v>
      </c>
      <c r="N152" s="49">
        <f>Unstructured!N80</f>
        <v>24881.229375106588</v>
      </c>
      <c r="O152" s="49">
        <f>Unstructured!O80</f>
        <v>25374.883681744006</v>
      </c>
      <c r="P152" s="49">
        <f>Unstructured!P80</f>
        <v>25878.332165181975</v>
      </c>
      <c r="Q152" s="49">
        <f>Unstructured!Q80</f>
        <v>26391.769140633551</v>
      </c>
      <c r="R152" s="49">
        <f>Unstructured!R80</f>
        <v>26915.392778445585</v>
      </c>
      <c r="S152" s="49">
        <f>Unstructured!S80</f>
        <v>27449.40518058198</v>
      </c>
      <c r="T152" s="49">
        <f>Unstructured!T80</f>
        <v>27994.012458624122</v>
      </c>
      <c r="U152" s="49">
        <f>Unstructured!U80</f>
        <v>28549.424813318932</v>
      </c>
      <c r="V152" s="49">
        <f>Unstructured!V80</f>
        <v>29115.856615704892</v>
      </c>
      <c r="W152" s="49">
        <f>Unstructured!W80</f>
        <v>29693.526489847682</v>
      </c>
      <c r="X152" s="49">
        <f>Unstructured!X80</f>
        <v>30282.657397217179</v>
      </c>
      <c r="Y152" s="49">
        <f>Unstructured!Y80</f>
        <v>30883.476722738327</v>
      </c>
      <c r="Z152" s="49">
        <f>Unstructured!Z80</f>
        <v>31496.216362549239</v>
      </c>
      <c r="AA152" s="49">
        <f>Unstructured!AA80</f>
        <v>32121.112813500313</v>
      </c>
      <c r="AB152" s="49">
        <f>Unstructured!AB80</f>
        <v>118960.80211728869</v>
      </c>
      <c r="AC152" s="49"/>
    </row>
    <row r="153" spans="2:29" ht="14" x14ac:dyDescent="0.2">
      <c r="C153" s="50" t="s">
        <v>17</v>
      </c>
      <c r="D153" s="51">
        <f>Unstructured!D69</f>
        <v>156936.71447249997</v>
      </c>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2:29" ht="14" x14ac:dyDescent="0.2">
      <c r="C154" s="50" t="s">
        <v>48</v>
      </c>
      <c r="D154" s="51">
        <f>Unstructured!D70</f>
        <v>13101.853023840071</v>
      </c>
      <c r="E154" s="51">
        <f>Unstructured!E70</f>
        <v>24196.551194171119</v>
      </c>
      <c r="F154" s="51">
        <f>Unstructured!F70</f>
        <v>12131.473782484589</v>
      </c>
      <c r="G154" s="51">
        <f>Unstructured!G70</f>
        <v>4845.0789173429948</v>
      </c>
      <c r="H154" s="51">
        <f>Unstructured!H70</f>
        <v>4727.7822413079321</v>
      </c>
      <c r="I154" s="51">
        <f>Unstructured!I70</f>
        <v>0</v>
      </c>
      <c r="J154" s="51">
        <f>Unstructured!J70</f>
        <v>0</v>
      </c>
      <c r="K154" s="51">
        <f>Unstructured!K70</f>
        <v>0</v>
      </c>
      <c r="L154" s="51">
        <f>Unstructured!L70</f>
        <v>0</v>
      </c>
      <c r="M154" s="51">
        <f>Unstructured!M70</f>
        <v>0</v>
      </c>
      <c r="N154" s="51">
        <f>Unstructured!N70</f>
        <v>0</v>
      </c>
      <c r="O154" s="51">
        <f>Unstructured!O70</f>
        <v>0</v>
      </c>
      <c r="P154" s="51">
        <f>Unstructured!P70</f>
        <v>0</v>
      </c>
      <c r="Q154" s="51">
        <f>Unstructured!Q70</f>
        <v>0</v>
      </c>
      <c r="R154" s="51">
        <f>Unstructured!R70</f>
        <v>0</v>
      </c>
      <c r="S154" s="51">
        <f>Unstructured!S70</f>
        <v>0</v>
      </c>
      <c r="T154" s="51">
        <f>Unstructured!T70</f>
        <v>0</v>
      </c>
      <c r="U154" s="51">
        <f>Unstructured!U70</f>
        <v>0</v>
      </c>
      <c r="V154" s="51">
        <f>Unstructured!V70</f>
        <v>0</v>
      </c>
      <c r="W154" s="51">
        <f>Unstructured!W70</f>
        <v>0</v>
      </c>
      <c r="X154" s="51">
        <f>Unstructured!X70</f>
        <v>0</v>
      </c>
      <c r="Y154" s="51">
        <f>Unstructured!Y70</f>
        <v>0</v>
      </c>
      <c r="Z154" s="51">
        <f>Unstructured!Z70</f>
        <v>0</v>
      </c>
      <c r="AA154" s="51">
        <f>Unstructured!AA70</f>
        <v>0</v>
      </c>
      <c r="AB154" s="51">
        <f>Unstructured!AB70</f>
        <v>0</v>
      </c>
      <c r="AC154" s="51"/>
    </row>
    <row r="155" spans="2:29" ht="14" x14ac:dyDescent="0.2">
      <c r="C155" s="52" t="s">
        <v>49</v>
      </c>
      <c r="D155" s="53">
        <f>Unstructured!D72</f>
        <v>1232.1980820040069</v>
      </c>
      <c r="E155" s="53">
        <f>Unstructured!E72</f>
        <v>2275.6280289756178</v>
      </c>
      <c r="F155" s="53">
        <f>Unstructured!F72</f>
        <v>1140.9362247812887</v>
      </c>
      <c r="G155" s="53">
        <f>Unstructured!G72</f>
        <v>455.66813627392457</v>
      </c>
      <c r="H155" s="53">
        <f>Unstructured!H72</f>
        <v>444.636663170627</v>
      </c>
      <c r="I155" s="53">
        <f>Unstructured!I72</f>
        <v>0</v>
      </c>
      <c r="J155" s="53">
        <f>Unstructured!J72</f>
        <v>0</v>
      </c>
      <c r="K155" s="53">
        <f>Unstructured!K72</f>
        <v>0</v>
      </c>
      <c r="L155" s="53">
        <f>Unstructured!L72</f>
        <v>0</v>
      </c>
      <c r="M155" s="53">
        <f>Unstructured!M72</f>
        <v>0</v>
      </c>
      <c r="N155" s="53">
        <f>Unstructured!N72</f>
        <v>0</v>
      </c>
      <c r="O155" s="53">
        <f>Unstructured!O72</f>
        <v>0</v>
      </c>
      <c r="P155" s="53">
        <f>Unstructured!P72</f>
        <v>0</v>
      </c>
      <c r="Q155" s="53">
        <f>Unstructured!Q72</f>
        <v>0</v>
      </c>
      <c r="R155" s="53">
        <f>Unstructured!R72</f>
        <v>0</v>
      </c>
      <c r="S155" s="53">
        <f>Unstructured!S72</f>
        <v>0</v>
      </c>
      <c r="T155" s="53">
        <f>Unstructured!T72</f>
        <v>0</v>
      </c>
      <c r="U155" s="53">
        <f>Unstructured!U72</f>
        <v>0</v>
      </c>
      <c r="V155" s="53">
        <f>Unstructured!V72</f>
        <v>0</v>
      </c>
      <c r="W155" s="53">
        <f>Unstructured!W72</f>
        <v>0</v>
      </c>
      <c r="X155" s="53">
        <f>Unstructured!X72</f>
        <v>0</v>
      </c>
      <c r="Y155" s="53">
        <f>Unstructured!Y72</f>
        <v>0</v>
      </c>
      <c r="Z155" s="53">
        <f>Unstructured!Z72</f>
        <v>0</v>
      </c>
      <c r="AA155" s="53">
        <f>Unstructured!AA72</f>
        <v>0</v>
      </c>
      <c r="AB155" s="53">
        <f>Unstructured!AB72</f>
        <v>0</v>
      </c>
      <c r="AC155" s="53"/>
    </row>
    <row r="156" spans="2:29" ht="14" x14ac:dyDescent="0.2">
      <c r="C156" s="400"/>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row>
    <row r="157" spans="2:29" x14ac:dyDescent="0.15">
      <c r="C157" s="559" t="s">
        <v>409</v>
      </c>
    </row>
    <row r="158" spans="2:29" ht="14" x14ac:dyDescent="0.2">
      <c r="C158" s="559"/>
      <c r="D158" s="60">
        <v>1</v>
      </c>
      <c r="E158" s="177">
        <v>2</v>
      </c>
      <c r="F158" s="177">
        <v>3</v>
      </c>
      <c r="G158" s="177">
        <v>4</v>
      </c>
      <c r="H158" s="177">
        <v>5</v>
      </c>
      <c r="I158" s="177">
        <v>6</v>
      </c>
      <c r="J158" s="177">
        <v>7</v>
      </c>
      <c r="K158" s="177">
        <v>8</v>
      </c>
      <c r="L158" s="177">
        <v>9</v>
      </c>
      <c r="M158" s="177">
        <v>10</v>
      </c>
      <c r="N158" s="177">
        <v>11</v>
      </c>
      <c r="O158" s="177">
        <v>12</v>
      </c>
      <c r="P158" s="177">
        <v>13</v>
      </c>
      <c r="Q158" s="177">
        <v>14</v>
      </c>
      <c r="R158" s="177">
        <v>15</v>
      </c>
      <c r="S158" s="177">
        <v>16</v>
      </c>
      <c r="T158" s="177">
        <v>17</v>
      </c>
      <c r="U158" s="177">
        <v>18</v>
      </c>
      <c r="V158" s="177">
        <v>19</v>
      </c>
      <c r="W158" s="177">
        <v>20</v>
      </c>
      <c r="X158" s="177">
        <v>21</v>
      </c>
      <c r="Y158" s="177">
        <v>22</v>
      </c>
      <c r="Z158" s="177">
        <v>23</v>
      </c>
      <c r="AA158" s="177">
        <v>24</v>
      </c>
      <c r="AB158" s="177">
        <v>25</v>
      </c>
      <c r="AC158" s="177"/>
    </row>
    <row r="159" spans="2:29" ht="14" x14ac:dyDescent="0.2">
      <c r="C159" s="50" t="s">
        <v>5</v>
      </c>
      <c r="D159" s="51">
        <f>D152</f>
        <v>26541.028563749642</v>
      </c>
      <c r="E159" s="51">
        <f t="shared" ref="E159:V159" si="84">E152</f>
        <v>27067.615435204178</v>
      </c>
      <c r="F159" s="51">
        <f t="shared" si="84"/>
        <v>27604.649899303848</v>
      </c>
      <c r="G159" s="51">
        <f t="shared" si="84"/>
        <v>28152.339235524014</v>
      </c>
      <c r="H159" s="51">
        <f t="shared" si="84"/>
        <v>28710.894835690982</v>
      </c>
      <c r="I159" s="51">
        <f t="shared" si="84"/>
        <v>28437.703489448402</v>
      </c>
      <c r="J159" s="51">
        <f t="shared" si="84"/>
        <v>23000.798382870264</v>
      </c>
      <c r="K159" s="51">
        <f t="shared" si="84"/>
        <v>23457.144626156911</v>
      </c>
      <c r="L159" s="51">
        <f t="shared" si="84"/>
        <v>23922.544858537425</v>
      </c>
      <c r="M159" s="51">
        <f t="shared" si="84"/>
        <v>24397.178710195214</v>
      </c>
      <c r="N159" s="51">
        <f t="shared" si="84"/>
        <v>24881.229375106588</v>
      </c>
      <c r="O159" s="51">
        <f t="shared" si="84"/>
        <v>25374.883681744006</v>
      </c>
      <c r="P159" s="51">
        <f t="shared" si="84"/>
        <v>25878.332165181975</v>
      </c>
      <c r="Q159" s="51">
        <f t="shared" si="84"/>
        <v>26391.769140633551</v>
      </c>
      <c r="R159" s="51">
        <f t="shared" si="84"/>
        <v>26915.392778445585</v>
      </c>
      <c r="S159" s="51">
        <f t="shared" si="84"/>
        <v>27449.40518058198</v>
      </c>
      <c r="T159" s="51">
        <f t="shared" si="84"/>
        <v>27994.012458624122</v>
      </c>
      <c r="U159" s="51">
        <f t="shared" si="84"/>
        <v>28549.424813318932</v>
      </c>
      <c r="V159" s="51">
        <f t="shared" si="84"/>
        <v>29115.856615704892</v>
      </c>
      <c r="W159" s="51">
        <f t="shared" ref="W159:AB159" si="85">W152</f>
        <v>29693.526489847682</v>
      </c>
      <c r="X159" s="51">
        <f t="shared" si="85"/>
        <v>30282.657397217179</v>
      </c>
      <c r="Y159" s="51">
        <f t="shared" si="85"/>
        <v>30883.476722738327</v>
      </c>
      <c r="Z159" s="51">
        <f t="shared" si="85"/>
        <v>31496.216362549239</v>
      </c>
      <c r="AA159" s="51">
        <f t="shared" si="85"/>
        <v>32121.112813500313</v>
      </c>
      <c r="AB159" s="51">
        <f t="shared" si="85"/>
        <v>118960.80211728869</v>
      </c>
      <c r="AC159" s="51"/>
    </row>
    <row r="160" spans="2:29" ht="14" x14ac:dyDescent="0.2">
      <c r="C160" s="50" t="s">
        <v>6</v>
      </c>
      <c r="D160" s="51">
        <f>D99</f>
        <v>0</v>
      </c>
      <c r="E160" s="51">
        <f t="shared" ref="E160:V160" si="86">E99</f>
        <v>0</v>
      </c>
      <c r="F160" s="51">
        <f t="shared" si="86"/>
        <v>0</v>
      </c>
      <c r="G160" s="51">
        <f t="shared" si="86"/>
        <v>0</v>
      </c>
      <c r="H160" s="51">
        <f t="shared" si="86"/>
        <v>0</v>
      </c>
      <c r="I160" s="51">
        <f t="shared" si="86"/>
        <v>0</v>
      </c>
      <c r="J160" s="51">
        <f t="shared" si="86"/>
        <v>0</v>
      </c>
      <c r="K160" s="51">
        <f t="shared" si="86"/>
        <v>0</v>
      </c>
      <c r="L160" s="51">
        <f t="shared" si="86"/>
        <v>0</v>
      </c>
      <c r="M160" s="51">
        <f t="shared" si="86"/>
        <v>0</v>
      </c>
      <c r="N160" s="51">
        <f t="shared" si="86"/>
        <v>0</v>
      </c>
      <c r="O160" s="51">
        <f t="shared" si="86"/>
        <v>0</v>
      </c>
      <c r="P160" s="51">
        <f t="shared" si="86"/>
        <v>0</v>
      </c>
      <c r="Q160" s="51">
        <f t="shared" si="86"/>
        <v>0</v>
      </c>
      <c r="R160" s="51">
        <f t="shared" si="86"/>
        <v>0</v>
      </c>
      <c r="S160" s="51">
        <f t="shared" si="86"/>
        <v>0</v>
      </c>
      <c r="T160" s="51">
        <f t="shared" si="86"/>
        <v>0</v>
      </c>
      <c r="U160" s="51">
        <f t="shared" si="86"/>
        <v>0</v>
      </c>
      <c r="V160" s="51">
        <f t="shared" si="86"/>
        <v>0</v>
      </c>
      <c r="W160" s="51">
        <f t="shared" ref="W160:AB160" si="87">W99</f>
        <v>0</v>
      </c>
      <c r="X160" s="51">
        <f t="shared" si="87"/>
        <v>0</v>
      </c>
      <c r="Y160" s="51">
        <f t="shared" si="87"/>
        <v>0</v>
      </c>
      <c r="Z160" s="51">
        <f t="shared" si="87"/>
        <v>0</v>
      </c>
      <c r="AA160" s="51">
        <f t="shared" si="87"/>
        <v>0</v>
      </c>
      <c r="AB160" s="51">
        <f t="shared" si="87"/>
        <v>0</v>
      </c>
      <c r="AC160" s="51"/>
    </row>
    <row r="161" spans="3:29" ht="14" x14ac:dyDescent="0.2">
      <c r="C161" s="52" t="s">
        <v>7</v>
      </c>
      <c r="D161" s="53">
        <f>D100</f>
        <v>0</v>
      </c>
      <c r="E161" s="53">
        <f t="shared" ref="E161:V161" si="88">E100</f>
        <v>0</v>
      </c>
      <c r="F161" s="53">
        <f t="shared" si="88"/>
        <v>0</v>
      </c>
      <c r="G161" s="53">
        <f t="shared" si="88"/>
        <v>0</v>
      </c>
      <c r="H161" s="53">
        <f t="shared" si="88"/>
        <v>0</v>
      </c>
      <c r="I161" s="53">
        <f t="shared" si="88"/>
        <v>0</v>
      </c>
      <c r="J161" s="53">
        <f t="shared" si="88"/>
        <v>0</v>
      </c>
      <c r="K161" s="53">
        <f t="shared" si="88"/>
        <v>0</v>
      </c>
      <c r="L161" s="53">
        <f t="shared" si="88"/>
        <v>0</v>
      </c>
      <c r="M161" s="53">
        <f t="shared" si="88"/>
        <v>0</v>
      </c>
      <c r="N161" s="53">
        <f t="shared" si="88"/>
        <v>0</v>
      </c>
      <c r="O161" s="53">
        <f t="shared" si="88"/>
        <v>0</v>
      </c>
      <c r="P161" s="53">
        <f t="shared" si="88"/>
        <v>0</v>
      </c>
      <c r="Q161" s="53">
        <f t="shared" si="88"/>
        <v>0</v>
      </c>
      <c r="R161" s="53">
        <f t="shared" si="88"/>
        <v>0</v>
      </c>
      <c r="S161" s="53">
        <f t="shared" si="88"/>
        <v>0</v>
      </c>
      <c r="T161" s="53">
        <f t="shared" si="88"/>
        <v>0</v>
      </c>
      <c r="U161" s="53">
        <f t="shared" si="88"/>
        <v>0</v>
      </c>
      <c r="V161" s="53">
        <f t="shared" si="88"/>
        <v>0</v>
      </c>
      <c r="W161" s="53">
        <f t="shared" ref="W161:AB161" si="89">W100</f>
        <v>0</v>
      </c>
      <c r="X161" s="53">
        <f t="shared" si="89"/>
        <v>0</v>
      </c>
      <c r="Y161" s="53">
        <f t="shared" si="89"/>
        <v>0</v>
      </c>
      <c r="Z161" s="53">
        <f t="shared" si="89"/>
        <v>0</v>
      </c>
      <c r="AA161" s="53">
        <f t="shared" si="89"/>
        <v>0</v>
      </c>
      <c r="AB161" s="53">
        <f t="shared" si="89"/>
        <v>0</v>
      </c>
      <c r="AC161" s="53"/>
    </row>
    <row r="163" spans="3:29" ht="13" customHeight="1" x14ac:dyDescent="0.15">
      <c r="C163" s="560" t="s">
        <v>411</v>
      </c>
    </row>
    <row r="164" spans="3:29" ht="14" x14ac:dyDescent="0.2">
      <c r="C164" s="561"/>
      <c r="D164" s="407">
        <v>1</v>
      </c>
      <c r="E164" s="408">
        <v>2</v>
      </c>
      <c r="F164" s="408">
        <v>3</v>
      </c>
      <c r="G164" s="408">
        <v>4</v>
      </c>
      <c r="H164" s="408">
        <v>5</v>
      </c>
      <c r="I164" s="408">
        <v>6</v>
      </c>
      <c r="J164" s="408">
        <v>7</v>
      </c>
      <c r="K164" s="408">
        <v>8</v>
      </c>
      <c r="L164" s="408">
        <v>9</v>
      </c>
      <c r="M164" s="408">
        <v>10</v>
      </c>
    </row>
    <row r="165" spans="3:29" ht="14" x14ac:dyDescent="0.2">
      <c r="C165" s="401" t="s">
        <v>412</v>
      </c>
      <c r="D165" s="402"/>
      <c r="E165" s="402"/>
      <c r="F165" s="402"/>
      <c r="G165" s="402"/>
      <c r="H165" s="402"/>
      <c r="I165" s="402"/>
      <c r="J165" s="402"/>
      <c r="K165" s="402"/>
      <c r="L165" s="402"/>
      <c r="M165" s="403"/>
      <c r="N165" s="51"/>
      <c r="O165" s="51"/>
      <c r="P165" s="51"/>
      <c r="Q165" s="51"/>
      <c r="R165" s="51"/>
      <c r="S165" s="51"/>
      <c r="T165" s="51"/>
    </row>
    <row r="166" spans="3:29" ht="14" x14ac:dyDescent="0.2">
      <c r="C166" s="50" t="s">
        <v>413</v>
      </c>
      <c r="D166" s="51">
        <f t="shared" ref="D166:M166" si="90">(D121*Taxpayer_Marginal_Rate) + IF(D164=1,(Federal_ITC_Rate*(Project_Sale_Price-(Roof_Upgrade_Cost+Site_Purchase_Price))),0)</f>
        <v>191080.25872794702</v>
      </c>
      <c r="E166" s="51">
        <f t="shared" si="90"/>
        <v>29880.750435563998</v>
      </c>
      <c r="F166" s="51">
        <f t="shared" si="90"/>
        <v>17928.450261338396</v>
      </c>
      <c r="G166" s="51">
        <f t="shared" si="90"/>
        <v>10757.070156803038</v>
      </c>
      <c r="H166" s="51">
        <f t="shared" si="90"/>
        <v>10757.070156803038</v>
      </c>
      <c r="I166" s="51">
        <f t="shared" si="90"/>
        <v>5378.5350784015191</v>
      </c>
      <c r="J166" s="51">
        <f t="shared" si="90"/>
        <v>0</v>
      </c>
      <c r="K166" s="51">
        <f t="shared" si="90"/>
        <v>0</v>
      </c>
      <c r="L166" s="51">
        <f t="shared" si="90"/>
        <v>0</v>
      </c>
      <c r="M166" s="46">
        <f t="shared" si="90"/>
        <v>0</v>
      </c>
      <c r="N166" s="51"/>
      <c r="O166" s="51"/>
      <c r="P166" s="51"/>
      <c r="Q166" s="51"/>
      <c r="R166" s="51"/>
      <c r="S166" s="51"/>
      <c r="T166" s="51"/>
    </row>
    <row r="167" spans="3:29" ht="14" x14ac:dyDescent="0.2">
      <c r="C167" s="50" t="s">
        <v>410</v>
      </c>
      <c r="D167" s="51">
        <f t="shared" ref="D167:M167" si="91">D40</f>
        <v>26541.028563749649</v>
      </c>
      <c r="E167" s="51">
        <f t="shared" si="91"/>
        <v>27067.61543520417</v>
      </c>
      <c r="F167" s="51">
        <f t="shared" si="91"/>
        <v>27604.649899303855</v>
      </c>
      <c r="G167" s="51">
        <f t="shared" si="91"/>
        <v>28152.339235524014</v>
      </c>
      <c r="H167" s="51">
        <f t="shared" si="91"/>
        <v>28710.894835690982</v>
      </c>
      <c r="I167" s="51">
        <f t="shared" si="91"/>
        <v>29280.532285568479</v>
      </c>
      <c r="J167" s="51">
        <f t="shared" si="91"/>
        <v>29861.471448062657</v>
      </c>
      <c r="K167" s="51">
        <f t="shared" si="91"/>
        <v>30453.936548077781</v>
      </c>
      <c r="L167" s="51">
        <f t="shared" si="91"/>
        <v>31058.156259055406</v>
      </c>
      <c r="M167" s="46">
        <f t="shared" si="91"/>
        <v>31674.363791230397</v>
      </c>
      <c r="N167" s="51"/>
      <c r="O167" s="51"/>
      <c r="P167" s="51"/>
      <c r="Q167" s="51"/>
      <c r="R167" s="51"/>
      <c r="S167" s="51"/>
      <c r="T167" s="51"/>
    </row>
    <row r="168" spans="3:29" ht="14" x14ac:dyDescent="0.2">
      <c r="C168" s="50" t="s">
        <v>417</v>
      </c>
      <c r="D168" s="51">
        <f>IF(D166&gt;=D167,-(D167-D166),0)</f>
        <v>164539.23016419736</v>
      </c>
      <c r="E168" s="51">
        <f t="shared" ref="E168:M168" si="92">IF(E166&gt;=E167,-(E167-E166),0)</f>
        <v>2813.1350003598272</v>
      </c>
      <c r="F168" s="51">
        <f t="shared" si="92"/>
        <v>0</v>
      </c>
      <c r="G168" s="51">
        <f t="shared" si="92"/>
        <v>0</v>
      </c>
      <c r="H168" s="51">
        <f t="shared" si="92"/>
        <v>0</v>
      </c>
      <c r="I168" s="51">
        <f t="shared" si="92"/>
        <v>0</v>
      </c>
      <c r="J168" s="51">
        <f t="shared" si="92"/>
        <v>0</v>
      </c>
      <c r="K168" s="51">
        <f t="shared" si="92"/>
        <v>0</v>
      </c>
      <c r="L168" s="51">
        <f t="shared" si="92"/>
        <v>0</v>
      </c>
      <c r="M168" s="46">
        <f t="shared" si="92"/>
        <v>0</v>
      </c>
      <c r="N168" s="51"/>
      <c r="O168" s="51"/>
      <c r="P168" s="51"/>
      <c r="Q168" s="51"/>
      <c r="R168" s="51"/>
      <c r="S168" s="51"/>
      <c r="T168" s="51"/>
    </row>
    <row r="169" spans="3:29" ht="14" x14ac:dyDescent="0.2">
      <c r="C169" s="404"/>
      <c r="M169" s="405"/>
    </row>
    <row r="170" spans="3:29" ht="14" x14ac:dyDescent="0.2">
      <c r="C170" s="406" t="s">
        <v>414</v>
      </c>
      <c r="M170" s="405"/>
    </row>
    <row r="171" spans="3:29" ht="14" x14ac:dyDescent="0.2">
      <c r="C171" s="50" t="s">
        <v>413</v>
      </c>
      <c r="D171" s="51">
        <f>D166</f>
        <v>191080.25872794702</v>
      </c>
      <c r="E171" s="51">
        <f t="shared" ref="E171:M171" si="93">E166</f>
        <v>29880.750435563998</v>
      </c>
      <c r="F171" s="51">
        <f t="shared" si="93"/>
        <v>17928.450261338396</v>
      </c>
      <c r="G171" s="51">
        <f t="shared" si="93"/>
        <v>10757.070156803038</v>
      </c>
      <c r="H171" s="51">
        <f t="shared" si="93"/>
        <v>10757.070156803038</v>
      </c>
      <c r="I171" s="51">
        <f t="shared" si="93"/>
        <v>5378.5350784015191</v>
      </c>
      <c r="J171" s="51">
        <f t="shared" si="93"/>
        <v>0</v>
      </c>
      <c r="K171" s="51">
        <f t="shared" si="93"/>
        <v>0</v>
      </c>
      <c r="L171" s="51">
        <f t="shared" si="93"/>
        <v>0</v>
      </c>
      <c r="M171" s="46">
        <f t="shared" si="93"/>
        <v>0</v>
      </c>
    </row>
    <row r="172" spans="3:29" ht="14" x14ac:dyDescent="0.2">
      <c r="C172" s="50" t="s">
        <v>410</v>
      </c>
      <c r="D172" s="51">
        <f>D167</f>
        <v>26541.028563749649</v>
      </c>
      <c r="E172" s="51">
        <f t="shared" ref="E172:M172" si="94">E167</f>
        <v>27067.61543520417</v>
      </c>
      <c r="F172" s="51">
        <f t="shared" si="94"/>
        <v>27604.649899303855</v>
      </c>
      <c r="G172" s="51">
        <f t="shared" si="94"/>
        <v>28152.339235524014</v>
      </c>
      <c r="H172" s="51">
        <f t="shared" si="94"/>
        <v>28710.894835690982</v>
      </c>
      <c r="I172" s="51">
        <f t="shared" si="94"/>
        <v>29280.532285568479</v>
      </c>
      <c r="J172" s="51">
        <f t="shared" si="94"/>
        <v>29861.471448062657</v>
      </c>
      <c r="K172" s="51">
        <f t="shared" si="94"/>
        <v>30453.936548077781</v>
      </c>
      <c r="L172" s="51">
        <f t="shared" si="94"/>
        <v>31058.156259055406</v>
      </c>
      <c r="M172" s="46">
        <f t="shared" si="94"/>
        <v>31674.363791230397</v>
      </c>
    </row>
    <row r="173" spans="3:29" ht="14" x14ac:dyDescent="0.2">
      <c r="C173" s="50" t="s">
        <v>416</v>
      </c>
      <c r="D173" s="51">
        <f>IF(D166&gt;=D167,-(D167-D166),0)</f>
        <v>164539.23016419736</v>
      </c>
      <c r="E173" s="51">
        <f t="shared" ref="E173:M173" si="95">IF(E166&gt;=E167,-(E167-E166),0)</f>
        <v>2813.1350003598272</v>
      </c>
      <c r="F173" s="51">
        <f t="shared" si="95"/>
        <v>0</v>
      </c>
      <c r="G173" s="51">
        <f t="shared" si="95"/>
        <v>0</v>
      </c>
      <c r="H173" s="51">
        <f t="shared" si="95"/>
        <v>0</v>
      </c>
      <c r="I173" s="51">
        <f t="shared" si="95"/>
        <v>0</v>
      </c>
      <c r="J173" s="51">
        <f t="shared" si="95"/>
        <v>0</v>
      </c>
      <c r="K173" s="51">
        <f t="shared" si="95"/>
        <v>0</v>
      </c>
      <c r="L173" s="51">
        <f t="shared" si="95"/>
        <v>0</v>
      </c>
      <c r="M173" s="46">
        <f t="shared" si="95"/>
        <v>0</v>
      </c>
    </row>
    <row r="174" spans="3:29" ht="14" x14ac:dyDescent="0.2">
      <c r="C174" s="52" t="s">
        <v>415</v>
      </c>
      <c r="D174" s="53">
        <f>D173</f>
        <v>164539.23016419736</v>
      </c>
      <c r="E174" s="53">
        <f>MAX((D174 +E171)-E172,0)</f>
        <v>167352.36516455718</v>
      </c>
      <c r="F174" s="53">
        <f t="shared" ref="F174:M174" si="96">MAX((E174 +F171)-F172,0)</f>
        <v>157676.16552659171</v>
      </c>
      <c r="G174" s="53">
        <f t="shared" si="96"/>
        <v>140280.89644787073</v>
      </c>
      <c r="H174" s="53">
        <f t="shared" si="96"/>
        <v>122327.07176898279</v>
      </c>
      <c r="I174" s="53">
        <f t="shared" si="96"/>
        <v>98425.074561815825</v>
      </c>
      <c r="J174" s="53">
        <f t="shared" si="96"/>
        <v>68563.603113753168</v>
      </c>
      <c r="K174" s="53">
        <f t="shared" si="96"/>
        <v>38109.66656567539</v>
      </c>
      <c r="L174" s="53">
        <f t="shared" si="96"/>
        <v>7051.5103066199845</v>
      </c>
      <c r="M174" s="44">
        <f t="shared" si="96"/>
        <v>0</v>
      </c>
    </row>
    <row r="202" spans="15:15" x14ac:dyDescent="0.15">
      <c r="O202" s="34" t="s">
        <v>418</v>
      </c>
    </row>
  </sheetData>
  <mergeCells count="19">
    <mergeCell ref="C157:C158"/>
    <mergeCell ref="C163:C164"/>
    <mergeCell ref="O4:Z4"/>
    <mergeCell ref="O5:Z11"/>
    <mergeCell ref="C132:D132"/>
    <mergeCell ref="C148:D148"/>
    <mergeCell ref="C143:D143"/>
    <mergeCell ref="C136:E136"/>
    <mergeCell ref="B16:D16"/>
    <mergeCell ref="B94:D94"/>
    <mergeCell ref="B109:D109"/>
    <mergeCell ref="J10:K10"/>
    <mergeCell ref="J11:K11"/>
    <mergeCell ref="B66:D66"/>
    <mergeCell ref="AD79:AF81"/>
    <mergeCell ref="AD86:AF88"/>
    <mergeCell ref="H10:I10"/>
    <mergeCell ref="H11:I11"/>
    <mergeCell ref="H7:L8"/>
  </mergeCells>
  <phoneticPr fontId="8" type="noConversion"/>
  <pageMargins left="0.75" right="0.75" top="1" bottom="1" header="0.5" footer="0.5"/>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BY113"/>
  <sheetViews>
    <sheetView showGridLines="0" zoomScaleNormal="100" workbookViewId="0">
      <selection activeCell="B13" sqref="B13"/>
    </sheetView>
  </sheetViews>
  <sheetFormatPr baseColWidth="10" defaultColWidth="11" defaultRowHeight="13" x14ac:dyDescent="0.15"/>
  <cols>
    <col min="2" max="2" width="29.33203125" customWidth="1"/>
    <col min="3" max="4" width="10.83203125" customWidth="1"/>
    <col min="5" max="5" width="12.33203125" customWidth="1"/>
    <col min="6" max="23" width="10.83203125" customWidth="1"/>
  </cols>
  <sheetData>
    <row r="1" spans="1:77" x14ac:dyDescent="0.1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row>
    <row r="2" spans="1:77" ht="19" x14ac:dyDescent="0.25">
      <c r="A2" s="3"/>
      <c r="B2" s="3"/>
      <c r="C2" s="3"/>
      <c r="D2" s="3"/>
      <c r="E2" s="3"/>
      <c r="F2" s="3"/>
      <c r="G2" s="3"/>
      <c r="H2" s="31" t="s">
        <v>407</v>
      </c>
      <c r="I2" s="3"/>
      <c r="J2" s="26" t="s">
        <v>149</v>
      </c>
      <c r="K2" s="3"/>
      <c r="L2" s="3"/>
      <c r="M2" s="3"/>
      <c r="N2" s="3"/>
      <c r="O2" s="3"/>
      <c r="P2" s="3"/>
      <c r="Q2" s="3"/>
      <c r="U2" s="27"/>
      <c r="V2" s="27"/>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row>
    <row r="3" spans="1:77" ht="16" x14ac:dyDescent="0.2">
      <c r="A3" s="3"/>
      <c r="B3" s="3"/>
      <c r="C3" s="3"/>
      <c r="D3" s="3"/>
      <c r="E3" s="3"/>
      <c r="F3" s="3"/>
      <c r="G3" s="3"/>
      <c r="H3" s="32" t="s">
        <v>130</v>
      </c>
      <c r="I3" s="3"/>
      <c r="J3" s="3"/>
      <c r="K3" s="3"/>
      <c r="L3" s="3"/>
      <c r="M3" s="3"/>
      <c r="N3" s="3"/>
      <c r="O3" s="3"/>
      <c r="P3" s="3"/>
      <c r="Q3" s="3"/>
      <c r="U3" s="3"/>
      <c r="V3" s="3"/>
      <c r="W3" s="3"/>
      <c r="X3" s="3"/>
      <c r="Y3" s="3"/>
      <c r="Z3" s="3"/>
      <c r="AA3" s="3"/>
      <c r="AB3" s="3"/>
      <c r="AC3" s="3"/>
      <c r="AD3" s="3"/>
      <c r="AE3" s="3"/>
      <c r="AF3" s="3"/>
      <c r="AG3" s="3"/>
      <c r="AH3" s="3"/>
      <c r="AI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row>
    <row r="4" spans="1:77" ht="19" x14ac:dyDescent="0.25">
      <c r="A4" s="13"/>
      <c r="B4" s="13"/>
      <c r="C4" s="13"/>
      <c r="D4" s="13"/>
      <c r="E4" s="13"/>
      <c r="F4" s="13"/>
      <c r="G4" s="13"/>
      <c r="K4" s="13"/>
      <c r="L4" s="13"/>
      <c r="M4" s="13"/>
      <c r="N4" s="562" t="s">
        <v>0</v>
      </c>
      <c r="O4" s="563"/>
      <c r="P4" s="563"/>
      <c r="Q4" s="563"/>
      <c r="R4" s="563"/>
      <c r="S4" s="563"/>
      <c r="T4" s="563"/>
      <c r="U4" s="563"/>
      <c r="V4" s="563"/>
      <c r="W4" s="563"/>
      <c r="X4" s="563"/>
      <c r="Y4" s="563"/>
      <c r="Z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row>
    <row r="5" spans="1:77" ht="31" customHeight="1" x14ac:dyDescent="0.15">
      <c r="H5" s="473" t="s">
        <v>464</v>
      </c>
      <c r="I5" s="473"/>
      <c r="J5" s="473"/>
      <c r="K5" s="473"/>
      <c r="L5" s="473"/>
      <c r="N5" s="564" t="s">
        <v>134</v>
      </c>
      <c r="O5" s="565"/>
      <c r="P5" s="565"/>
      <c r="Q5" s="565"/>
      <c r="R5" s="565"/>
      <c r="S5" s="565"/>
      <c r="T5" s="565"/>
      <c r="U5" s="565"/>
      <c r="V5" s="565"/>
      <c r="W5" s="565"/>
      <c r="X5" s="565"/>
      <c r="Y5" s="566"/>
      <c r="Z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row>
    <row r="6" spans="1:77" ht="31" customHeight="1" x14ac:dyDescent="0.15">
      <c r="H6" s="473"/>
      <c r="I6" s="473"/>
      <c r="J6" s="473"/>
      <c r="K6" s="473"/>
      <c r="L6" s="473"/>
      <c r="N6" s="567"/>
      <c r="O6" s="568"/>
      <c r="P6" s="568"/>
      <c r="Q6" s="568"/>
      <c r="R6" s="568"/>
      <c r="S6" s="568"/>
      <c r="T6" s="568"/>
      <c r="U6" s="568"/>
      <c r="V6" s="568"/>
      <c r="W6" s="568"/>
      <c r="X6" s="568"/>
      <c r="Y6" s="569"/>
      <c r="Z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7" ht="14" customHeight="1" thickBot="1" x14ac:dyDescent="0.2">
      <c r="N7" s="567"/>
      <c r="O7" s="568"/>
      <c r="P7" s="568"/>
      <c r="Q7" s="568"/>
      <c r="R7" s="568"/>
      <c r="S7" s="568"/>
      <c r="T7" s="568"/>
      <c r="U7" s="568"/>
      <c r="V7" s="568"/>
      <c r="W7" s="568"/>
      <c r="X7" s="568"/>
      <c r="Y7" s="569"/>
      <c r="Z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7" ht="13" customHeight="1" x14ac:dyDescent="0.2">
      <c r="A8" s="3"/>
      <c r="B8" s="3"/>
      <c r="C8" s="3"/>
      <c r="D8" s="3"/>
      <c r="E8" s="3"/>
      <c r="F8" s="3"/>
      <c r="G8" s="3"/>
      <c r="H8" s="486" t="s">
        <v>214</v>
      </c>
      <c r="I8" s="487"/>
      <c r="J8" s="580"/>
      <c r="K8" s="581"/>
      <c r="M8" s="3"/>
      <c r="N8" s="567"/>
      <c r="O8" s="568"/>
      <c r="P8" s="568"/>
      <c r="Q8" s="568"/>
      <c r="R8" s="568"/>
      <c r="S8" s="568"/>
      <c r="T8" s="568"/>
      <c r="U8" s="568"/>
      <c r="V8" s="568"/>
      <c r="W8" s="568"/>
      <c r="X8" s="568"/>
      <c r="Y8" s="569"/>
      <c r="Z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7" ht="15" customHeight="1" thickBot="1" x14ac:dyDescent="0.25">
      <c r="A9" s="3"/>
      <c r="B9" s="3"/>
      <c r="C9" s="3"/>
      <c r="D9" s="3"/>
      <c r="E9" s="3"/>
      <c r="F9" s="3"/>
      <c r="G9" s="3"/>
      <c r="H9" s="557" t="s">
        <v>216</v>
      </c>
      <c r="I9" s="558"/>
      <c r="J9" s="582"/>
      <c r="K9" s="583"/>
      <c r="M9" s="3"/>
      <c r="N9" s="567"/>
      <c r="O9" s="568"/>
      <c r="P9" s="568"/>
      <c r="Q9" s="568"/>
      <c r="R9" s="568"/>
      <c r="S9" s="568"/>
      <c r="T9" s="568"/>
      <c r="U9" s="568"/>
      <c r="V9" s="568"/>
      <c r="W9" s="568"/>
      <c r="X9" s="568"/>
      <c r="Y9" s="569"/>
      <c r="Z9" s="1"/>
      <c r="AM9" s="2"/>
      <c r="AN9" s="2"/>
      <c r="AO9" s="2"/>
      <c r="AP9" s="2"/>
      <c r="AQ9" s="2"/>
      <c r="AR9" s="2"/>
      <c r="AS9" s="2"/>
      <c r="AT9" s="2"/>
      <c r="AU9" s="2"/>
      <c r="AV9" s="2"/>
      <c r="AW9" s="2"/>
      <c r="AX9" s="2"/>
      <c r="AY9" s="2"/>
      <c r="AZ9" s="2"/>
      <c r="BA9" s="2"/>
      <c r="BB9" s="3"/>
      <c r="BC9" s="3"/>
      <c r="BD9" s="3"/>
      <c r="BE9" s="3"/>
      <c r="BF9" s="3"/>
      <c r="BG9" s="3"/>
      <c r="BH9" s="3"/>
      <c r="BI9" s="3"/>
      <c r="BJ9" s="3"/>
      <c r="BK9" s="3"/>
      <c r="BL9" s="3"/>
      <c r="BM9" s="3"/>
      <c r="BN9" s="3"/>
      <c r="BO9" s="3"/>
      <c r="BP9" s="3"/>
      <c r="BQ9" s="3"/>
      <c r="BR9" s="3"/>
    </row>
    <row r="10" spans="1:77" ht="14" x14ac:dyDescent="0.2">
      <c r="A10" s="3"/>
      <c r="B10" s="3"/>
      <c r="C10" s="3"/>
      <c r="D10" s="3"/>
      <c r="E10" s="3"/>
      <c r="F10" s="3"/>
      <c r="G10" s="3"/>
      <c r="H10" s="3"/>
      <c r="I10" s="3"/>
      <c r="J10" s="3"/>
      <c r="K10" s="3"/>
      <c r="L10" s="3"/>
      <c r="M10" s="3"/>
      <c r="N10" s="567"/>
      <c r="O10" s="568"/>
      <c r="P10" s="568"/>
      <c r="Q10" s="568"/>
      <c r="R10" s="568"/>
      <c r="S10" s="568"/>
      <c r="T10" s="568"/>
      <c r="U10" s="568"/>
      <c r="V10" s="568"/>
      <c r="W10" s="568"/>
      <c r="X10" s="568"/>
      <c r="Y10" s="569"/>
      <c r="Z10" s="1"/>
      <c r="AM10" s="2"/>
      <c r="AN10" s="2"/>
      <c r="AO10" s="2"/>
      <c r="AP10" s="2"/>
      <c r="AQ10" s="2"/>
      <c r="AR10" s="2"/>
      <c r="AS10" s="2"/>
      <c r="AT10" s="2"/>
      <c r="AU10" s="2"/>
      <c r="AV10" s="2"/>
      <c r="AW10" s="2"/>
      <c r="AX10" s="2"/>
      <c r="AY10" s="2"/>
      <c r="AZ10" s="2"/>
      <c r="BA10" s="2"/>
      <c r="BB10" s="3"/>
      <c r="BC10" s="3"/>
      <c r="BD10" s="3"/>
      <c r="BE10" s="3"/>
      <c r="BF10" s="3"/>
      <c r="BG10" s="3"/>
      <c r="BH10" s="3"/>
      <c r="BI10" s="3"/>
      <c r="BJ10" s="3"/>
      <c r="BK10" s="3"/>
      <c r="BL10" s="3"/>
      <c r="BM10" s="3"/>
      <c r="BN10" s="3"/>
      <c r="BO10" s="3"/>
      <c r="BP10" s="3"/>
      <c r="BQ10" s="3"/>
      <c r="BR10" s="3"/>
    </row>
    <row r="11" spans="1:77" x14ac:dyDescent="0.15">
      <c r="N11" s="570"/>
      <c r="O11" s="571"/>
      <c r="P11" s="571"/>
      <c r="Q11" s="571"/>
      <c r="R11" s="571"/>
      <c r="S11" s="571"/>
      <c r="T11" s="571"/>
      <c r="U11" s="571"/>
      <c r="V11" s="571"/>
      <c r="W11" s="571"/>
      <c r="X11" s="571"/>
      <c r="Y11" s="572"/>
    </row>
    <row r="12" spans="1:77" ht="15" thickBot="1" x14ac:dyDescent="0.25">
      <c r="A12" s="8"/>
      <c r="B12" s="8"/>
      <c r="C12" s="8"/>
      <c r="D12" s="8"/>
      <c r="E12" s="8"/>
      <c r="F12" s="8"/>
      <c r="G12" s="8"/>
      <c r="H12" s="8"/>
      <c r="I12" s="9"/>
      <c r="J12" s="9"/>
      <c r="K12" s="9"/>
      <c r="L12" s="9"/>
      <c r="M12" s="9"/>
      <c r="N12" s="9"/>
      <c r="O12" s="9"/>
      <c r="P12" s="9"/>
      <c r="Q12" s="9"/>
      <c r="R12" s="9"/>
      <c r="S12" s="9"/>
      <c r="T12" s="9"/>
      <c r="U12" s="9"/>
      <c r="V12" s="9"/>
      <c r="W12" s="10"/>
      <c r="X12" s="10"/>
      <c r="AA12" s="2"/>
      <c r="AB12" s="2"/>
      <c r="AC12" s="2"/>
      <c r="AD12" s="2"/>
      <c r="AE12" s="2"/>
      <c r="AF12" s="2"/>
      <c r="AG12" s="2"/>
      <c r="AH12" s="2"/>
      <c r="AI12" s="2"/>
      <c r="AJ12" s="2"/>
      <c r="AK12" s="2"/>
      <c r="AL12" s="2"/>
      <c r="AM12" s="2"/>
      <c r="AN12" s="2"/>
      <c r="AO12" s="2"/>
      <c r="AP12" s="2"/>
      <c r="AQ12" s="2"/>
      <c r="AR12" s="2"/>
      <c r="AS12" s="3"/>
      <c r="AT12" s="3"/>
      <c r="AU12" s="3"/>
      <c r="AV12" s="3"/>
      <c r="AW12" s="3"/>
      <c r="AX12" s="3"/>
      <c r="AY12" s="3"/>
      <c r="AZ12" s="3"/>
      <c r="BA12" s="3"/>
      <c r="BB12" s="3"/>
      <c r="BC12" s="3"/>
      <c r="BD12" s="3"/>
      <c r="BE12" s="3"/>
      <c r="BF12" s="3"/>
      <c r="BG12" s="3"/>
      <c r="BH12" s="3"/>
      <c r="BI12" s="3"/>
    </row>
    <row r="13" spans="1:77" ht="21" thickTop="1" thickBot="1" x14ac:dyDescent="0.3">
      <c r="B13" s="11" t="s">
        <v>322</v>
      </c>
      <c r="C13" s="11"/>
      <c r="D13" s="34"/>
      <c r="E13" s="34"/>
    </row>
    <row r="14" spans="1:77" ht="19" customHeight="1" x14ac:dyDescent="0.25">
      <c r="B14" s="11" t="s">
        <v>323</v>
      </c>
      <c r="C14" s="11"/>
      <c r="E14" s="588" t="s">
        <v>362</v>
      </c>
      <c r="F14" s="589"/>
      <c r="G14" s="589"/>
      <c r="H14" s="594" t="str">
        <f>IF(Dashboard!H27="Yes", "WARNING: Project Level Debt is turned ON.", "Project Level Debt is turned off in Dashboard Cell H27.")</f>
        <v>Project Level Debt is turned off in Dashboard Cell H27.</v>
      </c>
      <c r="I14" s="595"/>
    </row>
    <row r="15" spans="1:77" ht="19" x14ac:dyDescent="0.25">
      <c r="B15" s="181" t="s">
        <v>381</v>
      </c>
      <c r="C15" s="181"/>
      <c r="E15" s="590"/>
      <c r="F15" s="591"/>
      <c r="G15" s="591"/>
      <c r="H15" s="596"/>
      <c r="I15" s="597"/>
    </row>
    <row r="16" spans="1:77" x14ac:dyDescent="0.15">
      <c r="E16" s="590"/>
      <c r="F16" s="591"/>
      <c r="G16" s="591"/>
      <c r="H16" s="596"/>
      <c r="I16" s="597"/>
    </row>
    <row r="17" spans="2:28" ht="15" thickBot="1" x14ac:dyDescent="0.25">
      <c r="B17" s="18"/>
      <c r="C17" s="18"/>
      <c r="E17" s="592"/>
      <c r="F17" s="593"/>
      <c r="G17" s="593"/>
      <c r="H17" s="598"/>
      <c r="I17" s="599"/>
    </row>
    <row r="18" spans="2:28" ht="16" x14ac:dyDescent="0.15">
      <c r="B18" s="585" t="s">
        <v>471</v>
      </c>
      <c r="C18" s="585"/>
    </row>
    <row r="19" spans="2:28" ht="14" x14ac:dyDescent="0.2">
      <c r="B19" s="203" t="s">
        <v>286</v>
      </c>
      <c r="C19" s="204">
        <v>0</v>
      </c>
      <c r="D19" s="205">
        <v>1</v>
      </c>
      <c r="E19" s="206">
        <v>2</v>
      </c>
      <c r="F19" s="206">
        <v>3</v>
      </c>
      <c r="G19" s="205">
        <v>4</v>
      </c>
      <c r="H19" s="206">
        <v>5</v>
      </c>
      <c r="I19" s="206">
        <v>6</v>
      </c>
      <c r="J19" s="205">
        <v>7</v>
      </c>
      <c r="K19" s="206">
        <v>8</v>
      </c>
      <c r="L19" s="206">
        <v>9</v>
      </c>
      <c r="M19" s="205">
        <v>10</v>
      </c>
      <c r="N19" s="206">
        <v>11</v>
      </c>
      <c r="O19" s="206">
        <v>12</v>
      </c>
      <c r="P19" s="205">
        <v>13</v>
      </c>
      <c r="Q19" s="206">
        <v>14</v>
      </c>
      <c r="R19" s="206">
        <v>15</v>
      </c>
      <c r="S19" s="206">
        <v>16</v>
      </c>
      <c r="T19" s="206">
        <v>17</v>
      </c>
      <c r="U19" s="206">
        <v>18</v>
      </c>
      <c r="V19" s="206">
        <v>19</v>
      </c>
      <c r="W19" s="206">
        <v>20</v>
      </c>
      <c r="X19" s="206">
        <v>21</v>
      </c>
      <c r="Y19" s="206">
        <v>22</v>
      </c>
      <c r="Z19" s="206">
        <v>23</v>
      </c>
      <c r="AA19" s="206">
        <v>24</v>
      </c>
      <c r="AB19" s="206">
        <v>25</v>
      </c>
    </row>
    <row r="20" spans="2:28" ht="14" x14ac:dyDescent="0.2">
      <c r="B20" s="209" t="s">
        <v>324</v>
      </c>
      <c r="C20" s="182"/>
      <c r="D20" s="183"/>
      <c r="E20" s="183"/>
      <c r="F20" s="183"/>
      <c r="G20" s="183"/>
      <c r="H20" s="183"/>
      <c r="I20" s="183"/>
      <c r="J20" s="183"/>
      <c r="K20" s="183"/>
      <c r="L20" s="183"/>
      <c r="M20" s="183"/>
      <c r="N20" s="183"/>
      <c r="O20" s="183"/>
      <c r="P20" s="183"/>
      <c r="Q20" s="183"/>
      <c r="R20" s="183"/>
      <c r="S20" s="183"/>
      <c r="T20" s="183"/>
      <c r="U20" s="183"/>
      <c r="V20" s="183"/>
      <c r="W20" s="183"/>
      <c r="X20" s="183"/>
      <c r="Y20" s="183"/>
      <c r="Z20" s="183"/>
      <c r="AA20" s="183"/>
      <c r="AB20" s="183"/>
    </row>
    <row r="21" spans="2:28" ht="14" x14ac:dyDescent="0.2">
      <c r="B21" s="210" t="s">
        <v>325</v>
      </c>
      <c r="C21" s="230"/>
      <c r="D21" s="227">
        <f>Unstructured!D62</f>
        <v>-62389.776304000348</v>
      </c>
      <c r="E21" s="227">
        <f>Unstructured!E62</f>
        <v>-115221.67235319581</v>
      </c>
      <c r="F21" s="227">
        <f>Unstructured!F62</f>
        <v>-57768.922773736143</v>
      </c>
      <c r="G21" s="227">
        <f>Unstructured!G62</f>
        <v>-23071.804368299978</v>
      </c>
      <c r="H21" s="227">
        <f>Unstructured!H62</f>
        <v>-22513.248768133009</v>
      </c>
      <c r="I21" s="227">
        <f>Unstructured!I62</f>
        <v>2825.6316875364082</v>
      </c>
      <c r="J21" s="227">
        <f>Unstructured!J62</f>
        <v>23000.798382870264</v>
      </c>
      <c r="K21" s="227">
        <f>Unstructured!K62</f>
        <v>23457.144626156911</v>
      </c>
      <c r="L21" s="227">
        <f>Unstructured!L62</f>
        <v>23922.544858537425</v>
      </c>
      <c r="M21" s="227">
        <f>Unstructured!M62</f>
        <v>24397.178710195214</v>
      </c>
      <c r="N21" s="227">
        <f>Unstructured!N62</f>
        <v>24881.229375106588</v>
      </c>
      <c r="O21" s="227">
        <f>Unstructured!O62</f>
        <v>25374.883681744006</v>
      </c>
      <c r="P21" s="227">
        <f>Unstructured!P62</f>
        <v>25878.332165181975</v>
      </c>
      <c r="Q21" s="227">
        <f>Unstructured!Q62</f>
        <v>26391.769140633551</v>
      </c>
      <c r="R21" s="227">
        <f>Unstructured!R62</f>
        <v>26915.392778445585</v>
      </c>
      <c r="S21" s="227">
        <f>Unstructured!S62</f>
        <v>27449.40518058198</v>
      </c>
      <c r="T21" s="227">
        <f>Unstructured!T62</f>
        <v>27994.012458624122</v>
      </c>
      <c r="U21" s="227">
        <f>Unstructured!U62</f>
        <v>28549.424813318932</v>
      </c>
      <c r="V21" s="227">
        <f>Unstructured!V62</f>
        <v>29115.856615704892</v>
      </c>
      <c r="W21" s="227">
        <f>Unstructured!W62</f>
        <v>29693.526489847682</v>
      </c>
      <c r="X21" s="227">
        <f>Unstructured!X62</f>
        <v>30282.657397217179</v>
      </c>
      <c r="Y21" s="227">
        <f>Unstructured!Y62</f>
        <v>30883.476722738327</v>
      </c>
      <c r="Z21" s="227">
        <f>Unstructured!Z62</f>
        <v>31496.216362549239</v>
      </c>
      <c r="AA21" s="227">
        <f>Unstructured!AA62</f>
        <v>32121.112813500313</v>
      </c>
      <c r="AB21" s="227">
        <f>Unstructured!AB62</f>
        <v>32758.407264428948</v>
      </c>
    </row>
    <row r="22" spans="2:28" ht="14" x14ac:dyDescent="0.2">
      <c r="B22" s="210" t="s">
        <v>326</v>
      </c>
      <c r="C22" s="230"/>
      <c r="D22" s="227">
        <f>Unstructured!D46</f>
        <v>88930.80486774999</v>
      </c>
      <c r="E22" s="227">
        <f>Unstructured!E46</f>
        <v>142289.28778839999</v>
      </c>
      <c r="F22" s="227">
        <f>Unstructured!F46</f>
        <v>85373.572673039991</v>
      </c>
      <c r="G22" s="227">
        <f>Unstructured!G46</f>
        <v>51224.143603823992</v>
      </c>
      <c r="H22" s="227">
        <f>Unstructured!H46</f>
        <v>51224.143603823992</v>
      </c>
      <c r="I22" s="227">
        <f>Unstructured!I46</f>
        <v>25612.071801911996</v>
      </c>
      <c r="J22" s="227">
        <f>Unstructured!J46</f>
        <v>0</v>
      </c>
      <c r="K22" s="227">
        <f>Unstructured!K46</f>
        <v>0</v>
      </c>
      <c r="L22" s="227">
        <f>Unstructured!L46</f>
        <v>0</v>
      </c>
      <c r="M22" s="227">
        <f>Unstructured!M46</f>
        <v>0</v>
      </c>
      <c r="N22" s="227">
        <f>Unstructured!N46</f>
        <v>0</v>
      </c>
      <c r="O22" s="227">
        <f>Unstructured!O46</f>
        <v>0</v>
      </c>
      <c r="P22" s="227">
        <f>Unstructured!P46</f>
        <v>0</v>
      </c>
      <c r="Q22" s="227">
        <f>Unstructured!Q46</f>
        <v>0</v>
      </c>
      <c r="R22" s="227">
        <f>Unstructured!R46</f>
        <v>0</v>
      </c>
      <c r="S22" s="227">
        <f>Unstructured!S46</f>
        <v>0</v>
      </c>
      <c r="T22" s="227">
        <f>Unstructured!T46</f>
        <v>0</v>
      </c>
      <c r="U22" s="227">
        <f>Unstructured!U46</f>
        <v>0</v>
      </c>
      <c r="V22" s="227">
        <f>Unstructured!V46</f>
        <v>0</v>
      </c>
      <c r="W22" s="227">
        <f>Unstructured!W46</f>
        <v>0</v>
      </c>
      <c r="X22" s="227">
        <f>Unstructured!X46</f>
        <v>0</v>
      </c>
      <c r="Y22" s="227">
        <f>Unstructured!Y46</f>
        <v>0</v>
      </c>
      <c r="Z22" s="227">
        <f>Unstructured!Z46</f>
        <v>0</v>
      </c>
      <c r="AA22" s="227">
        <f>Unstructured!AA46</f>
        <v>0</v>
      </c>
      <c r="AB22" s="227">
        <f>Unstructured!AB46</f>
        <v>0</v>
      </c>
    </row>
    <row r="23" spans="2:28" ht="15" thickBot="1" x14ac:dyDescent="0.25">
      <c r="B23" s="210" t="s">
        <v>446</v>
      </c>
      <c r="C23" s="433"/>
      <c r="D23" s="184"/>
      <c r="E23" s="184"/>
      <c r="F23" s="184"/>
      <c r="G23" s="184"/>
      <c r="H23" s="184"/>
      <c r="I23" s="184"/>
      <c r="J23" s="184"/>
      <c r="K23" s="184"/>
      <c r="L23" s="184"/>
      <c r="M23" s="184"/>
      <c r="N23" s="184"/>
      <c r="O23" s="184"/>
      <c r="P23" s="184"/>
      <c r="Q23" s="184"/>
      <c r="R23" s="184"/>
      <c r="S23" s="184"/>
      <c r="T23" s="184"/>
      <c r="U23" s="184"/>
      <c r="V23" s="184"/>
      <c r="W23" s="184"/>
      <c r="X23" s="184"/>
      <c r="Y23" s="184"/>
      <c r="Z23" s="184"/>
      <c r="AA23" s="184"/>
      <c r="AB23" s="184">
        <f>Unstructured!AB80-Unstructured!AB62</f>
        <v>86202.394852859754</v>
      </c>
    </row>
    <row r="24" spans="2:28" ht="15" thickTop="1" x14ac:dyDescent="0.2">
      <c r="B24" s="211" t="s">
        <v>327</v>
      </c>
      <c r="C24" s="337">
        <f>Unstructured!C80</f>
        <v>-574682.63235239836</v>
      </c>
      <c r="D24" s="227">
        <f>SUM(D21:D23)</f>
        <v>26541.028563749642</v>
      </c>
      <c r="E24" s="227">
        <f t="shared" ref="E24:AB24" si="0">SUM(E21:E23)</f>
        <v>27067.615435204178</v>
      </c>
      <c r="F24" s="227">
        <f t="shared" si="0"/>
        <v>27604.649899303848</v>
      </c>
      <c r="G24" s="227">
        <f t="shared" si="0"/>
        <v>28152.339235524014</v>
      </c>
      <c r="H24" s="227">
        <f t="shared" si="0"/>
        <v>28710.894835690982</v>
      </c>
      <c r="I24" s="227">
        <f t="shared" si="0"/>
        <v>28437.703489448402</v>
      </c>
      <c r="J24" s="227">
        <f t="shared" si="0"/>
        <v>23000.798382870264</v>
      </c>
      <c r="K24" s="227">
        <f t="shared" si="0"/>
        <v>23457.144626156911</v>
      </c>
      <c r="L24" s="227">
        <f t="shared" si="0"/>
        <v>23922.544858537425</v>
      </c>
      <c r="M24" s="227">
        <f t="shared" si="0"/>
        <v>24397.178710195214</v>
      </c>
      <c r="N24" s="227">
        <f t="shared" si="0"/>
        <v>24881.229375106588</v>
      </c>
      <c r="O24" s="227">
        <f t="shared" si="0"/>
        <v>25374.883681744006</v>
      </c>
      <c r="P24" s="227">
        <f t="shared" si="0"/>
        <v>25878.332165181975</v>
      </c>
      <c r="Q24" s="227">
        <f t="shared" si="0"/>
        <v>26391.769140633551</v>
      </c>
      <c r="R24" s="227">
        <f t="shared" si="0"/>
        <v>26915.392778445585</v>
      </c>
      <c r="S24" s="227">
        <f t="shared" si="0"/>
        <v>27449.40518058198</v>
      </c>
      <c r="T24" s="227">
        <f t="shared" si="0"/>
        <v>27994.012458624122</v>
      </c>
      <c r="U24" s="227">
        <f t="shared" si="0"/>
        <v>28549.424813318932</v>
      </c>
      <c r="V24" s="227">
        <f t="shared" si="0"/>
        <v>29115.856615704892</v>
      </c>
      <c r="W24" s="227">
        <f t="shared" si="0"/>
        <v>29693.526489847682</v>
      </c>
      <c r="X24" s="227">
        <f t="shared" si="0"/>
        <v>30282.657397217179</v>
      </c>
      <c r="Y24" s="227">
        <f t="shared" si="0"/>
        <v>30883.476722738327</v>
      </c>
      <c r="Z24" s="227">
        <f t="shared" si="0"/>
        <v>31496.216362549239</v>
      </c>
      <c r="AA24" s="227">
        <f t="shared" si="0"/>
        <v>32121.112813500313</v>
      </c>
      <c r="AB24" s="227">
        <f t="shared" si="0"/>
        <v>118960.80211728869</v>
      </c>
    </row>
    <row r="25" spans="2:28" ht="14" x14ac:dyDescent="0.2">
      <c r="B25" s="212"/>
      <c r="C25" s="338"/>
      <c r="D25" s="227"/>
      <c r="E25" s="227"/>
      <c r="F25" s="227"/>
      <c r="G25" s="227"/>
      <c r="H25" s="227"/>
      <c r="I25" s="227"/>
      <c r="J25" s="227"/>
      <c r="K25" s="227"/>
      <c r="L25" s="227"/>
      <c r="M25" s="227"/>
      <c r="N25" s="227"/>
      <c r="O25" s="227"/>
      <c r="P25" s="227"/>
      <c r="Q25" s="227"/>
      <c r="R25" s="227"/>
      <c r="S25" s="227"/>
      <c r="T25" s="227"/>
      <c r="U25" s="227"/>
      <c r="V25" s="227"/>
      <c r="W25" s="227"/>
      <c r="X25" s="227"/>
      <c r="Y25" s="227"/>
      <c r="Z25" s="227"/>
      <c r="AA25" s="227"/>
      <c r="AB25" s="227"/>
    </row>
    <row r="26" spans="2:28" ht="14" x14ac:dyDescent="0.2">
      <c r="B26" s="213" t="s">
        <v>328</v>
      </c>
      <c r="C26" s="339"/>
      <c r="D26" s="227"/>
      <c r="E26" s="227"/>
      <c r="F26" s="227"/>
      <c r="G26" s="227"/>
      <c r="H26" s="227"/>
      <c r="I26" s="227"/>
      <c r="J26" s="227"/>
      <c r="K26" s="227"/>
      <c r="L26" s="227"/>
      <c r="M26" s="227"/>
      <c r="N26" s="227"/>
      <c r="O26" s="227"/>
      <c r="P26" s="227"/>
      <c r="Q26" s="227"/>
      <c r="R26" s="227"/>
      <c r="S26" s="227"/>
      <c r="T26" s="227"/>
      <c r="U26" s="227"/>
      <c r="V26" s="227"/>
      <c r="W26" s="227"/>
      <c r="X26" s="227"/>
      <c r="Y26" s="227"/>
      <c r="Z26" s="227"/>
      <c r="AA26" s="227"/>
      <c r="AB26" s="227"/>
    </row>
    <row r="27" spans="2:28" ht="14" x14ac:dyDescent="0.2">
      <c r="B27" s="210" t="s">
        <v>358</v>
      </c>
      <c r="C27" s="339"/>
      <c r="D27" s="227">
        <f>Unstructured!D71</f>
        <v>0</v>
      </c>
      <c r="E27" s="227"/>
      <c r="F27" s="227"/>
      <c r="G27" s="227"/>
      <c r="H27" s="227"/>
      <c r="I27" s="227"/>
      <c r="J27" s="227"/>
      <c r="K27" s="227"/>
      <c r="L27" s="227"/>
      <c r="M27" s="227"/>
      <c r="N27" s="227"/>
      <c r="O27" s="227"/>
      <c r="P27" s="227"/>
      <c r="Q27" s="227"/>
      <c r="R27" s="227"/>
      <c r="S27" s="227"/>
      <c r="T27" s="227"/>
      <c r="U27" s="227"/>
      <c r="V27" s="227"/>
      <c r="W27" s="227"/>
      <c r="X27" s="227"/>
      <c r="Y27" s="227"/>
      <c r="Z27" s="227"/>
      <c r="AA27" s="227"/>
      <c r="AB27" s="227"/>
    </row>
    <row r="28" spans="2:28" ht="14" x14ac:dyDescent="0.2">
      <c r="B28" s="210" t="s">
        <v>292</v>
      </c>
      <c r="C28" s="339"/>
      <c r="D28" s="227">
        <f>Unstructured!D72</f>
        <v>1232.1980820040069</v>
      </c>
      <c r="E28" s="227">
        <f>Unstructured!E72</f>
        <v>2275.6280289756178</v>
      </c>
      <c r="F28" s="227">
        <f>Unstructured!F72</f>
        <v>1140.9362247812887</v>
      </c>
      <c r="G28" s="227">
        <f>Unstructured!G72</f>
        <v>455.66813627392457</v>
      </c>
      <c r="H28" s="227">
        <f>Unstructured!H72</f>
        <v>444.636663170627</v>
      </c>
      <c r="I28" s="227">
        <f>Unstructured!I72</f>
        <v>0</v>
      </c>
      <c r="J28" s="227">
        <f>Unstructured!J72</f>
        <v>0</v>
      </c>
      <c r="K28" s="227">
        <f>Unstructured!K72</f>
        <v>0</v>
      </c>
      <c r="L28" s="227">
        <f>Unstructured!L72</f>
        <v>0</v>
      </c>
      <c r="M28" s="227">
        <f>Unstructured!M72</f>
        <v>0</v>
      </c>
      <c r="N28" s="227">
        <f>Unstructured!N72</f>
        <v>0</v>
      </c>
      <c r="O28" s="227">
        <f>Unstructured!O72</f>
        <v>0</v>
      </c>
      <c r="P28" s="227">
        <f>Unstructured!P72</f>
        <v>0</v>
      </c>
      <c r="Q28" s="227">
        <f>Unstructured!Q72</f>
        <v>0</v>
      </c>
      <c r="R28" s="227">
        <f>Unstructured!R72</f>
        <v>0</v>
      </c>
      <c r="S28" s="227">
        <f>Unstructured!S72</f>
        <v>0</v>
      </c>
      <c r="T28" s="227">
        <f>Unstructured!T72</f>
        <v>0</v>
      </c>
      <c r="U28" s="227">
        <f>Unstructured!U72</f>
        <v>0</v>
      </c>
      <c r="V28" s="227">
        <f>Unstructured!V72</f>
        <v>0</v>
      </c>
      <c r="W28" s="227">
        <f>Unstructured!W72</f>
        <v>0</v>
      </c>
      <c r="X28" s="227">
        <f>Unstructured!X72</f>
        <v>0</v>
      </c>
      <c r="Y28" s="227">
        <f>Unstructured!Y72</f>
        <v>0</v>
      </c>
      <c r="Z28" s="227">
        <f>Unstructured!Z72</f>
        <v>0</v>
      </c>
      <c r="AA28" s="227">
        <f>Unstructured!AA72</f>
        <v>0</v>
      </c>
      <c r="AB28" s="227">
        <f>Unstructured!AB72</f>
        <v>0</v>
      </c>
    </row>
    <row r="29" spans="2:28" ht="14" x14ac:dyDescent="0.2">
      <c r="B29" s="210" t="s">
        <v>80</v>
      </c>
      <c r="C29" s="340"/>
      <c r="D29" s="227">
        <f>Unstructured!D70</f>
        <v>13101.853023840071</v>
      </c>
      <c r="E29" s="227">
        <f>Unstructured!E70</f>
        <v>24196.551194171119</v>
      </c>
      <c r="F29" s="227">
        <f>Unstructured!F70</f>
        <v>12131.473782484589</v>
      </c>
      <c r="G29" s="227">
        <f>Unstructured!G70</f>
        <v>4845.0789173429948</v>
      </c>
      <c r="H29" s="227">
        <f>Unstructured!H70</f>
        <v>4727.7822413079321</v>
      </c>
      <c r="I29" s="227">
        <f>Unstructured!I70</f>
        <v>0</v>
      </c>
      <c r="J29" s="227">
        <f>Unstructured!J70</f>
        <v>0</v>
      </c>
      <c r="K29" s="227">
        <f>Unstructured!K70</f>
        <v>0</v>
      </c>
      <c r="L29" s="227">
        <f>Unstructured!L70</f>
        <v>0</v>
      </c>
      <c r="M29" s="227">
        <f>Unstructured!M70</f>
        <v>0</v>
      </c>
      <c r="N29" s="227">
        <f>Unstructured!N70</f>
        <v>0</v>
      </c>
      <c r="O29" s="227">
        <f>Unstructured!O70</f>
        <v>0</v>
      </c>
      <c r="P29" s="227">
        <f>Unstructured!P70</f>
        <v>0</v>
      </c>
      <c r="Q29" s="227">
        <f>Unstructured!Q70</f>
        <v>0</v>
      </c>
      <c r="R29" s="227">
        <f>Unstructured!R70</f>
        <v>0</v>
      </c>
      <c r="S29" s="227">
        <f>Unstructured!S70</f>
        <v>0</v>
      </c>
      <c r="T29" s="227">
        <f>Unstructured!T70</f>
        <v>0</v>
      </c>
      <c r="U29" s="227">
        <f>Unstructured!U70</f>
        <v>0</v>
      </c>
      <c r="V29" s="227">
        <f>Unstructured!V70</f>
        <v>0</v>
      </c>
      <c r="W29" s="227">
        <f>Unstructured!W70</f>
        <v>0</v>
      </c>
      <c r="X29" s="227">
        <f>Unstructured!X70</f>
        <v>0</v>
      </c>
      <c r="Y29" s="227">
        <f>Unstructured!Y70</f>
        <v>0</v>
      </c>
      <c r="Z29" s="227">
        <f>Unstructured!Z70</f>
        <v>0</v>
      </c>
      <c r="AA29" s="227">
        <f>Unstructured!AA70</f>
        <v>0</v>
      </c>
      <c r="AB29" s="227">
        <f>Unstructured!AB70</f>
        <v>0</v>
      </c>
    </row>
    <row r="30" spans="2:28" ht="15" thickBot="1" x14ac:dyDescent="0.25">
      <c r="B30" s="210" t="s">
        <v>329</v>
      </c>
      <c r="C30" s="230"/>
      <c r="D30" s="184">
        <f>Unstructured!D69</f>
        <v>156936.71447249997</v>
      </c>
      <c r="E30" s="184"/>
      <c r="F30" s="184"/>
      <c r="G30" s="184"/>
      <c r="H30" s="184"/>
      <c r="I30" s="184"/>
      <c r="J30" s="184"/>
      <c r="K30" s="184"/>
      <c r="L30" s="184"/>
      <c r="M30" s="184"/>
      <c r="N30" s="184"/>
      <c r="O30" s="184"/>
      <c r="P30" s="184"/>
      <c r="Q30" s="184"/>
      <c r="R30" s="184"/>
      <c r="S30" s="184"/>
      <c r="T30" s="184"/>
      <c r="U30" s="184"/>
      <c r="V30" s="184"/>
      <c r="W30" s="184"/>
      <c r="X30" s="184"/>
      <c r="Y30" s="184"/>
      <c r="Z30" s="184"/>
      <c r="AA30" s="184"/>
      <c r="AB30" s="184"/>
    </row>
    <row r="31" spans="2:28" ht="15" thickTop="1" x14ac:dyDescent="0.2">
      <c r="B31" s="214" t="s">
        <v>330</v>
      </c>
      <c r="C31" s="185"/>
      <c r="D31" s="186">
        <f>SUM(D27:D30)</f>
        <v>171270.76557834406</v>
      </c>
      <c r="E31" s="186">
        <f t="shared" ref="E31:R31" si="1">SUM(E27:E30)</f>
        <v>26472.179223146737</v>
      </c>
      <c r="F31" s="186">
        <f t="shared" si="1"/>
        <v>13272.410007265877</v>
      </c>
      <c r="G31" s="186">
        <f t="shared" si="1"/>
        <v>5300.7470536169194</v>
      </c>
      <c r="H31" s="186">
        <f t="shared" si="1"/>
        <v>5172.4189044785589</v>
      </c>
      <c r="I31" s="186">
        <f t="shared" si="1"/>
        <v>0</v>
      </c>
      <c r="J31" s="186">
        <f t="shared" si="1"/>
        <v>0</v>
      </c>
      <c r="K31" s="186">
        <f t="shared" si="1"/>
        <v>0</v>
      </c>
      <c r="L31" s="186">
        <f t="shared" si="1"/>
        <v>0</v>
      </c>
      <c r="M31" s="186">
        <f t="shared" si="1"/>
        <v>0</v>
      </c>
      <c r="N31" s="186">
        <f t="shared" si="1"/>
        <v>0</v>
      </c>
      <c r="O31" s="186">
        <f t="shared" si="1"/>
        <v>0</v>
      </c>
      <c r="P31" s="186">
        <f t="shared" si="1"/>
        <v>0</v>
      </c>
      <c r="Q31" s="186">
        <f t="shared" si="1"/>
        <v>0</v>
      </c>
      <c r="R31" s="186">
        <f t="shared" si="1"/>
        <v>0</v>
      </c>
      <c r="S31" s="186">
        <f>SUM(S27:S30)</f>
        <v>0</v>
      </c>
      <c r="T31" s="186">
        <f>SUM(T27:T30)</f>
        <v>0</v>
      </c>
      <c r="U31" s="186">
        <f>SUM(U27:U30)</f>
        <v>0</v>
      </c>
      <c r="V31" s="186">
        <f>SUM(V27:V30)</f>
        <v>0</v>
      </c>
      <c r="W31" s="186">
        <f t="shared" ref="W31:AB31" si="2">SUM(W27:W30)</f>
        <v>0</v>
      </c>
      <c r="X31" s="186">
        <f t="shared" si="2"/>
        <v>0</v>
      </c>
      <c r="Y31" s="186">
        <f t="shared" si="2"/>
        <v>0</v>
      </c>
      <c r="Z31" s="186">
        <f t="shared" si="2"/>
        <v>0</v>
      </c>
      <c r="AA31" s="186">
        <f t="shared" si="2"/>
        <v>0</v>
      </c>
      <c r="AB31" s="186">
        <f t="shared" si="2"/>
        <v>0</v>
      </c>
    </row>
    <row r="32" spans="2:28" ht="14" x14ac:dyDescent="0.2">
      <c r="B32" s="187"/>
      <c r="C32" s="188"/>
      <c r="D32" s="12"/>
      <c r="E32" s="12"/>
      <c r="F32" s="12"/>
      <c r="G32" s="12"/>
      <c r="H32" s="12"/>
      <c r="I32" s="12"/>
      <c r="J32" s="12"/>
      <c r="K32" s="12"/>
      <c r="L32" s="12"/>
      <c r="M32" s="12"/>
      <c r="N32" s="12"/>
      <c r="O32" s="12"/>
      <c r="P32" s="12"/>
      <c r="Q32" s="12"/>
      <c r="R32" s="12"/>
      <c r="S32" s="12"/>
      <c r="T32" s="12"/>
      <c r="U32" s="12"/>
      <c r="V32" s="12"/>
      <c r="W32" s="12"/>
      <c r="X32" s="12"/>
      <c r="Y32" s="12"/>
      <c r="Z32" s="12"/>
      <c r="AA32" s="12"/>
      <c r="AB32" s="12"/>
    </row>
    <row r="33" spans="2:28" ht="14" x14ac:dyDescent="0.2">
      <c r="B33" s="188"/>
      <c r="C33" s="188"/>
      <c r="D33" s="12"/>
      <c r="E33" s="12"/>
      <c r="F33" s="12"/>
      <c r="G33" s="12"/>
      <c r="H33" s="12"/>
      <c r="I33" s="12"/>
      <c r="J33" s="12"/>
      <c r="K33" s="12"/>
      <c r="L33" s="12"/>
      <c r="M33" s="12"/>
      <c r="N33" s="12"/>
      <c r="O33" s="12"/>
      <c r="P33" s="12"/>
      <c r="Q33" s="12"/>
      <c r="R33" s="12"/>
      <c r="S33" s="12"/>
      <c r="T33" s="12"/>
      <c r="U33" s="12"/>
      <c r="V33" s="12"/>
      <c r="W33" s="12"/>
      <c r="X33" s="12"/>
      <c r="Y33" s="12"/>
      <c r="Z33" s="12"/>
      <c r="AA33" s="12"/>
      <c r="AB33" s="12"/>
    </row>
    <row r="34" spans="2:28" ht="16" x14ac:dyDescent="0.2">
      <c r="B34" s="585" t="s">
        <v>331</v>
      </c>
      <c r="C34" s="585"/>
      <c r="D34" s="12"/>
      <c r="E34" s="12"/>
      <c r="F34" s="12"/>
      <c r="G34" s="12"/>
      <c r="H34" s="12"/>
      <c r="I34" s="12"/>
      <c r="J34" s="12"/>
      <c r="K34" s="12"/>
      <c r="L34" s="12"/>
      <c r="M34" s="12"/>
      <c r="N34" s="12"/>
      <c r="O34" s="12"/>
      <c r="P34" s="12"/>
      <c r="Q34" s="12"/>
      <c r="R34" s="12"/>
      <c r="S34" s="12"/>
      <c r="T34" s="12"/>
      <c r="U34" s="12"/>
      <c r="V34" s="12"/>
      <c r="W34" s="12"/>
      <c r="X34" s="12"/>
      <c r="Y34" s="12"/>
      <c r="Z34" s="12"/>
      <c r="AA34" s="12"/>
      <c r="AB34" s="12"/>
    </row>
    <row r="35" spans="2:28" ht="14" x14ac:dyDescent="0.2">
      <c r="B35" s="203" t="s">
        <v>286</v>
      </c>
      <c r="C35" s="204">
        <v>0</v>
      </c>
      <c r="D35" s="205">
        <v>1</v>
      </c>
      <c r="E35" s="206">
        <v>2</v>
      </c>
      <c r="F35" s="206">
        <v>3</v>
      </c>
      <c r="G35" s="205">
        <v>4</v>
      </c>
      <c r="H35" s="206">
        <v>5</v>
      </c>
      <c r="I35" s="206">
        <v>6</v>
      </c>
      <c r="J35" s="205">
        <v>7</v>
      </c>
      <c r="K35" s="206">
        <v>8</v>
      </c>
      <c r="L35" s="206">
        <v>9</v>
      </c>
      <c r="M35" s="205">
        <v>10</v>
      </c>
      <c r="N35" s="206">
        <v>11</v>
      </c>
      <c r="O35" s="206">
        <v>12</v>
      </c>
      <c r="P35" s="205">
        <v>13</v>
      </c>
      <c r="Q35" s="206">
        <v>14</v>
      </c>
      <c r="R35" s="206">
        <v>15</v>
      </c>
      <c r="S35" s="206">
        <v>16</v>
      </c>
      <c r="T35" s="206">
        <v>17</v>
      </c>
      <c r="U35" s="206">
        <v>18</v>
      </c>
      <c r="V35" s="206">
        <v>19</v>
      </c>
      <c r="W35" s="206">
        <v>20</v>
      </c>
      <c r="X35" s="206">
        <v>21</v>
      </c>
      <c r="Y35" s="206">
        <v>22</v>
      </c>
      <c r="Z35" s="206">
        <v>23</v>
      </c>
      <c r="AA35" s="206">
        <v>24</v>
      </c>
      <c r="AB35" s="206">
        <v>25</v>
      </c>
    </row>
    <row r="36" spans="2:28" ht="14" x14ac:dyDescent="0.2">
      <c r="B36" s="215" t="s">
        <v>332</v>
      </c>
      <c r="C36" s="189"/>
      <c r="D36" s="190">
        <f t="shared" ref="D36:V36" si="3">D24</f>
        <v>26541.028563749642</v>
      </c>
      <c r="E36" s="190">
        <f t="shared" si="3"/>
        <v>27067.615435204178</v>
      </c>
      <c r="F36" s="190">
        <f t="shared" si="3"/>
        <v>27604.649899303848</v>
      </c>
      <c r="G36" s="190">
        <f t="shared" si="3"/>
        <v>28152.339235524014</v>
      </c>
      <c r="H36" s="190">
        <f t="shared" si="3"/>
        <v>28710.894835690982</v>
      </c>
      <c r="I36" s="190">
        <f t="shared" si="3"/>
        <v>28437.703489448402</v>
      </c>
      <c r="J36" s="190">
        <f t="shared" si="3"/>
        <v>23000.798382870264</v>
      </c>
      <c r="K36" s="190">
        <f t="shared" si="3"/>
        <v>23457.144626156911</v>
      </c>
      <c r="L36" s="190">
        <f t="shared" si="3"/>
        <v>23922.544858537425</v>
      </c>
      <c r="M36" s="190">
        <f t="shared" si="3"/>
        <v>24397.178710195214</v>
      </c>
      <c r="N36" s="190">
        <f t="shared" si="3"/>
        <v>24881.229375106588</v>
      </c>
      <c r="O36" s="190">
        <f t="shared" si="3"/>
        <v>25374.883681744006</v>
      </c>
      <c r="P36" s="190">
        <f t="shared" si="3"/>
        <v>25878.332165181975</v>
      </c>
      <c r="Q36" s="190">
        <f t="shared" si="3"/>
        <v>26391.769140633551</v>
      </c>
      <c r="R36" s="190">
        <f t="shared" si="3"/>
        <v>26915.392778445585</v>
      </c>
      <c r="S36" s="190">
        <f t="shared" si="3"/>
        <v>27449.40518058198</v>
      </c>
      <c r="T36" s="190">
        <f t="shared" si="3"/>
        <v>27994.012458624122</v>
      </c>
      <c r="U36" s="190">
        <f t="shared" si="3"/>
        <v>28549.424813318932</v>
      </c>
      <c r="V36" s="190">
        <f t="shared" si="3"/>
        <v>29115.856615704892</v>
      </c>
      <c r="W36" s="190">
        <f t="shared" ref="W36:AB36" si="4">W24</f>
        <v>29693.526489847682</v>
      </c>
      <c r="X36" s="190">
        <f t="shared" si="4"/>
        <v>30282.657397217179</v>
      </c>
      <c r="Y36" s="190">
        <f t="shared" si="4"/>
        <v>30883.476722738327</v>
      </c>
      <c r="Z36" s="190">
        <f t="shared" si="4"/>
        <v>31496.216362549239</v>
      </c>
      <c r="AA36" s="190">
        <f t="shared" si="4"/>
        <v>32121.112813500313</v>
      </c>
      <c r="AB36" s="190">
        <f t="shared" si="4"/>
        <v>118960.80211728869</v>
      </c>
    </row>
    <row r="37" spans="2:28" ht="15" thickBot="1" x14ac:dyDescent="0.25">
      <c r="B37" s="210" t="s">
        <v>333</v>
      </c>
      <c r="C37" s="230"/>
      <c r="D37" s="184">
        <f t="shared" ref="D37:AB37" si="5">IF(D35&gt;Time_Based_Flip_Target_Year,0,(Cash_on_Cash_Return_Premium*Tax_Equity_Investment_Share*Equity_Investment))</f>
        <v>9059.2970164032104</v>
      </c>
      <c r="E37" s="184">
        <f t="shared" si="5"/>
        <v>9059.2970164032104</v>
      </c>
      <c r="F37" s="184">
        <f t="shared" si="5"/>
        <v>9059.2970164032104</v>
      </c>
      <c r="G37" s="184">
        <f t="shared" si="5"/>
        <v>9059.2970164032104</v>
      </c>
      <c r="H37" s="184">
        <f t="shared" si="5"/>
        <v>9059.2970164032104</v>
      </c>
      <c r="I37" s="184">
        <f t="shared" si="5"/>
        <v>0</v>
      </c>
      <c r="J37" s="184">
        <f t="shared" si="5"/>
        <v>0</v>
      </c>
      <c r="K37" s="184">
        <f t="shared" si="5"/>
        <v>0</v>
      </c>
      <c r="L37" s="184">
        <f t="shared" si="5"/>
        <v>0</v>
      </c>
      <c r="M37" s="184">
        <f t="shared" si="5"/>
        <v>0</v>
      </c>
      <c r="N37" s="184">
        <f t="shared" si="5"/>
        <v>0</v>
      </c>
      <c r="O37" s="184">
        <f t="shared" si="5"/>
        <v>0</v>
      </c>
      <c r="P37" s="184">
        <f t="shared" si="5"/>
        <v>0</v>
      </c>
      <c r="Q37" s="184">
        <f t="shared" si="5"/>
        <v>0</v>
      </c>
      <c r="R37" s="184">
        <f t="shared" si="5"/>
        <v>0</v>
      </c>
      <c r="S37" s="184">
        <f t="shared" si="5"/>
        <v>0</v>
      </c>
      <c r="T37" s="184">
        <f t="shared" si="5"/>
        <v>0</v>
      </c>
      <c r="U37" s="184">
        <f t="shared" si="5"/>
        <v>0</v>
      </c>
      <c r="V37" s="184">
        <f t="shared" si="5"/>
        <v>0</v>
      </c>
      <c r="W37" s="184">
        <f t="shared" si="5"/>
        <v>0</v>
      </c>
      <c r="X37" s="184">
        <f t="shared" si="5"/>
        <v>0</v>
      </c>
      <c r="Y37" s="184">
        <f t="shared" si="5"/>
        <v>0</v>
      </c>
      <c r="Z37" s="184">
        <f t="shared" si="5"/>
        <v>0</v>
      </c>
      <c r="AA37" s="184">
        <f t="shared" si="5"/>
        <v>0</v>
      </c>
      <c r="AB37" s="184">
        <f t="shared" si="5"/>
        <v>0</v>
      </c>
    </row>
    <row r="38" spans="2:28" ht="15" thickTop="1" x14ac:dyDescent="0.2">
      <c r="B38" s="212" t="s">
        <v>334</v>
      </c>
      <c r="C38" s="230"/>
      <c r="D38" s="227">
        <f>D36-D37</f>
        <v>17481.731547346433</v>
      </c>
      <c r="E38" s="227">
        <f>E36-E37</f>
        <v>18008.318418800969</v>
      </c>
      <c r="F38" s="227">
        <f t="shared" ref="F38:R38" si="6">F36-F37</f>
        <v>18545.352882900639</v>
      </c>
      <c r="G38" s="227">
        <f t="shared" si="6"/>
        <v>19093.042219120805</v>
      </c>
      <c r="H38" s="227">
        <f t="shared" si="6"/>
        <v>19651.597819287774</v>
      </c>
      <c r="I38" s="227">
        <f t="shared" si="6"/>
        <v>28437.703489448402</v>
      </c>
      <c r="J38" s="227">
        <f t="shared" si="6"/>
        <v>23000.798382870264</v>
      </c>
      <c r="K38" s="227">
        <f t="shared" si="6"/>
        <v>23457.144626156911</v>
      </c>
      <c r="L38" s="227">
        <f t="shared" si="6"/>
        <v>23922.544858537425</v>
      </c>
      <c r="M38" s="227">
        <f t="shared" si="6"/>
        <v>24397.178710195214</v>
      </c>
      <c r="N38" s="227">
        <f t="shared" si="6"/>
        <v>24881.229375106588</v>
      </c>
      <c r="O38" s="227">
        <f t="shared" si="6"/>
        <v>25374.883681744006</v>
      </c>
      <c r="P38" s="227">
        <f t="shared" si="6"/>
        <v>25878.332165181975</v>
      </c>
      <c r="Q38" s="227">
        <f t="shared" si="6"/>
        <v>26391.769140633551</v>
      </c>
      <c r="R38" s="227">
        <f t="shared" si="6"/>
        <v>26915.392778445585</v>
      </c>
      <c r="S38" s="227">
        <f>S36-S37</f>
        <v>27449.40518058198</v>
      </c>
      <c r="T38" s="227">
        <f>T36-T37</f>
        <v>27994.012458624122</v>
      </c>
      <c r="U38" s="227">
        <f>U36-U37</f>
        <v>28549.424813318932</v>
      </c>
      <c r="V38" s="227">
        <f>V36-V37</f>
        <v>29115.856615704892</v>
      </c>
      <c r="W38" s="227">
        <f t="shared" ref="W38:AB38" si="7">W36-W37</f>
        <v>29693.526489847682</v>
      </c>
      <c r="X38" s="227">
        <f t="shared" si="7"/>
        <v>30282.657397217179</v>
      </c>
      <c r="Y38" s="227">
        <f t="shared" si="7"/>
        <v>30883.476722738327</v>
      </c>
      <c r="Z38" s="227">
        <f t="shared" si="7"/>
        <v>31496.216362549239</v>
      </c>
      <c r="AA38" s="227">
        <f t="shared" si="7"/>
        <v>32121.112813500313</v>
      </c>
      <c r="AB38" s="227">
        <f t="shared" si="7"/>
        <v>118960.80211728869</v>
      </c>
    </row>
    <row r="39" spans="2:28" ht="14" x14ac:dyDescent="0.2">
      <c r="B39" s="210"/>
      <c r="C39" s="230"/>
      <c r="D39" s="227"/>
      <c r="E39" s="227"/>
      <c r="F39" s="227"/>
      <c r="G39" s="227"/>
      <c r="H39" s="227"/>
      <c r="I39" s="227"/>
      <c r="J39" s="227"/>
      <c r="K39" s="227"/>
      <c r="L39" s="227"/>
      <c r="M39" s="227"/>
      <c r="N39" s="227"/>
      <c r="O39" s="227"/>
      <c r="P39" s="227"/>
      <c r="Q39" s="227"/>
      <c r="R39" s="227"/>
      <c r="S39" s="227"/>
      <c r="T39" s="227"/>
      <c r="U39" s="227"/>
      <c r="V39" s="227"/>
      <c r="W39" s="227"/>
      <c r="X39" s="227"/>
      <c r="Y39" s="227"/>
      <c r="Z39" s="227"/>
      <c r="AA39" s="227"/>
      <c r="AB39" s="227"/>
    </row>
    <row r="40" spans="2:28" ht="15" thickBot="1" x14ac:dyDescent="0.25">
      <c r="B40" s="210" t="s">
        <v>335</v>
      </c>
      <c r="C40" s="231"/>
      <c r="D40" s="184">
        <f t="shared" ref="D40:AB40" si="8">IF(D35&gt;Time_Based_Flip_Target_Year,0,Mgt._Fee__Share__of_Remaining_Cash_Flow*D38)</f>
        <v>15733.558392611791</v>
      </c>
      <c r="E40" s="184">
        <f t="shared" si="8"/>
        <v>16207.486576920872</v>
      </c>
      <c r="F40" s="184">
        <f t="shared" si="8"/>
        <v>16690.817594610577</v>
      </c>
      <c r="G40" s="184">
        <f t="shared" si="8"/>
        <v>17183.737997208726</v>
      </c>
      <c r="H40" s="184">
        <f t="shared" si="8"/>
        <v>17686.438037358996</v>
      </c>
      <c r="I40" s="184">
        <f t="shared" si="8"/>
        <v>0</v>
      </c>
      <c r="J40" s="184">
        <f t="shared" si="8"/>
        <v>0</v>
      </c>
      <c r="K40" s="184">
        <f t="shared" si="8"/>
        <v>0</v>
      </c>
      <c r="L40" s="184">
        <f t="shared" si="8"/>
        <v>0</v>
      </c>
      <c r="M40" s="184">
        <f t="shared" si="8"/>
        <v>0</v>
      </c>
      <c r="N40" s="184">
        <f t="shared" si="8"/>
        <v>0</v>
      </c>
      <c r="O40" s="184">
        <f t="shared" si="8"/>
        <v>0</v>
      </c>
      <c r="P40" s="184">
        <f t="shared" si="8"/>
        <v>0</v>
      </c>
      <c r="Q40" s="184">
        <f t="shared" si="8"/>
        <v>0</v>
      </c>
      <c r="R40" s="184">
        <f t="shared" si="8"/>
        <v>0</v>
      </c>
      <c r="S40" s="184">
        <f t="shared" si="8"/>
        <v>0</v>
      </c>
      <c r="T40" s="184">
        <f t="shared" si="8"/>
        <v>0</v>
      </c>
      <c r="U40" s="184">
        <f t="shared" si="8"/>
        <v>0</v>
      </c>
      <c r="V40" s="184">
        <f t="shared" si="8"/>
        <v>0</v>
      </c>
      <c r="W40" s="184">
        <f t="shared" si="8"/>
        <v>0</v>
      </c>
      <c r="X40" s="184">
        <f t="shared" si="8"/>
        <v>0</v>
      </c>
      <c r="Y40" s="184">
        <f t="shared" si="8"/>
        <v>0</v>
      </c>
      <c r="Z40" s="184">
        <f t="shared" si="8"/>
        <v>0</v>
      </c>
      <c r="AA40" s="184">
        <f t="shared" si="8"/>
        <v>0</v>
      </c>
      <c r="AB40" s="184">
        <f t="shared" si="8"/>
        <v>0</v>
      </c>
    </row>
    <row r="41" spans="2:28" ht="15" thickTop="1" x14ac:dyDescent="0.2">
      <c r="B41" s="212" t="s">
        <v>334</v>
      </c>
      <c r="C41" s="230"/>
      <c r="D41" s="227">
        <f>D38-D40</f>
        <v>1748.1731547346426</v>
      </c>
      <c r="E41" s="227">
        <f>E38-E40</f>
        <v>1800.8318418800973</v>
      </c>
      <c r="F41" s="227">
        <f t="shared" ref="F41:R41" si="9">F38-F40</f>
        <v>1854.5352882900625</v>
      </c>
      <c r="G41" s="227">
        <f t="shared" si="9"/>
        <v>1909.3042219120798</v>
      </c>
      <c r="H41" s="227">
        <f t="shared" si="9"/>
        <v>1965.1597819287781</v>
      </c>
      <c r="I41" s="227">
        <f t="shared" si="9"/>
        <v>28437.703489448402</v>
      </c>
      <c r="J41" s="227">
        <f t="shared" si="9"/>
        <v>23000.798382870264</v>
      </c>
      <c r="K41" s="227">
        <f t="shared" si="9"/>
        <v>23457.144626156911</v>
      </c>
      <c r="L41" s="227">
        <f t="shared" si="9"/>
        <v>23922.544858537425</v>
      </c>
      <c r="M41" s="227">
        <f t="shared" si="9"/>
        <v>24397.178710195214</v>
      </c>
      <c r="N41" s="227">
        <f t="shared" si="9"/>
        <v>24881.229375106588</v>
      </c>
      <c r="O41" s="227">
        <f t="shared" si="9"/>
        <v>25374.883681744006</v>
      </c>
      <c r="P41" s="227">
        <f t="shared" si="9"/>
        <v>25878.332165181975</v>
      </c>
      <c r="Q41" s="227">
        <f t="shared" si="9"/>
        <v>26391.769140633551</v>
      </c>
      <c r="R41" s="227">
        <f t="shared" si="9"/>
        <v>26915.392778445585</v>
      </c>
      <c r="S41" s="227">
        <f>S38-S40</f>
        <v>27449.40518058198</v>
      </c>
      <c r="T41" s="227">
        <f>T38-T40</f>
        <v>27994.012458624122</v>
      </c>
      <c r="U41" s="227">
        <f>U38-U40</f>
        <v>28549.424813318932</v>
      </c>
      <c r="V41" s="227">
        <f>V38-V40</f>
        <v>29115.856615704892</v>
      </c>
      <c r="W41" s="227">
        <f t="shared" ref="W41:AB41" si="10">W38-W40</f>
        <v>29693.526489847682</v>
      </c>
      <c r="X41" s="227">
        <f t="shared" si="10"/>
        <v>30282.657397217179</v>
      </c>
      <c r="Y41" s="227">
        <f t="shared" si="10"/>
        <v>30883.476722738327</v>
      </c>
      <c r="Z41" s="227">
        <f t="shared" si="10"/>
        <v>31496.216362549239</v>
      </c>
      <c r="AA41" s="227">
        <f t="shared" si="10"/>
        <v>32121.112813500313</v>
      </c>
      <c r="AB41" s="227">
        <f t="shared" si="10"/>
        <v>118960.80211728869</v>
      </c>
    </row>
    <row r="42" spans="2:28" ht="14" x14ac:dyDescent="0.2">
      <c r="B42" s="210"/>
      <c r="C42" s="230"/>
      <c r="D42" s="227"/>
      <c r="E42" s="227"/>
      <c r="F42" s="227"/>
      <c r="G42" s="227"/>
      <c r="H42" s="227"/>
      <c r="I42" s="227"/>
      <c r="J42" s="227"/>
      <c r="K42" s="227"/>
      <c r="L42" s="227"/>
      <c r="M42" s="227"/>
      <c r="N42" s="227"/>
      <c r="O42" s="227"/>
      <c r="P42" s="227"/>
      <c r="Q42" s="227"/>
      <c r="R42" s="227"/>
      <c r="S42" s="227"/>
      <c r="T42" s="227"/>
      <c r="U42" s="227"/>
      <c r="V42" s="227"/>
      <c r="W42" s="227"/>
      <c r="X42" s="227"/>
      <c r="Y42" s="227"/>
      <c r="Z42" s="227"/>
      <c r="AA42" s="227"/>
      <c r="AB42" s="227"/>
    </row>
    <row r="43" spans="2:28" ht="14" x14ac:dyDescent="0.2">
      <c r="B43" s="210" t="s">
        <v>336</v>
      </c>
      <c r="C43" s="230"/>
      <c r="D43" s="227">
        <f>D41</f>
        <v>1748.1731547346426</v>
      </c>
      <c r="E43" s="227">
        <f t="shared" ref="E43:R43" si="11">E41</f>
        <v>1800.8318418800973</v>
      </c>
      <c r="F43" s="227">
        <f t="shared" si="11"/>
        <v>1854.5352882900625</v>
      </c>
      <c r="G43" s="227">
        <f t="shared" si="11"/>
        <v>1909.3042219120798</v>
      </c>
      <c r="H43" s="227">
        <f t="shared" si="11"/>
        <v>1965.1597819287781</v>
      </c>
      <c r="I43" s="227">
        <f t="shared" si="11"/>
        <v>28437.703489448402</v>
      </c>
      <c r="J43" s="227">
        <f t="shared" si="11"/>
        <v>23000.798382870264</v>
      </c>
      <c r="K43" s="227">
        <f t="shared" si="11"/>
        <v>23457.144626156911</v>
      </c>
      <c r="L43" s="227">
        <f t="shared" si="11"/>
        <v>23922.544858537425</v>
      </c>
      <c r="M43" s="227">
        <f t="shared" si="11"/>
        <v>24397.178710195214</v>
      </c>
      <c r="N43" s="227">
        <f t="shared" si="11"/>
        <v>24881.229375106588</v>
      </c>
      <c r="O43" s="227">
        <f t="shared" si="11"/>
        <v>25374.883681744006</v>
      </c>
      <c r="P43" s="227">
        <f t="shared" si="11"/>
        <v>25878.332165181975</v>
      </c>
      <c r="Q43" s="227">
        <f t="shared" si="11"/>
        <v>26391.769140633551</v>
      </c>
      <c r="R43" s="227">
        <f t="shared" si="11"/>
        <v>26915.392778445585</v>
      </c>
      <c r="S43" s="227">
        <f>S41</f>
        <v>27449.40518058198</v>
      </c>
      <c r="T43" s="227">
        <f>T41</f>
        <v>27994.012458624122</v>
      </c>
      <c r="U43" s="227">
        <f>U41</f>
        <v>28549.424813318932</v>
      </c>
      <c r="V43" s="227">
        <f>V41</f>
        <v>29115.856615704892</v>
      </c>
      <c r="W43" s="227">
        <f t="shared" ref="W43:AB43" si="12">W41</f>
        <v>29693.526489847682</v>
      </c>
      <c r="X43" s="227">
        <f t="shared" si="12"/>
        <v>30282.657397217179</v>
      </c>
      <c r="Y43" s="227">
        <f t="shared" si="12"/>
        <v>30883.476722738327</v>
      </c>
      <c r="Z43" s="227">
        <f t="shared" si="12"/>
        <v>31496.216362549239</v>
      </c>
      <c r="AA43" s="227">
        <f t="shared" si="12"/>
        <v>32121.112813500313</v>
      </c>
      <c r="AB43" s="227">
        <f t="shared" si="12"/>
        <v>118960.80211728869</v>
      </c>
    </row>
    <row r="44" spans="2:28" ht="14" x14ac:dyDescent="0.2">
      <c r="B44" s="216" t="s">
        <v>337</v>
      </c>
      <c r="C44" s="232"/>
      <c r="D44" s="227">
        <f t="shared" ref="D44:AB44" si="13">D43*IF(D35&gt;Time_Based_Flip_Target_Year,Tax_Equity_Post_Flip_Share,Tax_Equity_Pre_Flip_Share)</f>
        <v>1730.6914231872961</v>
      </c>
      <c r="E44" s="227">
        <f t="shared" si="13"/>
        <v>1782.8235234612962</v>
      </c>
      <c r="F44" s="227">
        <f t="shared" si="13"/>
        <v>1835.9899354071617</v>
      </c>
      <c r="G44" s="227">
        <f t="shared" si="13"/>
        <v>1890.2111796929589</v>
      </c>
      <c r="H44" s="227">
        <f t="shared" si="13"/>
        <v>1945.5081841094902</v>
      </c>
      <c r="I44" s="227">
        <f t="shared" si="13"/>
        <v>1421.8851744724202</v>
      </c>
      <c r="J44" s="227">
        <f t="shared" si="13"/>
        <v>1150.0399191435133</v>
      </c>
      <c r="K44" s="227">
        <f t="shared" si="13"/>
        <v>1172.8572313078455</v>
      </c>
      <c r="L44" s="227">
        <f t="shared" si="13"/>
        <v>1196.1272429268713</v>
      </c>
      <c r="M44" s="227">
        <f t="shared" si="13"/>
        <v>1219.8589355097608</v>
      </c>
      <c r="N44" s="227">
        <f t="shared" si="13"/>
        <v>1244.0614687553295</v>
      </c>
      <c r="O44" s="227">
        <f t="shared" si="13"/>
        <v>1268.7441840872004</v>
      </c>
      <c r="P44" s="227">
        <f t="shared" si="13"/>
        <v>1293.9166082590989</v>
      </c>
      <c r="Q44" s="227">
        <f t="shared" si="13"/>
        <v>1319.5884570316775</v>
      </c>
      <c r="R44" s="227">
        <f t="shared" si="13"/>
        <v>1345.7696389222792</v>
      </c>
      <c r="S44" s="227">
        <f t="shared" si="13"/>
        <v>1372.470259029099</v>
      </c>
      <c r="T44" s="227">
        <f t="shared" si="13"/>
        <v>1399.7006229312062</v>
      </c>
      <c r="U44" s="227">
        <f t="shared" si="13"/>
        <v>1427.4712406659467</v>
      </c>
      <c r="V44" s="227">
        <f t="shared" si="13"/>
        <v>1455.7928307852446</v>
      </c>
      <c r="W44" s="227">
        <f t="shared" si="13"/>
        <v>1484.6763244923841</v>
      </c>
      <c r="X44" s="227">
        <f t="shared" si="13"/>
        <v>1514.132869860859</v>
      </c>
      <c r="Y44" s="227">
        <f t="shared" si="13"/>
        <v>1544.1738361369164</v>
      </c>
      <c r="Z44" s="227">
        <f t="shared" si="13"/>
        <v>1574.810818127462</v>
      </c>
      <c r="AA44" s="227">
        <f t="shared" si="13"/>
        <v>1606.0556406750156</v>
      </c>
      <c r="AB44" s="227">
        <f t="shared" si="13"/>
        <v>5948.0401058644347</v>
      </c>
    </row>
    <row r="45" spans="2:28" ht="14" x14ac:dyDescent="0.2">
      <c r="B45" s="216" t="s">
        <v>338</v>
      </c>
      <c r="C45" s="232"/>
      <c r="D45" s="227">
        <f>D43-D44</f>
        <v>17.481731547346499</v>
      </c>
      <c r="E45" s="227">
        <f>E43-E44</f>
        <v>18.008318418801082</v>
      </c>
      <c r="F45" s="227">
        <f t="shared" ref="F45:R45" si="14">F43-F44</f>
        <v>18.545352882900715</v>
      </c>
      <c r="G45" s="227">
        <f t="shared" si="14"/>
        <v>19.093042219120889</v>
      </c>
      <c r="H45" s="227">
        <f t="shared" si="14"/>
        <v>19.651597819287872</v>
      </c>
      <c r="I45" s="227">
        <f t="shared" si="14"/>
        <v>27015.818314975983</v>
      </c>
      <c r="J45" s="227">
        <f t="shared" si="14"/>
        <v>21850.75846372675</v>
      </c>
      <c r="K45" s="227">
        <f t="shared" si="14"/>
        <v>22284.287394849067</v>
      </c>
      <c r="L45" s="227">
        <f t="shared" si="14"/>
        <v>22726.417615610553</v>
      </c>
      <c r="M45" s="227">
        <f t="shared" si="14"/>
        <v>23177.319774685453</v>
      </c>
      <c r="N45" s="227">
        <f t="shared" si="14"/>
        <v>23637.16790635126</v>
      </c>
      <c r="O45" s="227">
        <f t="shared" si="14"/>
        <v>24106.139497656804</v>
      </c>
      <c r="P45" s="227">
        <f t="shared" si="14"/>
        <v>24584.415556922875</v>
      </c>
      <c r="Q45" s="227">
        <f t="shared" si="14"/>
        <v>25072.180683601873</v>
      </c>
      <c r="R45" s="227">
        <f t="shared" si="14"/>
        <v>25569.623139523304</v>
      </c>
      <c r="S45" s="227">
        <f>S43-S44</f>
        <v>26076.934921552882</v>
      </c>
      <c r="T45" s="227">
        <f>T43-T44</f>
        <v>26594.311835692915</v>
      </c>
      <c r="U45" s="227">
        <f>U43-U44</f>
        <v>27121.953572652987</v>
      </c>
      <c r="V45" s="227">
        <f>V43-V44</f>
        <v>27660.063784919646</v>
      </c>
      <c r="W45" s="227">
        <f t="shared" ref="W45:AB45" si="15">W43-W44</f>
        <v>28208.850165355296</v>
      </c>
      <c r="X45" s="227">
        <f t="shared" si="15"/>
        <v>28768.52452735632</v>
      </c>
      <c r="Y45" s="227">
        <f t="shared" si="15"/>
        <v>29339.30288660141</v>
      </c>
      <c r="Z45" s="227">
        <f t="shared" si="15"/>
        <v>29921.405544421777</v>
      </c>
      <c r="AA45" s="227">
        <f t="shared" si="15"/>
        <v>30515.057172825298</v>
      </c>
      <c r="AB45" s="227">
        <f t="shared" si="15"/>
        <v>113012.76201142426</v>
      </c>
    </row>
    <row r="46" spans="2:28" ht="14" x14ac:dyDescent="0.2">
      <c r="B46" s="210"/>
      <c r="C46" s="230"/>
      <c r="D46" s="227"/>
      <c r="E46" s="227"/>
      <c r="F46" s="227"/>
      <c r="G46" s="227"/>
      <c r="H46" s="227"/>
      <c r="I46" s="227"/>
      <c r="J46" s="227"/>
      <c r="K46" s="227"/>
      <c r="L46" s="227"/>
      <c r="M46" s="227"/>
      <c r="N46" s="227"/>
      <c r="O46" s="227"/>
      <c r="P46" s="227"/>
      <c r="Q46" s="227"/>
      <c r="R46" s="227"/>
      <c r="S46" s="227"/>
      <c r="T46" s="227"/>
      <c r="U46" s="227"/>
      <c r="V46" s="227"/>
      <c r="W46" s="227"/>
      <c r="X46" s="227"/>
      <c r="Y46" s="227"/>
      <c r="Z46" s="227"/>
      <c r="AA46" s="227"/>
      <c r="AB46" s="227"/>
    </row>
    <row r="47" spans="2:28" ht="14" x14ac:dyDescent="0.2">
      <c r="B47" s="211" t="s">
        <v>339</v>
      </c>
      <c r="C47" s="230"/>
      <c r="D47" s="227"/>
      <c r="E47" s="227"/>
      <c r="F47" s="227"/>
      <c r="G47" s="227"/>
      <c r="H47" s="227"/>
      <c r="I47" s="227"/>
      <c r="J47" s="227"/>
      <c r="K47" s="227"/>
      <c r="L47" s="227"/>
      <c r="M47" s="227"/>
      <c r="N47" s="227"/>
      <c r="O47" s="227"/>
      <c r="P47" s="227"/>
      <c r="Q47" s="227"/>
      <c r="R47" s="227"/>
      <c r="S47" s="227"/>
      <c r="T47" s="227"/>
      <c r="U47" s="227"/>
      <c r="V47" s="227"/>
      <c r="W47" s="227"/>
      <c r="X47" s="227"/>
      <c r="Y47" s="227"/>
      <c r="Z47" s="227"/>
      <c r="AA47" s="227"/>
      <c r="AB47" s="227"/>
    </row>
    <row r="48" spans="2:28" ht="14" x14ac:dyDescent="0.2">
      <c r="B48" s="216" t="s">
        <v>337</v>
      </c>
      <c r="C48" s="232"/>
      <c r="D48" s="227">
        <f>SUM(D37,D44)</f>
        <v>10789.988439590506</v>
      </c>
      <c r="E48" s="227">
        <f t="shared" ref="E48:R48" si="16">SUM(E37,E44)</f>
        <v>10842.120539864507</v>
      </c>
      <c r="F48" s="227">
        <f t="shared" si="16"/>
        <v>10895.286951810373</v>
      </c>
      <c r="G48" s="227">
        <f t="shared" si="16"/>
        <v>10949.508196096169</v>
      </c>
      <c r="H48" s="227">
        <f t="shared" si="16"/>
        <v>11004.805200512701</v>
      </c>
      <c r="I48" s="227">
        <f t="shared" si="16"/>
        <v>1421.8851744724202</v>
      </c>
      <c r="J48" s="227">
        <f t="shared" si="16"/>
        <v>1150.0399191435133</v>
      </c>
      <c r="K48" s="227">
        <f t="shared" si="16"/>
        <v>1172.8572313078455</v>
      </c>
      <c r="L48" s="227">
        <f t="shared" si="16"/>
        <v>1196.1272429268713</v>
      </c>
      <c r="M48" s="227">
        <f t="shared" si="16"/>
        <v>1219.8589355097608</v>
      </c>
      <c r="N48" s="227">
        <f t="shared" si="16"/>
        <v>1244.0614687553295</v>
      </c>
      <c r="O48" s="227">
        <f t="shared" si="16"/>
        <v>1268.7441840872004</v>
      </c>
      <c r="P48" s="227">
        <f t="shared" si="16"/>
        <v>1293.9166082590989</v>
      </c>
      <c r="Q48" s="227">
        <f t="shared" si="16"/>
        <v>1319.5884570316775</v>
      </c>
      <c r="R48" s="227">
        <f t="shared" si="16"/>
        <v>1345.7696389222792</v>
      </c>
      <c r="S48" s="227">
        <f>SUM(S37,S44)</f>
        <v>1372.470259029099</v>
      </c>
      <c r="T48" s="227">
        <f>SUM(T37,T44)</f>
        <v>1399.7006229312062</v>
      </c>
      <c r="U48" s="227">
        <f>SUM(U37,U44)</f>
        <v>1427.4712406659467</v>
      </c>
      <c r="V48" s="227">
        <f>SUM(V37,V44)</f>
        <v>1455.7928307852446</v>
      </c>
      <c r="W48" s="227">
        <f t="shared" ref="W48:AB48" si="17">SUM(W37,W44)</f>
        <v>1484.6763244923841</v>
      </c>
      <c r="X48" s="227">
        <f t="shared" si="17"/>
        <v>1514.132869860859</v>
      </c>
      <c r="Y48" s="227">
        <f t="shared" si="17"/>
        <v>1544.1738361369164</v>
      </c>
      <c r="Z48" s="227">
        <f t="shared" si="17"/>
        <v>1574.810818127462</v>
      </c>
      <c r="AA48" s="227">
        <f t="shared" si="17"/>
        <v>1606.0556406750156</v>
      </c>
      <c r="AB48" s="227">
        <f t="shared" si="17"/>
        <v>5948.0401058644347</v>
      </c>
    </row>
    <row r="49" spans="2:28" ht="15" thickBot="1" x14ac:dyDescent="0.25">
      <c r="B49" s="216" t="s">
        <v>340</v>
      </c>
      <c r="C49" s="232"/>
      <c r="D49" s="184">
        <f>SUM(D40,D45)</f>
        <v>15751.040124159137</v>
      </c>
      <c r="E49" s="184">
        <f t="shared" ref="E49:R49" si="18">SUM(E40,E45)</f>
        <v>16225.494895339672</v>
      </c>
      <c r="F49" s="184">
        <f t="shared" si="18"/>
        <v>16709.362947493479</v>
      </c>
      <c r="G49" s="184">
        <f t="shared" si="18"/>
        <v>17202.831039427845</v>
      </c>
      <c r="H49" s="184">
        <f t="shared" si="18"/>
        <v>17706.089635178283</v>
      </c>
      <c r="I49" s="184">
        <f t="shared" si="18"/>
        <v>27015.818314975983</v>
      </c>
      <c r="J49" s="184">
        <f t="shared" si="18"/>
        <v>21850.75846372675</v>
      </c>
      <c r="K49" s="184">
        <f t="shared" si="18"/>
        <v>22284.287394849067</v>
      </c>
      <c r="L49" s="184">
        <f t="shared" si="18"/>
        <v>22726.417615610553</v>
      </c>
      <c r="M49" s="184">
        <f t="shared" si="18"/>
        <v>23177.319774685453</v>
      </c>
      <c r="N49" s="184">
        <f t="shared" si="18"/>
        <v>23637.16790635126</v>
      </c>
      <c r="O49" s="184">
        <f t="shared" si="18"/>
        <v>24106.139497656804</v>
      </c>
      <c r="P49" s="184">
        <f t="shared" si="18"/>
        <v>24584.415556922875</v>
      </c>
      <c r="Q49" s="184">
        <f t="shared" si="18"/>
        <v>25072.180683601873</v>
      </c>
      <c r="R49" s="184">
        <f t="shared" si="18"/>
        <v>25569.623139523304</v>
      </c>
      <c r="S49" s="184">
        <f>SUM(S40,S45)</f>
        <v>26076.934921552882</v>
      </c>
      <c r="T49" s="184">
        <f>SUM(T40,T45)</f>
        <v>26594.311835692915</v>
      </c>
      <c r="U49" s="184">
        <f>SUM(U40,U45)</f>
        <v>27121.953572652987</v>
      </c>
      <c r="V49" s="184">
        <f>SUM(V40,V45)</f>
        <v>27660.063784919646</v>
      </c>
      <c r="W49" s="184">
        <f t="shared" ref="W49:AB49" si="19">SUM(W40,W45)</f>
        <v>28208.850165355296</v>
      </c>
      <c r="X49" s="184">
        <f t="shared" si="19"/>
        <v>28768.52452735632</v>
      </c>
      <c r="Y49" s="184">
        <f t="shared" si="19"/>
        <v>29339.30288660141</v>
      </c>
      <c r="Z49" s="184">
        <f t="shared" si="19"/>
        <v>29921.405544421777</v>
      </c>
      <c r="AA49" s="184">
        <f t="shared" si="19"/>
        <v>30515.057172825298</v>
      </c>
      <c r="AB49" s="184">
        <f t="shared" si="19"/>
        <v>113012.76201142426</v>
      </c>
    </row>
    <row r="50" spans="2:28" ht="15" thickTop="1" x14ac:dyDescent="0.2">
      <c r="B50" s="217" t="s">
        <v>341</v>
      </c>
      <c r="C50" s="191"/>
      <c r="D50" s="186">
        <f>D48+D49</f>
        <v>26541.028563749642</v>
      </c>
      <c r="E50" s="186">
        <f>E48+E49</f>
        <v>27067.615435204178</v>
      </c>
      <c r="F50" s="186">
        <f t="shared" ref="F50:R50" si="20">F48+F49</f>
        <v>27604.649899303851</v>
      </c>
      <c r="G50" s="186">
        <f t="shared" si="20"/>
        <v>28152.339235524014</v>
      </c>
      <c r="H50" s="186">
        <f t="shared" si="20"/>
        <v>28710.894835690982</v>
      </c>
      <c r="I50" s="186">
        <f t="shared" si="20"/>
        <v>28437.703489448402</v>
      </c>
      <c r="J50" s="186">
        <f t="shared" si="20"/>
        <v>23000.798382870264</v>
      </c>
      <c r="K50" s="186">
        <f t="shared" si="20"/>
        <v>23457.144626156911</v>
      </c>
      <c r="L50" s="186">
        <f t="shared" si="20"/>
        <v>23922.544858537425</v>
      </c>
      <c r="M50" s="186">
        <f t="shared" si="20"/>
        <v>24397.178710195214</v>
      </c>
      <c r="N50" s="186">
        <f t="shared" si="20"/>
        <v>24881.229375106588</v>
      </c>
      <c r="O50" s="186">
        <f t="shared" si="20"/>
        <v>25374.883681744006</v>
      </c>
      <c r="P50" s="186">
        <f t="shared" si="20"/>
        <v>25878.332165181975</v>
      </c>
      <c r="Q50" s="186">
        <f t="shared" si="20"/>
        <v>26391.769140633551</v>
      </c>
      <c r="R50" s="186">
        <f t="shared" si="20"/>
        <v>26915.392778445585</v>
      </c>
      <c r="S50" s="186">
        <f>S48+S49</f>
        <v>27449.40518058198</v>
      </c>
      <c r="T50" s="186">
        <f>T48+T49</f>
        <v>27994.012458624122</v>
      </c>
      <c r="U50" s="186">
        <f>U48+U49</f>
        <v>28549.424813318932</v>
      </c>
      <c r="V50" s="186">
        <f>V48+V49</f>
        <v>29115.856615704892</v>
      </c>
      <c r="W50" s="186">
        <f t="shared" ref="W50:AB50" si="21">W48+W49</f>
        <v>29693.526489847682</v>
      </c>
      <c r="X50" s="186">
        <f t="shared" si="21"/>
        <v>30282.657397217179</v>
      </c>
      <c r="Y50" s="186">
        <f t="shared" si="21"/>
        <v>30883.476722738327</v>
      </c>
      <c r="Z50" s="186">
        <f t="shared" si="21"/>
        <v>31496.216362549239</v>
      </c>
      <c r="AA50" s="186">
        <f t="shared" si="21"/>
        <v>32121.112813500313</v>
      </c>
      <c r="AB50" s="186">
        <f t="shared" si="21"/>
        <v>118960.80211728869</v>
      </c>
    </row>
    <row r="51" spans="2:28" ht="14" x14ac:dyDescent="0.2">
      <c r="D51" s="12"/>
      <c r="E51" s="12"/>
      <c r="F51" s="12"/>
      <c r="G51" s="12"/>
      <c r="H51" s="12"/>
      <c r="I51" s="12"/>
      <c r="J51" s="12"/>
      <c r="K51" s="12"/>
      <c r="L51" s="12"/>
      <c r="M51" s="12"/>
      <c r="N51" s="12"/>
      <c r="O51" s="12"/>
      <c r="P51" s="12"/>
      <c r="Q51" s="12"/>
      <c r="R51" s="12"/>
      <c r="S51" s="12"/>
      <c r="T51" s="12"/>
      <c r="U51" s="12"/>
      <c r="V51" s="12"/>
      <c r="W51" s="12"/>
      <c r="X51" s="12"/>
      <c r="Y51" s="12"/>
      <c r="Z51" s="12"/>
      <c r="AA51" s="12"/>
      <c r="AB51" s="12"/>
    </row>
    <row r="52" spans="2:28" ht="14" x14ac:dyDescent="0.2">
      <c r="D52" s="12"/>
      <c r="E52" s="12"/>
      <c r="F52" s="12"/>
      <c r="G52" s="12"/>
      <c r="H52" s="12"/>
      <c r="I52" s="12"/>
      <c r="J52" s="12"/>
      <c r="K52" s="12"/>
      <c r="L52" s="12"/>
      <c r="M52" s="12"/>
      <c r="N52" s="12"/>
      <c r="O52" s="12"/>
      <c r="P52" s="12"/>
      <c r="Q52" s="12"/>
      <c r="R52" s="12"/>
      <c r="S52" s="12"/>
      <c r="T52" s="12"/>
      <c r="U52" s="12"/>
      <c r="V52" s="12"/>
      <c r="W52" s="12"/>
      <c r="X52" s="12"/>
      <c r="Y52" s="12"/>
      <c r="Z52" s="12"/>
      <c r="AA52" s="12"/>
      <c r="AB52" s="12"/>
    </row>
    <row r="53" spans="2:28" ht="16" x14ac:dyDescent="0.2">
      <c r="B53" s="584" t="s">
        <v>342</v>
      </c>
      <c r="C53" s="584"/>
      <c r="D53" s="12"/>
      <c r="E53" s="12"/>
      <c r="F53" s="12"/>
      <c r="G53" s="12"/>
      <c r="H53" s="12"/>
      <c r="I53" s="12"/>
      <c r="J53" s="12"/>
      <c r="K53" s="12"/>
      <c r="L53" s="12"/>
      <c r="M53" s="12"/>
      <c r="N53" s="12"/>
      <c r="O53" s="12"/>
      <c r="P53" s="12"/>
      <c r="Q53" s="12"/>
      <c r="R53" s="12"/>
      <c r="S53" s="12"/>
      <c r="T53" s="12"/>
      <c r="U53" s="12"/>
      <c r="V53" s="12"/>
      <c r="W53" s="12"/>
      <c r="X53" s="12"/>
      <c r="Y53" s="12"/>
      <c r="Z53" s="12"/>
      <c r="AA53" s="12"/>
      <c r="AB53" s="12"/>
    </row>
    <row r="54" spans="2:28" ht="14" x14ac:dyDescent="0.2">
      <c r="B54" s="203" t="s">
        <v>286</v>
      </c>
      <c r="C54" s="204">
        <v>0</v>
      </c>
      <c r="D54" s="205">
        <v>1</v>
      </c>
      <c r="E54" s="206">
        <v>2</v>
      </c>
      <c r="F54" s="206">
        <v>3</v>
      </c>
      <c r="G54" s="205">
        <v>4</v>
      </c>
      <c r="H54" s="206">
        <v>5</v>
      </c>
      <c r="I54" s="206">
        <v>6</v>
      </c>
      <c r="J54" s="205">
        <v>7</v>
      </c>
      <c r="K54" s="206">
        <v>8</v>
      </c>
      <c r="L54" s="206">
        <v>9</v>
      </c>
      <c r="M54" s="205">
        <v>10</v>
      </c>
      <c r="N54" s="206">
        <v>11</v>
      </c>
      <c r="O54" s="206">
        <v>12</v>
      </c>
      <c r="P54" s="205">
        <v>13</v>
      </c>
      <c r="Q54" s="206">
        <v>14</v>
      </c>
      <c r="R54" s="206">
        <v>15</v>
      </c>
      <c r="S54" s="206">
        <v>16</v>
      </c>
      <c r="T54" s="206">
        <v>17</v>
      </c>
      <c r="U54" s="206">
        <v>18</v>
      </c>
      <c r="V54" s="206">
        <v>19</v>
      </c>
      <c r="W54" s="206">
        <v>20</v>
      </c>
      <c r="X54" s="206">
        <v>21</v>
      </c>
      <c r="Y54" s="206">
        <v>22</v>
      </c>
      <c r="Z54" s="206">
        <v>23</v>
      </c>
      <c r="AA54" s="206">
        <v>24</v>
      </c>
      <c r="AB54" s="206">
        <v>25</v>
      </c>
    </row>
    <row r="55" spans="2:28" ht="14" x14ac:dyDescent="0.2">
      <c r="B55" s="218" t="s">
        <v>343</v>
      </c>
      <c r="C55" s="192"/>
      <c r="D55" s="183"/>
      <c r="E55" s="183"/>
      <c r="F55" s="183"/>
      <c r="G55" s="183"/>
      <c r="H55" s="183"/>
      <c r="I55" s="183"/>
      <c r="J55" s="183"/>
      <c r="K55" s="183"/>
      <c r="L55" s="183"/>
      <c r="M55" s="183"/>
      <c r="N55" s="183"/>
      <c r="O55" s="183"/>
      <c r="P55" s="183"/>
      <c r="Q55" s="183"/>
      <c r="R55" s="183"/>
      <c r="S55" s="183"/>
      <c r="T55" s="183"/>
      <c r="U55" s="183"/>
      <c r="V55" s="183"/>
      <c r="W55" s="183"/>
      <c r="X55" s="183"/>
      <c r="Y55" s="183"/>
      <c r="Z55" s="183"/>
      <c r="AA55" s="183"/>
      <c r="AB55" s="183"/>
    </row>
    <row r="56" spans="2:28" ht="14" x14ac:dyDescent="0.2">
      <c r="B56" s="210" t="s">
        <v>344</v>
      </c>
      <c r="C56" s="227">
        <f>-Tax_Equity_Investment_Share*Project_Sale_Price</f>
        <v>-258837.05761152023</v>
      </c>
      <c r="D56" s="227">
        <f t="shared" ref="D56:V56" si="22">D48</f>
        <v>10789.988439590506</v>
      </c>
      <c r="E56" s="227">
        <f t="shared" si="22"/>
        <v>10842.120539864507</v>
      </c>
      <c r="F56" s="227">
        <f t="shared" si="22"/>
        <v>10895.286951810373</v>
      </c>
      <c r="G56" s="227">
        <f t="shared" si="22"/>
        <v>10949.508196096169</v>
      </c>
      <c r="H56" s="227">
        <f t="shared" si="22"/>
        <v>11004.805200512701</v>
      </c>
      <c r="I56" s="227">
        <f t="shared" si="22"/>
        <v>1421.8851744724202</v>
      </c>
      <c r="J56" s="227">
        <f t="shared" si="22"/>
        <v>1150.0399191435133</v>
      </c>
      <c r="K56" s="227">
        <f t="shared" si="22"/>
        <v>1172.8572313078455</v>
      </c>
      <c r="L56" s="227">
        <f t="shared" si="22"/>
        <v>1196.1272429268713</v>
      </c>
      <c r="M56" s="227">
        <f t="shared" si="22"/>
        <v>1219.8589355097608</v>
      </c>
      <c r="N56" s="227">
        <f t="shared" si="22"/>
        <v>1244.0614687553295</v>
      </c>
      <c r="O56" s="227">
        <f t="shared" si="22"/>
        <v>1268.7441840872004</v>
      </c>
      <c r="P56" s="227">
        <f t="shared" si="22"/>
        <v>1293.9166082590989</v>
      </c>
      <c r="Q56" s="227">
        <f t="shared" si="22"/>
        <v>1319.5884570316775</v>
      </c>
      <c r="R56" s="227">
        <f t="shared" si="22"/>
        <v>1345.7696389222792</v>
      </c>
      <c r="S56" s="227">
        <f t="shared" si="22"/>
        <v>1372.470259029099</v>
      </c>
      <c r="T56" s="227">
        <f t="shared" si="22"/>
        <v>1399.7006229312062</v>
      </c>
      <c r="U56" s="227">
        <f t="shared" si="22"/>
        <v>1427.4712406659467</v>
      </c>
      <c r="V56" s="227">
        <f t="shared" si="22"/>
        <v>1455.7928307852446</v>
      </c>
      <c r="W56" s="227">
        <f t="shared" ref="W56:AB56" si="23">W48</f>
        <v>1484.6763244923841</v>
      </c>
      <c r="X56" s="227">
        <f t="shared" si="23"/>
        <v>1514.132869860859</v>
      </c>
      <c r="Y56" s="227">
        <f t="shared" si="23"/>
        <v>1544.1738361369164</v>
      </c>
      <c r="Z56" s="227">
        <f t="shared" si="23"/>
        <v>1574.810818127462</v>
      </c>
      <c r="AA56" s="227">
        <f t="shared" si="23"/>
        <v>1606.0556406750156</v>
      </c>
      <c r="AB56" s="227">
        <f t="shared" si="23"/>
        <v>5948.0401058644347</v>
      </c>
    </row>
    <row r="57" spans="2:28" ht="15" thickBot="1" x14ac:dyDescent="0.25">
      <c r="B57" s="210" t="s">
        <v>345</v>
      </c>
      <c r="C57" s="227"/>
      <c r="D57" s="184">
        <f t="shared" ref="D57:AB57" si="24">IF(D54&gt;Time_Based_Flip_Target_Year,Tax_Equity_Post_Flip_Share,Tax_Equity_Pre_Flip_Share)*D31</f>
        <v>169558.05792256061</v>
      </c>
      <c r="E57" s="184">
        <f t="shared" si="24"/>
        <v>26207.45743091527</v>
      </c>
      <c r="F57" s="184">
        <f t="shared" si="24"/>
        <v>13139.685907193218</v>
      </c>
      <c r="G57" s="184">
        <f t="shared" si="24"/>
        <v>5247.73958308075</v>
      </c>
      <c r="H57" s="184">
        <f t="shared" si="24"/>
        <v>5120.6947154337731</v>
      </c>
      <c r="I57" s="184">
        <f t="shared" si="24"/>
        <v>0</v>
      </c>
      <c r="J57" s="184">
        <f t="shared" si="24"/>
        <v>0</v>
      </c>
      <c r="K57" s="184">
        <f t="shared" si="24"/>
        <v>0</v>
      </c>
      <c r="L57" s="184">
        <f t="shared" si="24"/>
        <v>0</v>
      </c>
      <c r="M57" s="184">
        <f t="shared" si="24"/>
        <v>0</v>
      </c>
      <c r="N57" s="184">
        <f t="shared" si="24"/>
        <v>0</v>
      </c>
      <c r="O57" s="184">
        <f t="shared" si="24"/>
        <v>0</v>
      </c>
      <c r="P57" s="184">
        <f t="shared" si="24"/>
        <v>0</v>
      </c>
      <c r="Q57" s="184">
        <f t="shared" si="24"/>
        <v>0</v>
      </c>
      <c r="R57" s="184">
        <f t="shared" si="24"/>
        <v>0</v>
      </c>
      <c r="S57" s="184">
        <f t="shared" si="24"/>
        <v>0</v>
      </c>
      <c r="T57" s="184">
        <f t="shared" si="24"/>
        <v>0</v>
      </c>
      <c r="U57" s="184">
        <f t="shared" si="24"/>
        <v>0</v>
      </c>
      <c r="V57" s="184">
        <f t="shared" si="24"/>
        <v>0</v>
      </c>
      <c r="W57" s="184">
        <f t="shared" si="24"/>
        <v>0</v>
      </c>
      <c r="X57" s="184">
        <f t="shared" si="24"/>
        <v>0</v>
      </c>
      <c r="Y57" s="184">
        <f t="shared" si="24"/>
        <v>0</v>
      </c>
      <c r="Z57" s="184">
        <f t="shared" si="24"/>
        <v>0</v>
      </c>
      <c r="AA57" s="184">
        <f t="shared" si="24"/>
        <v>0</v>
      </c>
      <c r="AB57" s="184">
        <f t="shared" si="24"/>
        <v>0</v>
      </c>
    </row>
    <row r="58" spans="2:28" ht="15" thickTop="1" x14ac:dyDescent="0.2">
      <c r="B58" s="210" t="s">
        <v>346</v>
      </c>
      <c r="C58" s="227">
        <f>C56</f>
        <v>-258837.05761152023</v>
      </c>
      <c r="D58" s="227">
        <f>D56+D57</f>
        <v>180348.0463621511</v>
      </c>
      <c r="E58" s="227">
        <f t="shared" ref="E58:R58" si="25">E56+E57</f>
        <v>37049.577970779777</v>
      </c>
      <c r="F58" s="227">
        <f t="shared" si="25"/>
        <v>24034.972859003588</v>
      </c>
      <c r="G58" s="227">
        <f t="shared" si="25"/>
        <v>16197.24777917692</v>
      </c>
      <c r="H58" s="227">
        <f t="shared" si="25"/>
        <v>16125.499915946475</v>
      </c>
      <c r="I58" s="227">
        <f t="shared" si="25"/>
        <v>1421.8851744724202</v>
      </c>
      <c r="J58" s="227">
        <f t="shared" si="25"/>
        <v>1150.0399191435133</v>
      </c>
      <c r="K58" s="227">
        <f t="shared" si="25"/>
        <v>1172.8572313078455</v>
      </c>
      <c r="L58" s="227">
        <f>L56+L57</f>
        <v>1196.1272429268713</v>
      </c>
      <c r="M58" s="227">
        <f t="shared" si="25"/>
        <v>1219.8589355097608</v>
      </c>
      <c r="N58" s="227">
        <f t="shared" si="25"/>
        <v>1244.0614687553295</v>
      </c>
      <c r="O58" s="227">
        <f t="shared" si="25"/>
        <v>1268.7441840872004</v>
      </c>
      <c r="P58" s="227">
        <f t="shared" si="25"/>
        <v>1293.9166082590989</v>
      </c>
      <c r="Q58" s="227">
        <f t="shared" si="25"/>
        <v>1319.5884570316775</v>
      </c>
      <c r="R58" s="227">
        <f t="shared" si="25"/>
        <v>1345.7696389222792</v>
      </c>
      <c r="S58" s="227">
        <f>S56+S57</f>
        <v>1372.470259029099</v>
      </c>
      <c r="T58" s="227">
        <f>T56+T57</f>
        <v>1399.7006229312062</v>
      </c>
      <c r="U58" s="227">
        <f>U56+U57</f>
        <v>1427.4712406659467</v>
      </c>
      <c r="V58" s="227">
        <f>V56+V57</f>
        <v>1455.7928307852446</v>
      </c>
      <c r="W58" s="227">
        <f t="shared" ref="W58:AB58" si="26">W56+W57</f>
        <v>1484.6763244923841</v>
      </c>
      <c r="X58" s="227">
        <f t="shared" si="26"/>
        <v>1514.132869860859</v>
      </c>
      <c r="Y58" s="227">
        <f t="shared" si="26"/>
        <v>1544.1738361369164</v>
      </c>
      <c r="Z58" s="227">
        <f t="shared" si="26"/>
        <v>1574.810818127462</v>
      </c>
      <c r="AA58" s="227">
        <f t="shared" si="26"/>
        <v>1606.0556406750156</v>
      </c>
      <c r="AB58" s="227">
        <f t="shared" si="26"/>
        <v>5948.0401058644347</v>
      </c>
    </row>
    <row r="59" spans="2:28" ht="14" x14ac:dyDescent="0.2">
      <c r="B59" s="210" t="s">
        <v>382</v>
      </c>
      <c r="C59" s="207">
        <v>0</v>
      </c>
      <c r="D59" s="207">
        <f>IFERROR(IRR($C58:D$58),0)</f>
        <v>-0.30323714839615679</v>
      </c>
      <c r="E59" s="207">
        <f>IFERROR(IRR($C58:E$58),0)</f>
        <v>-0.13731493530996142</v>
      </c>
      <c r="F59" s="207">
        <f>IFERROR(IRR($C58:F$58),0)</f>
        <v>-4.9764145919618197E-2</v>
      </c>
      <c r="G59" s="207">
        <f>IFERROR(IRR($C58:G$58),0)</f>
        <v>-3.0703453140937809E-3</v>
      </c>
      <c r="H59" s="207">
        <f>IFERROR(IRR($C58:H$58),0)</f>
        <v>3.3494402144218061E-2</v>
      </c>
      <c r="I59" s="207">
        <f>IFERROR(IRR($C58:I$58),0)</f>
        <v>3.6239501044619482E-2</v>
      </c>
      <c r="J59" s="207">
        <f>IFERROR(IRR($C58:J$58),0)</f>
        <v>3.8335906022767929E-2</v>
      </c>
      <c r="K59" s="207">
        <f>IFERROR(IRR($C58:K$58),0)</f>
        <v>4.0349078060896604E-2</v>
      </c>
      <c r="L59" s="207">
        <f>IFERROR(IRR($C58:L$58),0)</f>
        <v>4.2273477122362291E-2</v>
      </c>
      <c r="M59" s="207">
        <f>IFERROR(IRR($C58:M$58),0)</f>
        <v>4.4105548394669514E-2</v>
      </c>
      <c r="N59" s="207">
        <f>IFERROR(IRR($C58:N$58),0)</f>
        <v>4.5843517439827952E-2</v>
      </c>
      <c r="O59" s="207">
        <f>IFERROR(IRR($C58:O$58),0)</f>
        <v>4.7487145014354359E-2</v>
      </c>
      <c r="P59" s="207">
        <f>IFERROR(IRR($C58:P$58),0)</f>
        <v>4.9037467121529232E-2</v>
      </c>
      <c r="Q59" s="207">
        <f>IFERROR(IRR($C58:Q$58),0)</f>
        <v>5.049653992286629E-2</v>
      </c>
      <c r="R59" s="207">
        <f>IFERROR(IRR($C58:R$58),0)</f>
        <v>5.1867202973298276E-2</v>
      </c>
      <c r="S59" s="207">
        <f>IFERROR(IRR($C58:S$58),0)</f>
        <v>5.3152868755801164E-2</v>
      </c>
      <c r="T59" s="207">
        <f>IFERROR(IRR($C58:T$58),0)</f>
        <v>5.4357342112846263E-2</v>
      </c>
      <c r="U59" s="207">
        <f>IFERROR(IRR($C58:U$58),0)</f>
        <v>5.5484669997979186E-2</v>
      </c>
      <c r="V59" s="207">
        <f>IFERROR(IRR($C58:V$58),0)</f>
        <v>5.6539019887511088E-2</v>
      </c>
      <c r="W59" s="207">
        <f>IFERROR(IRR($C58:W$58),0)</f>
        <v>5.7524583990633982E-2</v>
      </c>
      <c r="X59" s="207">
        <f>IFERROR(IRR($C58:X$58),0)</f>
        <v>5.8445505846809631E-2</v>
      </c>
      <c r="Y59" s="207">
        <f>IFERROR(IRR($C58:Y$58),0)</f>
        <v>5.9305825794696787E-2</v>
      </c>
      <c r="Z59" s="207">
        <f>IFERROR(IRR($C58:Z$58),0)</f>
        <v>6.0109441969837585E-2</v>
      </c>
      <c r="AA59" s="207">
        <f>IFERROR(IRR($C58:AA$58),0)</f>
        <v>6.0860083814472388E-2</v>
      </c>
      <c r="AB59" s="207">
        <f>IFERROR(IRR($C58:AB$58),0)</f>
        <v>6.3317578140426711E-2</v>
      </c>
    </row>
    <row r="60" spans="2:28" ht="14" x14ac:dyDescent="0.2">
      <c r="B60" s="210" t="s">
        <v>98</v>
      </c>
      <c r="C60" s="227">
        <f>C58</f>
        <v>-258837.05761152023</v>
      </c>
      <c r="D60" s="227">
        <f>C60+D58</f>
        <v>-78489.011249369127</v>
      </c>
      <c r="E60" s="227">
        <f t="shared" ref="E60:R60" si="27">D60+E58</f>
        <v>-41439.433278589349</v>
      </c>
      <c r="F60" s="227">
        <f t="shared" si="27"/>
        <v>-17404.460419585761</v>
      </c>
      <c r="G60" s="227">
        <f t="shared" si="27"/>
        <v>-1207.2126404088413</v>
      </c>
      <c r="H60" s="227">
        <f t="shared" si="27"/>
        <v>14918.287275537634</v>
      </c>
      <c r="I60" s="227">
        <f t="shared" si="27"/>
        <v>16340.172450010054</v>
      </c>
      <c r="J60" s="227">
        <f t="shared" si="27"/>
        <v>17490.212369153567</v>
      </c>
      <c r="K60" s="227">
        <f t="shared" si="27"/>
        <v>18663.069600461411</v>
      </c>
      <c r="L60" s="227">
        <f t="shared" si="27"/>
        <v>19859.196843388283</v>
      </c>
      <c r="M60" s="227">
        <f t="shared" si="27"/>
        <v>21079.055778898044</v>
      </c>
      <c r="N60" s="227">
        <f t="shared" si="27"/>
        <v>22323.117247653372</v>
      </c>
      <c r="O60" s="227">
        <f t="shared" si="27"/>
        <v>23591.861431740574</v>
      </c>
      <c r="P60" s="227">
        <f t="shared" si="27"/>
        <v>24885.778039999674</v>
      </c>
      <c r="Q60" s="227">
        <f t="shared" si="27"/>
        <v>26205.366497031351</v>
      </c>
      <c r="R60" s="227">
        <f t="shared" si="27"/>
        <v>27551.136135953631</v>
      </c>
      <c r="S60" s="227">
        <f>R60+S58</f>
        <v>28923.606394982729</v>
      </c>
      <c r="T60" s="227">
        <f>S60+T58</f>
        <v>30323.307017913936</v>
      </c>
      <c r="U60" s="227">
        <f>T60+U58</f>
        <v>31750.778258579881</v>
      </c>
      <c r="V60" s="227">
        <f>U60+V58</f>
        <v>33206.571089365127</v>
      </c>
      <c r="W60" s="227">
        <f t="shared" ref="W60:AB60" si="28">V60+W58</f>
        <v>34691.247413857513</v>
      </c>
      <c r="X60" s="227">
        <f t="shared" si="28"/>
        <v>36205.380283718368</v>
      </c>
      <c r="Y60" s="227">
        <f t="shared" si="28"/>
        <v>37749.554119855282</v>
      </c>
      <c r="Z60" s="227">
        <f t="shared" si="28"/>
        <v>39324.36493798274</v>
      </c>
      <c r="AA60" s="227">
        <f t="shared" si="28"/>
        <v>40930.420578657759</v>
      </c>
      <c r="AB60" s="227">
        <f t="shared" si="28"/>
        <v>46878.460684522193</v>
      </c>
    </row>
    <row r="61" spans="2:28" ht="14" x14ac:dyDescent="0.2">
      <c r="B61" s="210" t="s">
        <v>347</v>
      </c>
      <c r="C61" s="227">
        <f>NPV(Investor_Discount_Rate,D58:AB58)+C58</f>
        <v>-915.35346467816271</v>
      </c>
      <c r="D61" s="227"/>
      <c r="E61" s="227"/>
      <c r="F61" s="227"/>
      <c r="G61" s="227"/>
      <c r="H61" s="227"/>
      <c r="I61" s="227"/>
      <c r="J61" s="227"/>
      <c r="K61" s="227"/>
      <c r="L61" s="227"/>
      <c r="M61" s="227"/>
      <c r="N61" s="227"/>
      <c r="O61" s="227"/>
      <c r="P61" s="227"/>
      <c r="Q61" s="227"/>
      <c r="R61" s="227"/>
      <c r="S61" s="227"/>
      <c r="T61" s="227"/>
      <c r="U61" s="227"/>
      <c r="V61" s="227"/>
      <c r="W61" s="227"/>
      <c r="X61" s="227"/>
      <c r="Y61" s="227"/>
      <c r="Z61" s="227"/>
      <c r="AA61" s="227"/>
      <c r="AB61" s="227"/>
    </row>
    <row r="62" spans="2:28" ht="14" x14ac:dyDescent="0.2">
      <c r="B62" s="210" t="s">
        <v>383</v>
      </c>
      <c r="C62" s="207">
        <f>IRR(C58:AB58)</f>
        <v>6.3317578140426711E-2</v>
      </c>
      <c r="D62" s="228"/>
      <c r="E62" s="228"/>
      <c r="F62" s="228"/>
      <c r="G62" s="228"/>
      <c r="H62" s="228"/>
      <c r="I62" s="228"/>
      <c r="J62" s="228"/>
      <c r="K62" s="228"/>
      <c r="L62" s="228"/>
      <c r="M62" s="228"/>
      <c r="N62" s="228"/>
      <c r="O62" s="228"/>
      <c r="P62" s="228"/>
      <c r="Q62" s="228"/>
      <c r="R62" s="228"/>
      <c r="S62" s="228"/>
      <c r="T62" s="228"/>
      <c r="U62" s="228"/>
      <c r="V62" s="228"/>
      <c r="W62" s="228"/>
      <c r="X62" s="228"/>
      <c r="Y62" s="228"/>
      <c r="Z62" s="228"/>
      <c r="AA62" s="228"/>
      <c r="AB62" s="228"/>
    </row>
    <row r="63" spans="2:28" ht="14" x14ac:dyDescent="0.2">
      <c r="B63" s="210" t="s">
        <v>348</v>
      </c>
      <c r="C63" s="227">
        <f>NPV(Investor_Discount_Rate,D56:AB56)+C58</f>
        <v>-201925.20878543792</v>
      </c>
      <c r="D63" s="228"/>
      <c r="E63" s="228"/>
      <c r="F63" s="228"/>
      <c r="G63" s="228"/>
      <c r="H63" s="228"/>
      <c r="I63" s="228"/>
      <c r="J63" s="228"/>
      <c r="K63" s="228"/>
      <c r="L63" s="228"/>
      <c r="M63" s="228"/>
      <c r="N63" s="228"/>
      <c r="O63" s="228"/>
      <c r="P63" s="228"/>
      <c r="Q63" s="228"/>
      <c r="R63" s="228"/>
      <c r="S63" s="228"/>
      <c r="T63" s="228"/>
      <c r="U63" s="228"/>
      <c r="V63" s="228"/>
      <c r="W63" s="228"/>
      <c r="X63" s="228"/>
      <c r="Y63" s="228"/>
      <c r="Z63" s="228"/>
      <c r="AA63" s="228"/>
      <c r="AB63" s="228"/>
    </row>
    <row r="64" spans="2:28" ht="14" x14ac:dyDescent="0.2">
      <c r="B64" s="210" t="s">
        <v>25</v>
      </c>
      <c r="C64" s="193">
        <f>IRR(C56:AB56)</f>
        <v>-8.8995121036613556E-2</v>
      </c>
      <c r="D64" s="228"/>
      <c r="E64" s="228"/>
      <c r="F64" s="228"/>
      <c r="G64" s="228"/>
      <c r="H64" s="228"/>
      <c r="I64" s="228"/>
      <c r="J64" s="228"/>
      <c r="K64" s="228"/>
      <c r="L64" s="228"/>
      <c r="M64" s="228"/>
      <c r="N64" s="228"/>
      <c r="O64" s="228"/>
      <c r="P64" s="228"/>
      <c r="Q64" s="228"/>
      <c r="R64" s="228"/>
      <c r="S64" s="228"/>
      <c r="T64" s="228"/>
      <c r="U64" s="228"/>
      <c r="V64" s="228"/>
      <c r="W64" s="228"/>
      <c r="X64" s="228"/>
      <c r="Y64" s="228"/>
      <c r="Z64" s="228"/>
      <c r="AA64" s="228"/>
      <c r="AB64" s="228"/>
    </row>
    <row r="65" spans="2:28" ht="14" x14ac:dyDescent="0.2">
      <c r="B65" s="210" t="s">
        <v>448</v>
      </c>
      <c r="C65" s="435">
        <f>Time_Based_Flip_Target_Year+1</f>
        <v>6</v>
      </c>
      <c r="D65" s="194"/>
      <c r="E65" s="194"/>
      <c r="F65" s="194"/>
      <c r="G65" s="194"/>
      <c r="H65" s="194"/>
      <c r="I65" s="194"/>
      <c r="J65" s="194"/>
      <c r="K65" s="194"/>
      <c r="L65" s="194"/>
      <c r="M65" s="194"/>
      <c r="N65" s="194"/>
      <c r="O65" s="194"/>
      <c r="P65" s="194"/>
      <c r="Q65" s="207"/>
      <c r="R65" s="194"/>
      <c r="S65" s="194"/>
      <c r="T65" s="194"/>
      <c r="U65" s="194"/>
      <c r="V65" s="194"/>
      <c r="W65" s="194"/>
      <c r="X65" s="194"/>
      <c r="Y65" s="194"/>
      <c r="Z65" s="194"/>
      <c r="AA65" s="194"/>
      <c r="AB65" s="194"/>
    </row>
    <row r="66" spans="2:28" ht="14" x14ac:dyDescent="0.2">
      <c r="B66" s="210" t="s">
        <v>360</v>
      </c>
      <c r="C66" s="208">
        <f>INDEX(C54:AB59,6,MATCH(C65,C35:AB35,0))</f>
        <v>3.6239501044619482E-2</v>
      </c>
      <c r="D66" s="228"/>
      <c r="E66" s="228"/>
      <c r="F66" s="228"/>
      <c r="G66" s="228"/>
      <c r="H66" s="228"/>
      <c r="I66" s="228"/>
      <c r="J66" s="228"/>
      <c r="K66" s="228"/>
      <c r="L66" s="228"/>
      <c r="M66" s="228"/>
      <c r="N66" s="228"/>
      <c r="O66" s="228"/>
      <c r="P66" s="228"/>
      <c r="Q66" s="228"/>
      <c r="R66" s="228"/>
      <c r="S66" s="228"/>
      <c r="T66" s="228"/>
      <c r="U66" s="228"/>
      <c r="V66" s="228"/>
      <c r="W66" s="228"/>
      <c r="X66" s="228"/>
      <c r="Y66" s="228"/>
      <c r="Z66" s="228"/>
      <c r="AA66" s="228"/>
      <c r="AB66" s="228"/>
    </row>
    <row r="67" spans="2:28" ht="14" x14ac:dyDescent="0.2">
      <c r="B67" s="210"/>
      <c r="C67" s="229"/>
      <c r="D67" s="228"/>
      <c r="E67" s="228"/>
      <c r="F67" s="228"/>
      <c r="G67" s="228"/>
      <c r="H67" s="228"/>
      <c r="I67" s="228"/>
      <c r="J67" s="228"/>
      <c r="K67" s="228"/>
      <c r="L67" s="228"/>
      <c r="M67" s="228"/>
      <c r="N67" s="228"/>
      <c r="O67" s="228"/>
      <c r="P67" s="228"/>
      <c r="Q67" s="228"/>
      <c r="R67" s="228"/>
      <c r="S67" s="228"/>
      <c r="T67" s="228"/>
      <c r="U67" s="228"/>
      <c r="V67" s="228"/>
      <c r="W67" s="228"/>
      <c r="X67" s="228"/>
      <c r="Y67" s="228"/>
      <c r="Z67" s="228"/>
      <c r="AA67" s="228"/>
      <c r="AB67" s="228"/>
    </row>
    <row r="68" spans="2:28" ht="14" x14ac:dyDescent="0.2">
      <c r="B68" s="219" t="s">
        <v>350</v>
      </c>
      <c r="C68" s="229"/>
      <c r="D68" s="228"/>
      <c r="E68" s="228"/>
      <c r="F68" s="228"/>
      <c r="G68" s="228"/>
      <c r="H68" s="228"/>
      <c r="I68" s="228"/>
      <c r="J68" s="228"/>
      <c r="K68" s="228"/>
      <c r="L68" s="228"/>
      <c r="M68" s="228"/>
      <c r="N68" s="228"/>
      <c r="O68" s="228"/>
      <c r="P68" s="228"/>
      <c r="Q68" s="228"/>
      <c r="R68" s="228"/>
      <c r="S68" s="228"/>
      <c r="T68" s="228"/>
      <c r="U68" s="228"/>
      <c r="V68" s="228"/>
      <c r="W68" s="228"/>
      <c r="X68" s="228"/>
      <c r="Y68" s="228"/>
      <c r="Z68" s="228"/>
      <c r="AA68" s="228"/>
      <c r="AB68" s="228"/>
    </row>
    <row r="69" spans="2:28" ht="14" x14ac:dyDescent="0.2">
      <c r="B69" s="210" t="s">
        <v>344</v>
      </c>
      <c r="C69" s="227">
        <f>-(Project_Sale_Price*Cash_Equity_Investment_Share)</f>
        <v>-315845.57474087813</v>
      </c>
      <c r="D69" s="227">
        <f t="shared" ref="D69:AB69" si="29">D49</f>
        <v>15751.040124159137</v>
      </c>
      <c r="E69" s="227">
        <f t="shared" si="29"/>
        <v>16225.494895339672</v>
      </c>
      <c r="F69" s="227">
        <f t="shared" si="29"/>
        <v>16709.362947493479</v>
      </c>
      <c r="G69" s="227">
        <f t="shared" si="29"/>
        <v>17202.831039427845</v>
      </c>
      <c r="H69" s="227">
        <f t="shared" si="29"/>
        <v>17706.089635178283</v>
      </c>
      <c r="I69" s="227">
        <f t="shared" si="29"/>
        <v>27015.818314975983</v>
      </c>
      <c r="J69" s="227">
        <f t="shared" si="29"/>
        <v>21850.75846372675</v>
      </c>
      <c r="K69" s="227">
        <f t="shared" si="29"/>
        <v>22284.287394849067</v>
      </c>
      <c r="L69" s="227">
        <f t="shared" si="29"/>
        <v>22726.417615610553</v>
      </c>
      <c r="M69" s="227">
        <f t="shared" si="29"/>
        <v>23177.319774685453</v>
      </c>
      <c r="N69" s="227">
        <f t="shared" si="29"/>
        <v>23637.16790635126</v>
      </c>
      <c r="O69" s="227">
        <f t="shared" si="29"/>
        <v>24106.139497656804</v>
      </c>
      <c r="P69" s="227">
        <f t="shared" si="29"/>
        <v>24584.415556922875</v>
      </c>
      <c r="Q69" s="227">
        <f t="shared" si="29"/>
        <v>25072.180683601873</v>
      </c>
      <c r="R69" s="227">
        <f t="shared" si="29"/>
        <v>25569.623139523304</v>
      </c>
      <c r="S69" s="227">
        <f t="shared" si="29"/>
        <v>26076.934921552882</v>
      </c>
      <c r="T69" s="227">
        <f t="shared" si="29"/>
        <v>26594.311835692915</v>
      </c>
      <c r="U69" s="227">
        <f t="shared" si="29"/>
        <v>27121.953572652987</v>
      </c>
      <c r="V69" s="227">
        <f t="shared" si="29"/>
        <v>27660.063784919646</v>
      </c>
      <c r="W69" s="227">
        <f t="shared" si="29"/>
        <v>28208.850165355296</v>
      </c>
      <c r="X69" s="227">
        <f t="shared" si="29"/>
        <v>28768.52452735632</v>
      </c>
      <c r="Y69" s="227">
        <f t="shared" si="29"/>
        <v>29339.30288660141</v>
      </c>
      <c r="Z69" s="227">
        <f t="shared" si="29"/>
        <v>29921.405544421777</v>
      </c>
      <c r="AA69" s="227">
        <f t="shared" si="29"/>
        <v>30515.057172825298</v>
      </c>
      <c r="AB69" s="227">
        <f t="shared" si="29"/>
        <v>113012.76201142426</v>
      </c>
    </row>
    <row r="70" spans="2:28" ht="15" thickBot="1" x14ac:dyDescent="0.25">
      <c r="B70" s="210" t="s">
        <v>345</v>
      </c>
      <c r="C70" s="227"/>
      <c r="D70" s="184">
        <f t="shared" ref="D70:AB70" si="30">D31-D57</f>
        <v>1712.7076557834516</v>
      </c>
      <c r="E70" s="184">
        <f t="shared" si="30"/>
        <v>264.72179223146668</v>
      </c>
      <c r="F70" s="184">
        <f t="shared" si="30"/>
        <v>132.72410007265898</v>
      </c>
      <c r="G70" s="184">
        <f t="shared" si="30"/>
        <v>53.007470536169421</v>
      </c>
      <c r="H70" s="184">
        <f t="shared" si="30"/>
        <v>51.724189044785817</v>
      </c>
      <c r="I70" s="184">
        <f t="shared" si="30"/>
        <v>0</v>
      </c>
      <c r="J70" s="184">
        <f t="shared" si="30"/>
        <v>0</v>
      </c>
      <c r="K70" s="184">
        <f t="shared" si="30"/>
        <v>0</v>
      </c>
      <c r="L70" s="184">
        <f t="shared" si="30"/>
        <v>0</v>
      </c>
      <c r="M70" s="184">
        <f t="shared" si="30"/>
        <v>0</v>
      </c>
      <c r="N70" s="184">
        <f t="shared" si="30"/>
        <v>0</v>
      </c>
      <c r="O70" s="184">
        <f t="shared" si="30"/>
        <v>0</v>
      </c>
      <c r="P70" s="184">
        <f t="shared" si="30"/>
        <v>0</v>
      </c>
      <c r="Q70" s="184">
        <f t="shared" si="30"/>
        <v>0</v>
      </c>
      <c r="R70" s="184">
        <f t="shared" si="30"/>
        <v>0</v>
      </c>
      <c r="S70" s="184">
        <f t="shared" si="30"/>
        <v>0</v>
      </c>
      <c r="T70" s="184">
        <f t="shared" si="30"/>
        <v>0</v>
      </c>
      <c r="U70" s="184">
        <f t="shared" si="30"/>
        <v>0</v>
      </c>
      <c r="V70" s="184">
        <f t="shared" si="30"/>
        <v>0</v>
      </c>
      <c r="W70" s="184">
        <f t="shared" si="30"/>
        <v>0</v>
      </c>
      <c r="X70" s="184">
        <f t="shared" si="30"/>
        <v>0</v>
      </c>
      <c r="Y70" s="184">
        <f t="shared" si="30"/>
        <v>0</v>
      </c>
      <c r="Z70" s="184">
        <f t="shared" si="30"/>
        <v>0</v>
      </c>
      <c r="AA70" s="184">
        <f t="shared" si="30"/>
        <v>0</v>
      </c>
      <c r="AB70" s="184">
        <f t="shared" si="30"/>
        <v>0</v>
      </c>
    </row>
    <row r="71" spans="2:28" ht="15" thickTop="1" x14ac:dyDescent="0.2">
      <c r="B71" s="210" t="s">
        <v>346</v>
      </c>
      <c r="C71" s="227">
        <f>C69</f>
        <v>-315845.57474087813</v>
      </c>
      <c r="D71" s="227">
        <f>D69+D70</f>
        <v>17463.747779942591</v>
      </c>
      <c r="E71" s="227">
        <f t="shared" ref="E71:R71" si="31">E69+E70</f>
        <v>16490.216687571141</v>
      </c>
      <c r="F71" s="227">
        <f t="shared" si="31"/>
        <v>16842.087047566136</v>
      </c>
      <c r="G71" s="227">
        <f t="shared" si="31"/>
        <v>17255.838509964015</v>
      </c>
      <c r="H71" s="227">
        <f t="shared" si="31"/>
        <v>17757.813824223071</v>
      </c>
      <c r="I71" s="227">
        <f t="shared" si="31"/>
        <v>27015.818314975983</v>
      </c>
      <c r="J71" s="227">
        <f t="shared" si="31"/>
        <v>21850.75846372675</v>
      </c>
      <c r="K71" s="227">
        <f t="shared" si="31"/>
        <v>22284.287394849067</v>
      </c>
      <c r="L71" s="227">
        <f t="shared" si="31"/>
        <v>22726.417615610553</v>
      </c>
      <c r="M71" s="227">
        <f t="shared" si="31"/>
        <v>23177.319774685453</v>
      </c>
      <c r="N71" s="227">
        <f t="shared" si="31"/>
        <v>23637.16790635126</v>
      </c>
      <c r="O71" s="227">
        <f t="shared" si="31"/>
        <v>24106.139497656804</v>
      </c>
      <c r="P71" s="227">
        <f t="shared" si="31"/>
        <v>24584.415556922875</v>
      </c>
      <c r="Q71" s="227">
        <f t="shared" si="31"/>
        <v>25072.180683601873</v>
      </c>
      <c r="R71" s="227">
        <f t="shared" si="31"/>
        <v>25569.623139523304</v>
      </c>
      <c r="S71" s="227">
        <f>S69+S70</f>
        <v>26076.934921552882</v>
      </c>
      <c r="T71" s="227">
        <f>T69+T70</f>
        <v>26594.311835692915</v>
      </c>
      <c r="U71" s="227">
        <f>U69+U70</f>
        <v>27121.953572652987</v>
      </c>
      <c r="V71" s="227">
        <f>V69+V70</f>
        <v>27660.063784919646</v>
      </c>
      <c r="W71" s="227">
        <f t="shared" ref="W71:AB71" si="32">W69+W70</f>
        <v>28208.850165355296</v>
      </c>
      <c r="X71" s="227">
        <f t="shared" si="32"/>
        <v>28768.52452735632</v>
      </c>
      <c r="Y71" s="227">
        <f t="shared" si="32"/>
        <v>29339.30288660141</v>
      </c>
      <c r="Z71" s="227">
        <f t="shared" si="32"/>
        <v>29921.405544421777</v>
      </c>
      <c r="AA71" s="227">
        <f t="shared" si="32"/>
        <v>30515.057172825298</v>
      </c>
      <c r="AB71" s="227">
        <f t="shared" si="32"/>
        <v>113012.76201142426</v>
      </c>
    </row>
    <row r="72" spans="2:28" ht="14" x14ac:dyDescent="0.2">
      <c r="B72" s="210" t="s">
        <v>382</v>
      </c>
      <c r="C72" s="207">
        <v>0</v>
      </c>
      <c r="D72" s="207">
        <f>IFERROR(IRR($C71:D$71),0)</f>
        <v>-0.94470795484701675</v>
      </c>
      <c r="E72" s="207">
        <f>IFERROR(IRR($C71:E$71),0)</f>
        <v>-0.74219306232458959</v>
      </c>
      <c r="F72" s="207">
        <f>IFERROR(IRR($C71:F$71),0)</f>
        <v>-0.55625195620095136</v>
      </c>
      <c r="G72" s="207">
        <f>IFERROR(IRR($C71:G$71),0)</f>
        <v>-0.41877965403490514</v>
      </c>
      <c r="H72" s="207">
        <f>IFERROR(IRR($C71:H$71),0)</f>
        <v>-0.31890884199706415</v>
      </c>
      <c r="I72" s="207">
        <f>IFERROR(IRR($C71:I$71),0)</f>
        <v>-0.2215393415614948</v>
      </c>
      <c r="J72" s="207">
        <f>IFERROR(IRR($C71:J$71),0)</f>
        <v>-0.1683241055527388</v>
      </c>
      <c r="K72" s="207">
        <f>IFERROR(IRR($C71:K$71),0)</f>
        <v>-0.1272733953299342</v>
      </c>
      <c r="L72" s="207">
        <f>IFERROR(IRR($C71:L$71),0)</f>
        <v>-9.5128182978631015E-2</v>
      </c>
      <c r="M72" s="207">
        <f>IFERROR(IRR($C71:M$71),0)</f>
        <v>-6.9549513275838137E-2</v>
      </c>
      <c r="N72" s="207">
        <f>IFERROR(IRR($C71:N$71),0)</f>
        <v>-4.8890183661329911E-2</v>
      </c>
      <c r="O72" s="207">
        <f>IFERROR(IRR($C71:O$71),0)</f>
        <v>-3.197979752956015E-2</v>
      </c>
      <c r="P72" s="207">
        <f>IFERROR(IRR($C71:P$71),0)</f>
        <v>-1.7973307317528886E-2</v>
      </c>
      <c r="Q72" s="207">
        <f>IFERROR(IRR($C71:Q$71),0)</f>
        <v>-6.2499118495352723E-3</v>
      </c>
      <c r="R72" s="207">
        <f>IFERROR(IRR($C71:R$71),0)</f>
        <v>3.6541529039924026E-3</v>
      </c>
      <c r="S72" s="207">
        <f>IFERROR(IRR($C71:S$71),0)</f>
        <v>1.2090779091106008E-2</v>
      </c>
      <c r="T72" s="207">
        <f>IFERROR(IRR($C71:T$71),0)</f>
        <v>1.9330816314079735E-2</v>
      </c>
      <c r="U72" s="207">
        <f>IFERROR(IRR($C71:U$71),0)</f>
        <v>2.5585471314037322E-2</v>
      </c>
      <c r="V72" s="207">
        <f>IFERROR(IRR($C71:V$71),0)</f>
        <v>3.1021409572888015E-2</v>
      </c>
      <c r="W72" s="207">
        <f>IFERROR(IRR($C71:W$71),0)</f>
        <v>3.577158114251322E-2</v>
      </c>
      <c r="X72" s="207">
        <f>IFERROR(IRR($C71:X$71),0)</f>
        <v>3.9943096341678253E-2</v>
      </c>
      <c r="Y72" s="207">
        <f>IFERROR(IRR($C71:Y$71),0)</f>
        <v>4.3623034190807486E-2</v>
      </c>
      <c r="Z72" s="207">
        <f>IFERROR(IRR($C71:Z$71),0)</f>
        <v>4.6882780911561284E-2</v>
      </c>
      <c r="AA72" s="207">
        <f>IFERROR(IRR($C71:AA$71),0)</f>
        <v>4.9781308813028335E-2</v>
      </c>
      <c r="AB72" s="207">
        <f>IFERROR(IRR($C71:AB$71),0)</f>
        <v>5.8316923487587102E-2</v>
      </c>
    </row>
    <row r="73" spans="2:28" ht="14" x14ac:dyDescent="0.2">
      <c r="B73" s="210" t="s">
        <v>98</v>
      </c>
      <c r="C73" s="227">
        <f>C71</f>
        <v>-315845.57474087813</v>
      </c>
      <c r="D73" s="227">
        <f>C73+D71</f>
        <v>-298381.82696093555</v>
      </c>
      <c r="E73" s="227">
        <f t="shared" ref="E73:R73" si="33">D73+E71</f>
        <v>-281891.61027336441</v>
      </c>
      <c r="F73" s="227">
        <f t="shared" si="33"/>
        <v>-265049.52322579827</v>
      </c>
      <c r="G73" s="227">
        <f t="shared" si="33"/>
        <v>-247793.68471583427</v>
      </c>
      <c r="H73" s="227">
        <f t="shared" si="33"/>
        <v>-230035.87089161121</v>
      </c>
      <c r="I73" s="227">
        <f t="shared" si="33"/>
        <v>-203020.05257663524</v>
      </c>
      <c r="J73" s="227">
        <f t="shared" si="33"/>
        <v>-181169.29411290848</v>
      </c>
      <c r="K73" s="227">
        <f t="shared" si="33"/>
        <v>-158885.00671805942</v>
      </c>
      <c r="L73" s="227">
        <f t="shared" si="33"/>
        <v>-136158.58910244887</v>
      </c>
      <c r="M73" s="227">
        <f t="shared" si="33"/>
        <v>-112981.26932776341</v>
      </c>
      <c r="N73" s="227">
        <f t="shared" si="33"/>
        <v>-89344.101421412153</v>
      </c>
      <c r="O73" s="227">
        <f t="shared" si="33"/>
        <v>-65237.961923755349</v>
      </c>
      <c r="P73" s="227">
        <f t="shared" si="33"/>
        <v>-40653.546366832474</v>
      </c>
      <c r="Q73" s="227">
        <f t="shared" si="33"/>
        <v>-15581.365683230601</v>
      </c>
      <c r="R73" s="227">
        <f t="shared" si="33"/>
        <v>9988.2574562927039</v>
      </c>
      <c r="S73" s="227">
        <f>R73+S71</f>
        <v>36065.192377845582</v>
      </c>
      <c r="T73" s="227">
        <f>S73+T71</f>
        <v>62659.504213538501</v>
      </c>
      <c r="U73" s="227">
        <f>T73+U71</f>
        <v>89781.457786191488</v>
      </c>
      <c r="V73" s="227">
        <f>U73+V71</f>
        <v>117441.52157111114</v>
      </c>
      <c r="W73" s="227">
        <f t="shared" ref="W73:AB73" si="34">V73+W71</f>
        <v>145650.37173646642</v>
      </c>
      <c r="X73" s="227">
        <f t="shared" si="34"/>
        <v>174418.89626382274</v>
      </c>
      <c r="Y73" s="227">
        <f t="shared" si="34"/>
        <v>203758.19915042416</v>
      </c>
      <c r="Z73" s="227">
        <f t="shared" si="34"/>
        <v>233679.60469484594</v>
      </c>
      <c r="AA73" s="227">
        <f t="shared" si="34"/>
        <v>264194.66186767124</v>
      </c>
      <c r="AB73" s="227">
        <f t="shared" si="34"/>
        <v>377207.42387909547</v>
      </c>
    </row>
    <row r="74" spans="2:28" ht="14" x14ac:dyDescent="0.2">
      <c r="B74" s="210" t="s">
        <v>347</v>
      </c>
      <c r="C74" s="227">
        <f>NPV(Investor_Discount_Rate,D71:AB71)+C71</f>
        <v>-23086.119862500229</v>
      </c>
      <c r="D74" s="227"/>
      <c r="E74" s="227"/>
      <c r="F74" s="227"/>
      <c r="G74" s="227"/>
      <c r="H74" s="227"/>
      <c r="I74" s="227"/>
      <c r="J74" s="227"/>
      <c r="K74" s="227"/>
      <c r="L74" s="227"/>
      <c r="M74" s="227"/>
      <c r="N74" s="227"/>
      <c r="O74" s="227"/>
      <c r="P74" s="227"/>
      <c r="Q74" s="227"/>
      <c r="R74" s="227"/>
      <c r="S74" s="227"/>
      <c r="T74" s="227"/>
      <c r="U74" s="227"/>
      <c r="V74" s="227"/>
      <c r="W74" s="227"/>
      <c r="X74" s="227"/>
      <c r="Y74" s="227"/>
      <c r="Z74" s="227"/>
      <c r="AA74" s="227"/>
      <c r="AB74" s="227"/>
    </row>
    <row r="75" spans="2:28" ht="14" x14ac:dyDescent="0.2">
      <c r="B75" s="210" t="s">
        <v>383</v>
      </c>
      <c r="C75" s="193">
        <f>IRR(C71:AB71)</f>
        <v>5.8316923487587102E-2</v>
      </c>
      <c r="D75" s="228"/>
      <c r="E75" s="228"/>
      <c r="F75" s="228"/>
      <c r="G75" s="228"/>
      <c r="H75" s="228"/>
      <c r="I75" s="228"/>
      <c r="J75" s="228"/>
      <c r="K75" s="228"/>
      <c r="L75" s="228"/>
      <c r="M75" s="228"/>
      <c r="N75" s="228"/>
      <c r="O75" s="228"/>
      <c r="P75" s="228"/>
      <c r="Q75" s="228"/>
      <c r="R75" s="228"/>
      <c r="S75" s="228"/>
      <c r="T75" s="228"/>
      <c r="U75" s="228"/>
      <c r="V75" s="228"/>
      <c r="W75" s="228"/>
      <c r="X75" s="228"/>
      <c r="Y75" s="228"/>
      <c r="Z75" s="228"/>
      <c r="AA75" s="228"/>
      <c r="AB75" s="228"/>
    </row>
    <row r="76" spans="2:28" ht="14" x14ac:dyDescent="0.2">
      <c r="B76" s="210" t="s">
        <v>24</v>
      </c>
      <c r="C76" s="227">
        <f>NPV(Investor_Discount_Rate,D69:AB69)+C71</f>
        <v>-25116.522441497829</v>
      </c>
      <c r="D76" s="228"/>
      <c r="E76" s="228"/>
      <c r="F76" s="228"/>
      <c r="G76" s="228"/>
      <c r="H76" s="228"/>
      <c r="I76" s="228"/>
      <c r="J76" s="228"/>
      <c r="K76" s="228"/>
      <c r="L76" s="228"/>
      <c r="M76" s="228"/>
      <c r="N76" s="228"/>
      <c r="O76" s="228"/>
      <c r="P76" s="228"/>
      <c r="Q76" s="228"/>
      <c r="R76" s="228"/>
      <c r="S76" s="228"/>
      <c r="T76" s="228"/>
      <c r="U76" s="228"/>
      <c r="V76" s="228"/>
      <c r="W76" s="228"/>
      <c r="X76" s="228"/>
      <c r="Y76" s="228"/>
      <c r="Z76" s="228"/>
      <c r="AA76" s="228"/>
      <c r="AB76" s="228"/>
    </row>
    <row r="77" spans="2:28" ht="14" x14ac:dyDescent="0.2">
      <c r="B77" s="220" t="s">
        <v>25</v>
      </c>
      <c r="C77" s="195">
        <f>IRR(C69:AB69)</f>
        <v>5.775832410219417E-2</v>
      </c>
      <c r="D77" s="196"/>
      <c r="E77" s="196"/>
      <c r="F77" s="196"/>
      <c r="G77" s="196"/>
      <c r="H77" s="196"/>
      <c r="I77" s="196"/>
      <c r="J77" s="196"/>
      <c r="K77" s="196"/>
      <c r="L77" s="196"/>
      <c r="M77" s="196"/>
      <c r="N77" s="196"/>
      <c r="O77" s="196"/>
      <c r="P77" s="196"/>
      <c r="Q77" s="196"/>
      <c r="R77" s="196"/>
      <c r="S77" s="196"/>
      <c r="T77" s="196"/>
      <c r="U77" s="196"/>
      <c r="V77" s="196"/>
      <c r="W77" s="196"/>
      <c r="X77" s="196"/>
      <c r="Y77" s="196"/>
      <c r="Z77" s="196"/>
      <c r="AA77" s="196"/>
      <c r="AB77" s="196"/>
    </row>
    <row r="78" spans="2:28" ht="14" x14ac:dyDescent="0.2">
      <c r="D78" s="12"/>
      <c r="E78" s="12"/>
      <c r="F78" s="12"/>
      <c r="G78" s="12"/>
      <c r="H78" s="12"/>
      <c r="I78" s="12"/>
      <c r="J78" s="12"/>
      <c r="K78" s="12"/>
      <c r="L78" s="12"/>
      <c r="M78" s="12"/>
      <c r="N78" s="12"/>
      <c r="O78" s="12"/>
      <c r="P78" s="12"/>
      <c r="Q78" s="12"/>
      <c r="R78" s="12"/>
      <c r="S78" s="12"/>
      <c r="T78" s="12"/>
      <c r="U78" s="12"/>
      <c r="V78" s="12"/>
      <c r="W78" s="12"/>
      <c r="X78" s="12"/>
      <c r="Y78" s="12"/>
      <c r="Z78" s="12"/>
      <c r="AA78" s="12"/>
      <c r="AB78" s="12"/>
    </row>
    <row r="79" spans="2:28" ht="14" x14ac:dyDescent="0.2">
      <c r="D79" s="12"/>
      <c r="E79" s="12"/>
      <c r="F79" s="12"/>
      <c r="G79" s="12"/>
      <c r="H79" s="12"/>
      <c r="I79" s="12"/>
      <c r="J79" s="12"/>
      <c r="K79" s="12"/>
      <c r="L79" s="12"/>
      <c r="M79" s="12"/>
      <c r="N79" s="12"/>
      <c r="O79" s="12"/>
      <c r="P79" s="12"/>
      <c r="Q79" s="12"/>
      <c r="R79" s="12"/>
      <c r="S79" s="12"/>
      <c r="T79" s="12"/>
      <c r="U79" s="12"/>
      <c r="V79" s="12"/>
      <c r="W79" s="12"/>
      <c r="X79" s="12"/>
      <c r="Y79" s="12"/>
      <c r="Z79" s="12"/>
      <c r="AA79" s="12"/>
      <c r="AB79" s="12"/>
    </row>
    <row r="81" spans="2:28" ht="15" thickBot="1" x14ac:dyDescent="0.25">
      <c r="B81" s="197"/>
      <c r="C81" s="197"/>
      <c r="D81" s="197"/>
      <c r="E81" s="197"/>
      <c r="F81" s="197"/>
      <c r="G81" s="197"/>
      <c r="H81" s="197"/>
      <c r="I81" s="59"/>
      <c r="J81" s="59"/>
      <c r="K81" s="59"/>
      <c r="L81" s="59"/>
      <c r="M81" s="59"/>
      <c r="N81" s="59"/>
      <c r="O81" s="59"/>
      <c r="P81" s="59"/>
      <c r="Q81" s="59"/>
      <c r="R81" s="59"/>
      <c r="S81" s="59"/>
      <c r="T81" s="59"/>
      <c r="U81" s="59"/>
      <c r="V81" s="59"/>
      <c r="W81" s="59"/>
      <c r="X81" s="59"/>
      <c r="Y81" s="59"/>
      <c r="Z81" s="59"/>
      <c r="AA81" s="59"/>
      <c r="AB81" s="59"/>
    </row>
    <row r="82" spans="2:28" ht="15" thickTop="1" x14ac:dyDescent="0.2">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row>
    <row r="83" spans="2:28" ht="19" x14ac:dyDescent="0.25">
      <c r="B83" s="11" t="s">
        <v>351</v>
      </c>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row>
    <row r="86" spans="2:28" ht="16" x14ac:dyDescent="0.2">
      <c r="B86" s="584" t="s">
        <v>352</v>
      </c>
      <c r="C86" s="584"/>
      <c r="D86" s="12"/>
      <c r="E86" s="12"/>
      <c r="F86" s="12"/>
      <c r="G86" s="12"/>
      <c r="H86" s="12"/>
      <c r="I86" s="12"/>
      <c r="J86" s="12"/>
      <c r="K86" s="12"/>
      <c r="L86" s="12"/>
      <c r="M86" s="12"/>
      <c r="N86" s="12"/>
      <c r="O86" s="12"/>
      <c r="P86" s="12"/>
      <c r="Q86" s="12"/>
      <c r="R86" s="12"/>
      <c r="S86" s="12"/>
      <c r="T86" s="12"/>
      <c r="U86" s="12"/>
      <c r="V86" s="12"/>
      <c r="W86" s="12"/>
      <c r="X86" s="12"/>
      <c r="Y86" s="12"/>
      <c r="Z86" s="12"/>
      <c r="AA86" s="12"/>
      <c r="AB86" s="12"/>
    </row>
    <row r="87" spans="2:28" ht="14" x14ac:dyDescent="0.2">
      <c r="B87" s="203" t="s">
        <v>286</v>
      </c>
      <c r="C87" s="204">
        <v>0</v>
      </c>
      <c r="D87" s="205">
        <v>1</v>
      </c>
      <c r="E87" s="206">
        <v>2</v>
      </c>
      <c r="F87" s="206">
        <v>3</v>
      </c>
      <c r="G87" s="205">
        <v>4</v>
      </c>
      <c r="H87" s="206">
        <v>5</v>
      </c>
      <c r="I87" s="206">
        <v>6</v>
      </c>
      <c r="J87" s="205">
        <v>7</v>
      </c>
      <c r="K87" s="206">
        <v>8</v>
      </c>
      <c r="L87" s="206">
        <v>9</v>
      </c>
      <c r="M87" s="205">
        <v>10</v>
      </c>
      <c r="N87" s="206">
        <v>11</v>
      </c>
      <c r="O87" s="206">
        <v>12</v>
      </c>
      <c r="P87" s="205">
        <v>13</v>
      </c>
      <c r="Q87" s="206">
        <v>14</v>
      </c>
      <c r="R87" s="206">
        <v>15</v>
      </c>
      <c r="S87" s="206">
        <v>16</v>
      </c>
      <c r="T87" s="206">
        <v>17</v>
      </c>
      <c r="U87" s="206">
        <v>18</v>
      </c>
      <c r="V87" s="206">
        <v>19</v>
      </c>
      <c r="W87" s="206">
        <v>20</v>
      </c>
      <c r="X87" s="206">
        <v>21</v>
      </c>
      <c r="Y87" s="206">
        <v>22</v>
      </c>
      <c r="Z87" s="206">
        <v>23</v>
      </c>
      <c r="AA87" s="206">
        <v>24</v>
      </c>
      <c r="AB87" s="206">
        <v>25</v>
      </c>
    </row>
    <row r="88" spans="2:28" ht="14" x14ac:dyDescent="0.2">
      <c r="B88" s="221" t="s">
        <v>353</v>
      </c>
      <c r="C88" s="223">
        <f t="shared" ref="C88:AB88" si="35">C60</f>
        <v>-258837.05761152023</v>
      </c>
      <c r="D88" s="223">
        <f t="shared" si="35"/>
        <v>-78489.011249369127</v>
      </c>
      <c r="E88" s="223">
        <f t="shared" si="35"/>
        <v>-41439.433278589349</v>
      </c>
      <c r="F88" s="223">
        <f t="shared" si="35"/>
        <v>-17404.460419585761</v>
      </c>
      <c r="G88" s="223">
        <f t="shared" si="35"/>
        <v>-1207.2126404088413</v>
      </c>
      <c r="H88" s="223">
        <f t="shared" si="35"/>
        <v>14918.287275537634</v>
      </c>
      <c r="I88" s="223">
        <f t="shared" si="35"/>
        <v>16340.172450010054</v>
      </c>
      <c r="J88" s="223">
        <f t="shared" si="35"/>
        <v>17490.212369153567</v>
      </c>
      <c r="K88" s="223">
        <f t="shared" si="35"/>
        <v>18663.069600461411</v>
      </c>
      <c r="L88" s="223">
        <f t="shared" si="35"/>
        <v>19859.196843388283</v>
      </c>
      <c r="M88" s="223">
        <f t="shared" si="35"/>
        <v>21079.055778898044</v>
      </c>
      <c r="N88" s="223">
        <f t="shared" si="35"/>
        <v>22323.117247653372</v>
      </c>
      <c r="O88" s="223">
        <f t="shared" si="35"/>
        <v>23591.861431740574</v>
      </c>
      <c r="P88" s="223">
        <f t="shared" si="35"/>
        <v>24885.778039999674</v>
      </c>
      <c r="Q88" s="223">
        <f t="shared" si="35"/>
        <v>26205.366497031351</v>
      </c>
      <c r="R88" s="223">
        <f t="shared" si="35"/>
        <v>27551.136135953631</v>
      </c>
      <c r="S88" s="223">
        <f t="shared" si="35"/>
        <v>28923.606394982729</v>
      </c>
      <c r="T88" s="223">
        <f t="shared" si="35"/>
        <v>30323.307017913936</v>
      </c>
      <c r="U88" s="223">
        <f t="shared" si="35"/>
        <v>31750.778258579881</v>
      </c>
      <c r="V88" s="223">
        <f t="shared" si="35"/>
        <v>33206.571089365127</v>
      </c>
      <c r="W88" s="223">
        <f t="shared" si="35"/>
        <v>34691.247413857513</v>
      </c>
      <c r="X88" s="223">
        <f t="shared" si="35"/>
        <v>36205.380283718368</v>
      </c>
      <c r="Y88" s="223">
        <f t="shared" si="35"/>
        <v>37749.554119855282</v>
      </c>
      <c r="Z88" s="223">
        <f t="shared" si="35"/>
        <v>39324.36493798274</v>
      </c>
      <c r="AA88" s="223">
        <f t="shared" si="35"/>
        <v>40930.420578657759</v>
      </c>
      <c r="AB88" s="223">
        <f t="shared" si="35"/>
        <v>46878.460684522193</v>
      </c>
    </row>
    <row r="89" spans="2:28" ht="14" x14ac:dyDescent="0.2">
      <c r="B89" s="222" t="s">
        <v>340</v>
      </c>
      <c r="C89" s="225">
        <f>C73</f>
        <v>-315845.57474087813</v>
      </c>
      <c r="D89" s="225">
        <f t="shared" ref="D89:R89" si="36">D73</f>
        <v>-298381.82696093555</v>
      </c>
      <c r="E89" s="225">
        <f t="shared" si="36"/>
        <v>-281891.61027336441</v>
      </c>
      <c r="F89" s="225">
        <f t="shared" si="36"/>
        <v>-265049.52322579827</v>
      </c>
      <c r="G89" s="225">
        <f t="shared" si="36"/>
        <v>-247793.68471583427</v>
      </c>
      <c r="H89" s="225">
        <f t="shared" si="36"/>
        <v>-230035.87089161121</v>
      </c>
      <c r="I89" s="225">
        <f t="shared" si="36"/>
        <v>-203020.05257663524</v>
      </c>
      <c r="J89" s="225">
        <f t="shared" si="36"/>
        <v>-181169.29411290848</v>
      </c>
      <c r="K89" s="225">
        <f t="shared" si="36"/>
        <v>-158885.00671805942</v>
      </c>
      <c r="L89" s="225">
        <f t="shared" si="36"/>
        <v>-136158.58910244887</v>
      </c>
      <c r="M89" s="225">
        <f t="shared" si="36"/>
        <v>-112981.26932776341</v>
      </c>
      <c r="N89" s="225">
        <f t="shared" si="36"/>
        <v>-89344.101421412153</v>
      </c>
      <c r="O89" s="225">
        <f t="shared" si="36"/>
        <v>-65237.961923755349</v>
      </c>
      <c r="P89" s="225">
        <f t="shared" si="36"/>
        <v>-40653.546366832474</v>
      </c>
      <c r="Q89" s="225">
        <f t="shared" si="36"/>
        <v>-15581.365683230601</v>
      </c>
      <c r="R89" s="225">
        <f t="shared" si="36"/>
        <v>9988.2574562927039</v>
      </c>
      <c r="S89" s="225">
        <f>S73</f>
        <v>36065.192377845582</v>
      </c>
      <c r="T89" s="225">
        <f>T73</f>
        <v>62659.504213538501</v>
      </c>
      <c r="U89" s="225">
        <f>U73</f>
        <v>89781.457786191488</v>
      </c>
      <c r="V89" s="225">
        <f>V73</f>
        <v>117441.52157111114</v>
      </c>
      <c r="W89" s="225">
        <f t="shared" ref="W89:AB89" si="37">W73</f>
        <v>145650.37173646642</v>
      </c>
      <c r="X89" s="225">
        <f t="shared" si="37"/>
        <v>174418.89626382274</v>
      </c>
      <c r="Y89" s="225">
        <f t="shared" si="37"/>
        <v>203758.19915042416</v>
      </c>
      <c r="Z89" s="225">
        <f t="shared" si="37"/>
        <v>233679.60469484594</v>
      </c>
      <c r="AA89" s="225">
        <f t="shared" si="37"/>
        <v>264194.66186767124</v>
      </c>
      <c r="AB89" s="225">
        <f t="shared" si="37"/>
        <v>377207.42387909547</v>
      </c>
    </row>
    <row r="91" spans="2:28" ht="16" x14ac:dyDescent="0.15">
      <c r="B91" s="586" t="s">
        <v>354</v>
      </c>
      <c r="C91" s="587"/>
    </row>
    <row r="92" spans="2:28" ht="14" x14ac:dyDescent="0.2">
      <c r="B92" s="221" t="s">
        <v>353</v>
      </c>
      <c r="C92" s="224">
        <f>-C56</f>
        <v>258837.05761152023</v>
      </c>
    </row>
    <row r="93" spans="2:28" ht="14" x14ac:dyDescent="0.2">
      <c r="B93" s="222" t="s">
        <v>340</v>
      </c>
      <c r="C93" s="226">
        <f>-C69</f>
        <v>315845.57474087813</v>
      </c>
    </row>
    <row r="95" spans="2:28" ht="16" x14ac:dyDescent="0.2">
      <c r="B95" s="584" t="s">
        <v>352</v>
      </c>
      <c r="C95" s="584"/>
      <c r="D95" s="12"/>
      <c r="E95" s="12"/>
      <c r="F95" s="12"/>
      <c r="G95" s="12"/>
      <c r="H95" s="12"/>
      <c r="I95" s="12"/>
      <c r="J95" s="12"/>
      <c r="K95" s="12"/>
      <c r="L95" s="12"/>
      <c r="M95" s="12"/>
      <c r="N95" s="12"/>
      <c r="O95" s="12"/>
      <c r="P95" s="12"/>
      <c r="Q95" s="12"/>
      <c r="R95" s="12"/>
      <c r="S95" s="12"/>
      <c r="T95" s="12"/>
      <c r="U95" s="12"/>
      <c r="V95" s="12"/>
      <c r="W95" s="12"/>
      <c r="X95" s="12"/>
      <c r="Y95" s="12"/>
      <c r="Z95" s="12"/>
      <c r="AA95" s="12"/>
      <c r="AB95" s="12"/>
    </row>
    <row r="96" spans="2:28" ht="14" x14ac:dyDescent="0.2">
      <c r="B96" s="203" t="s">
        <v>286</v>
      </c>
      <c r="C96" s="204">
        <v>0</v>
      </c>
      <c r="D96" s="205">
        <v>1</v>
      </c>
      <c r="E96" s="206">
        <v>2</v>
      </c>
      <c r="F96" s="206">
        <v>3</v>
      </c>
      <c r="G96" s="205">
        <v>4</v>
      </c>
      <c r="H96" s="206">
        <v>5</v>
      </c>
      <c r="I96" s="206">
        <v>6</v>
      </c>
      <c r="J96" s="205">
        <v>7</v>
      </c>
      <c r="K96" s="206">
        <v>8</v>
      </c>
      <c r="L96" s="206">
        <v>9</v>
      </c>
      <c r="M96" s="205">
        <v>10</v>
      </c>
      <c r="N96" s="206">
        <v>11</v>
      </c>
      <c r="O96" s="206">
        <v>12</v>
      </c>
      <c r="P96" s="205">
        <v>13</v>
      </c>
      <c r="Q96" s="206">
        <v>14</v>
      </c>
      <c r="R96" s="206">
        <v>15</v>
      </c>
      <c r="S96" s="206">
        <v>16</v>
      </c>
      <c r="T96" s="206">
        <v>17</v>
      </c>
      <c r="U96" s="206">
        <v>18</v>
      </c>
      <c r="V96" s="206">
        <v>19</v>
      </c>
      <c r="W96" s="206">
        <v>20</v>
      </c>
      <c r="X96" s="206">
        <v>21</v>
      </c>
      <c r="Y96" s="206">
        <v>22</v>
      </c>
      <c r="Z96" s="206">
        <v>23</v>
      </c>
      <c r="AA96" s="206">
        <v>24</v>
      </c>
      <c r="AB96" s="206">
        <v>25</v>
      </c>
    </row>
    <row r="97" spans="2:28" ht="14" x14ac:dyDescent="0.2">
      <c r="B97" s="221" t="s">
        <v>353</v>
      </c>
      <c r="C97" s="259">
        <f t="shared" ref="C97:AB97" si="38">C58</f>
        <v>-258837.05761152023</v>
      </c>
      <c r="D97" s="259">
        <f t="shared" si="38"/>
        <v>180348.0463621511</v>
      </c>
      <c r="E97" s="259">
        <f t="shared" si="38"/>
        <v>37049.577970779777</v>
      </c>
      <c r="F97" s="259">
        <f t="shared" si="38"/>
        <v>24034.972859003588</v>
      </c>
      <c r="G97" s="259">
        <f t="shared" si="38"/>
        <v>16197.24777917692</v>
      </c>
      <c r="H97" s="259">
        <f t="shared" si="38"/>
        <v>16125.499915946475</v>
      </c>
      <c r="I97" s="259">
        <f t="shared" si="38"/>
        <v>1421.8851744724202</v>
      </c>
      <c r="J97" s="259">
        <f t="shared" si="38"/>
        <v>1150.0399191435133</v>
      </c>
      <c r="K97" s="259">
        <f t="shared" si="38"/>
        <v>1172.8572313078455</v>
      </c>
      <c r="L97" s="259">
        <f t="shared" si="38"/>
        <v>1196.1272429268713</v>
      </c>
      <c r="M97" s="259">
        <f t="shared" si="38"/>
        <v>1219.8589355097608</v>
      </c>
      <c r="N97" s="259">
        <f t="shared" si="38"/>
        <v>1244.0614687553295</v>
      </c>
      <c r="O97" s="259">
        <f t="shared" si="38"/>
        <v>1268.7441840872004</v>
      </c>
      <c r="P97" s="259">
        <f t="shared" si="38"/>
        <v>1293.9166082590989</v>
      </c>
      <c r="Q97" s="259">
        <f t="shared" si="38"/>
        <v>1319.5884570316775</v>
      </c>
      <c r="R97" s="259">
        <f t="shared" si="38"/>
        <v>1345.7696389222792</v>
      </c>
      <c r="S97" s="259">
        <f t="shared" si="38"/>
        <v>1372.470259029099</v>
      </c>
      <c r="T97" s="259">
        <f t="shared" si="38"/>
        <v>1399.7006229312062</v>
      </c>
      <c r="U97" s="259">
        <f t="shared" si="38"/>
        <v>1427.4712406659467</v>
      </c>
      <c r="V97" s="259">
        <f t="shared" si="38"/>
        <v>1455.7928307852446</v>
      </c>
      <c r="W97" s="259">
        <f t="shared" si="38"/>
        <v>1484.6763244923841</v>
      </c>
      <c r="X97" s="259">
        <f t="shared" si="38"/>
        <v>1514.132869860859</v>
      </c>
      <c r="Y97" s="259">
        <f t="shared" si="38"/>
        <v>1544.1738361369164</v>
      </c>
      <c r="Z97" s="259">
        <f t="shared" si="38"/>
        <v>1574.810818127462</v>
      </c>
      <c r="AA97" s="259">
        <f t="shared" si="38"/>
        <v>1606.0556406750156</v>
      </c>
      <c r="AB97" s="259">
        <f t="shared" si="38"/>
        <v>5948.0401058644347</v>
      </c>
    </row>
    <row r="98" spans="2:28" ht="14" x14ac:dyDescent="0.2">
      <c r="B98" s="222" t="s">
        <v>340</v>
      </c>
      <c r="C98" s="260">
        <f>C71</f>
        <v>-315845.57474087813</v>
      </c>
      <c r="D98" s="260">
        <f t="shared" ref="D98:V98" si="39">D71</f>
        <v>17463.747779942591</v>
      </c>
      <c r="E98" s="260">
        <f t="shared" si="39"/>
        <v>16490.216687571141</v>
      </c>
      <c r="F98" s="260">
        <f t="shared" si="39"/>
        <v>16842.087047566136</v>
      </c>
      <c r="G98" s="260">
        <f t="shared" si="39"/>
        <v>17255.838509964015</v>
      </c>
      <c r="H98" s="260">
        <f t="shared" si="39"/>
        <v>17757.813824223071</v>
      </c>
      <c r="I98" s="260">
        <f t="shared" si="39"/>
        <v>27015.818314975983</v>
      </c>
      <c r="J98" s="260">
        <f t="shared" si="39"/>
        <v>21850.75846372675</v>
      </c>
      <c r="K98" s="260">
        <f t="shared" si="39"/>
        <v>22284.287394849067</v>
      </c>
      <c r="L98" s="260">
        <f t="shared" si="39"/>
        <v>22726.417615610553</v>
      </c>
      <c r="M98" s="260">
        <f t="shared" si="39"/>
        <v>23177.319774685453</v>
      </c>
      <c r="N98" s="260">
        <f t="shared" si="39"/>
        <v>23637.16790635126</v>
      </c>
      <c r="O98" s="260">
        <f t="shared" si="39"/>
        <v>24106.139497656804</v>
      </c>
      <c r="P98" s="260">
        <f t="shared" si="39"/>
        <v>24584.415556922875</v>
      </c>
      <c r="Q98" s="260">
        <f t="shared" si="39"/>
        <v>25072.180683601873</v>
      </c>
      <c r="R98" s="260">
        <f t="shared" si="39"/>
        <v>25569.623139523304</v>
      </c>
      <c r="S98" s="260">
        <f t="shared" si="39"/>
        <v>26076.934921552882</v>
      </c>
      <c r="T98" s="260">
        <f t="shared" si="39"/>
        <v>26594.311835692915</v>
      </c>
      <c r="U98" s="260">
        <f t="shared" si="39"/>
        <v>27121.953572652987</v>
      </c>
      <c r="V98" s="260">
        <f t="shared" si="39"/>
        <v>27660.063784919646</v>
      </c>
      <c r="W98" s="260">
        <f t="shared" ref="W98:AB98" si="40">W71</f>
        <v>28208.850165355296</v>
      </c>
      <c r="X98" s="260">
        <f t="shared" si="40"/>
        <v>28768.52452735632</v>
      </c>
      <c r="Y98" s="260">
        <f t="shared" si="40"/>
        <v>29339.30288660141</v>
      </c>
      <c r="Z98" s="260">
        <f t="shared" si="40"/>
        <v>29921.405544421777</v>
      </c>
      <c r="AA98" s="260">
        <f t="shared" si="40"/>
        <v>30515.057172825298</v>
      </c>
      <c r="AB98" s="260">
        <f t="shared" si="40"/>
        <v>113012.76201142426</v>
      </c>
    </row>
    <row r="113" spans="5:5" x14ac:dyDescent="0.15">
      <c r="E113" t="s">
        <v>349</v>
      </c>
    </row>
  </sheetData>
  <mergeCells count="15">
    <mergeCell ref="N5:Y11"/>
    <mergeCell ref="N4:Y4"/>
    <mergeCell ref="B18:C18"/>
    <mergeCell ref="J8:K8"/>
    <mergeCell ref="J9:K9"/>
    <mergeCell ref="E14:G17"/>
    <mergeCell ref="H5:L6"/>
    <mergeCell ref="H8:I8"/>
    <mergeCell ref="H9:I9"/>
    <mergeCell ref="H14:I17"/>
    <mergeCell ref="B95:C95"/>
    <mergeCell ref="B34:C34"/>
    <mergeCell ref="B53:C53"/>
    <mergeCell ref="B86:C86"/>
    <mergeCell ref="B91:C91"/>
  </mergeCells>
  <phoneticPr fontId="28" type="noConversion"/>
  <pageMargins left="0.75" right="0.75" top="1" bottom="1" header="0.5" footer="0.5"/>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I97"/>
  <sheetViews>
    <sheetView showGridLines="0" topLeftCell="A27" zoomScaleNormal="100" workbookViewId="0">
      <selection activeCell="C70" sqref="C70"/>
    </sheetView>
  </sheetViews>
  <sheetFormatPr baseColWidth="10" defaultColWidth="11" defaultRowHeight="13" x14ac:dyDescent="0.15"/>
  <cols>
    <col min="2" max="2" width="22.83203125" customWidth="1"/>
    <col min="3" max="3" width="11.83203125" customWidth="1"/>
    <col min="4" max="4" width="11" customWidth="1"/>
  </cols>
  <sheetData>
    <row r="1" spans="1:61" x14ac:dyDescent="0.15">
      <c r="A1" s="34"/>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row>
    <row r="2" spans="1:61" ht="19" x14ac:dyDescent="0.25">
      <c r="A2" s="34"/>
      <c r="B2" s="34"/>
      <c r="C2" s="34"/>
      <c r="D2" s="34"/>
      <c r="E2" s="34"/>
      <c r="F2" s="34"/>
      <c r="G2" s="34"/>
      <c r="H2" s="34"/>
      <c r="I2" s="31" t="s">
        <v>407</v>
      </c>
      <c r="J2" s="34"/>
      <c r="L2" s="34"/>
      <c r="M2" s="34"/>
      <c r="N2" s="34"/>
      <c r="O2" s="27" t="s">
        <v>149</v>
      </c>
      <c r="P2" s="34"/>
      <c r="Q2" s="34"/>
      <c r="V2" s="27"/>
      <c r="W2" s="34"/>
      <c r="X2" s="34"/>
      <c r="Y2" s="34"/>
      <c r="Z2" s="34"/>
      <c r="AA2" s="34"/>
      <c r="AB2" s="34"/>
      <c r="AC2" s="34"/>
      <c r="AD2" s="34"/>
      <c r="AE2" s="34"/>
      <c r="AF2" s="34"/>
      <c r="AG2" s="34"/>
      <c r="AH2" s="34"/>
      <c r="AI2" s="34"/>
      <c r="AJ2" s="34"/>
      <c r="AK2" s="34"/>
      <c r="AL2" s="34"/>
      <c r="AM2" s="34"/>
      <c r="AN2" s="34"/>
      <c r="AO2" s="34"/>
    </row>
    <row r="3" spans="1:61" ht="16" x14ac:dyDescent="0.2">
      <c r="A3" s="34"/>
      <c r="B3" s="34"/>
      <c r="C3" s="34"/>
      <c r="D3" s="34"/>
      <c r="E3" s="34"/>
      <c r="F3" s="34"/>
      <c r="G3" s="34"/>
      <c r="H3" s="34"/>
      <c r="I3" s="32" t="s">
        <v>26</v>
      </c>
      <c r="J3" s="34"/>
      <c r="K3" s="34"/>
      <c r="L3" s="34"/>
      <c r="M3" s="34"/>
      <c r="N3" s="34"/>
      <c r="O3" s="34"/>
      <c r="P3" s="34"/>
      <c r="Q3" s="34"/>
      <c r="R3" s="34"/>
      <c r="S3" s="34"/>
      <c r="T3" s="34"/>
      <c r="U3" s="34"/>
      <c r="V3" s="34"/>
      <c r="W3" s="34"/>
      <c r="X3" s="34"/>
      <c r="Y3" s="34"/>
      <c r="Z3" s="34"/>
      <c r="AA3" s="34"/>
      <c r="AB3" s="34"/>
      <c r="AC3" s="34"/>
      <c r="AD3" s="34"/>
      <c r="AE3" s="34"/>
      <c r="AF3" s="34"/>
      <c r="AG3" s="34"/>
      <c r="AH3" s="34"/>
    </row>
    <row r="4" spans="1:61" ht="25" customHeight="1" x14ac:dyDescent="0.25">
      <c r="A4" s="13"/>
      <c r="B4" s="13"/>
      <c r="C4" s="13"/>
      <c r="D4" s="13"/>
      <c r="E4" s="13"/>
      <c r="F4" s="13"/>
      <c r="G4" s="13"/>
      <c r="H4" s="13"/>
      <c r="L4" s="13"/>
      <c r="M4" s="13"/>
      <c r="N4" s="13"/>
      <c r="O4" s="562" t="s">
        <v>0</v>
      </c>
      <c r="P4" s="563"/>
      <c r="Q4" s="563"/>
      <c r="R4" s="563"/>
      <c r="S4" s="563"/>
      <c r="T4" s="563"/>
      <c r="U4" s="563"/>
      <c r="V4" s="563"/>
      <c r="W4" s="563"/>
      <c r="X4" s="563"/>
      <c r="Y4" s="563"/>
      <c r="Z4" s="563"/>
      <c r="AA4" s="34"/>
    </row>
    <row r="5" spans="1:61" ht="25" customHeight="1" x14ac:dyDescent="0.15">
      <c r="I5" s="473" t="s">
        <v>464</v>
      </c>
      <c r="J5" s="473"/>
      <c r="K5" s="473"/>
      <c r="L5" s="473"/>
      <c r="M5" s="473"/>
      <c r="O5" s="564" t="s">
        <v>134</v>
      </c>
      <c r="P5" s="565"/>
      <c r="Q5" s="565"/>
      <c r="R5" s="565"/>
      <c r="S5" s="565"/>
      <c r="T5" s="565"/>
      <c r="U5" s="565"/>
      <c r="V5" s="565"/>
      <c r="W5" s="565"/>
      <c r="X5" s="565"/>
      <c r="Y5" s="565"/>
      <c r="Z5" s="566"/>
      <c r="AA5" s="34"/>
    </row>
    <row r="6" spans="1:61" ht="25" customHeight="1" x14ac:dyDescent="0.15">
      <c r="I6" s="473"/>
      <c r="J6" s="473"/>
      <c r="K6" s="473"/>
      <c r="L6" s="473"/>
      <c r="M6" s="473"/>
      <c r="O6" s="567"/>
      <c r="P6" s="568"/>
      <c r="Q6" s="568"/>
      <c r="R6" s="568"/>
      <c r="S6" s="568"/>
      <c r="T6" s="568"/>
      <c r="U6" s="568"/>
      <c r="V6" s="568"/>
      <c r="W6" s="568"/>
      <c r="X6" s="568"/>
      <c r="Y6" s="568"/>
      <c r="Z6" s="569"/>
      <c r="AA6" s="34"/>
    </row>
    <row r="7" spans="1:61" ht="25" customHeight="1" thickBot="1" x14ac:dyDescent="0.2">
      <c r="O7" s="567"/>
      <c r="P7" s="568"/>
      <c r="Q7" s="568"/>
      <c r="R7" s="568"/>
      <c r="S7" s="568"/>
      <c r="T7" s="568"/>
      <c r="U7" s="568"/>
      <c r="V7" s="568"/>
      <c r="W7" s="568"/>
      <c r="X7" s="568"/>
      <c r="Y7" s="568"/>
      <c r="Z7" s="569"/>
      <c r="AA7" s="34"/>
    </row>
    <row r="8" spans="1:61" ht="16" x14ac:dyDescent="0.2">
      <c r="A8" s="34"/>
      <c r="B8" s="34"/>
      <c r="C8" s="34"/>
      <c r="D8" s="34"/>
      <c r="E8" s="34"/>
      <c r="F8" s="34"/>
      <c r="G8" s="34"/>
      <c r="H8" s="34"/>
      <c r="I8" s="486" t="s">
        <v>214</v>
      </c>
      <c r="J8" s="487"/>
      <c r="K8" s="580"/>
      <c r="L8" s="581"/>
      <c r="M8" s="34"/>
      <c r="O8" s="567"/>
      <c r="P8" s="568"/>
      <c r="Q8" s="568"/>
      <c r="R8" s="568"/>
      <c r="S8" s="568"/>
      <c r="T8" s="568"/>
      <c r="U8" s="568"/>
      <c r="V8" s="568"/>
      <c r="W8" s="568"/>
      <c r="X8" s="568"/>
      <c r="Y8" s="568"/>
      <c r="Z8" s="569"/>
      <c r="AA8" s="34"/>
    </row>
    <row r="9" spans="1:61" ht="17" thickBot="1" x14ac:dyDescent="0.25">
      <c r="A9" s="34"/>
      <c r="B9" s="34"/>
      <c r="C9" s="34"/>
      <c r="D9" s="34"/>
      <c r="E9" s="34"/>
      <c r="F9" s="34"/>
      <c r="G9" s="34"/>
      <c r="H9" s="34"/>
      <c r="I9" s="557" t="s">
        <v>216</v>
      </c>
      <c r="J9" s="558"/>
      <c r="K9" s="582"/>
      <c r="L9" s="583"/>
      <c r="M9" s="34"/>
      <c r="O9" s="567"/>
      <c r="P9" s="568"/>
      <c r="Q9" s="568"/>
      <c r="R9" s="568"/>
      <c r="S9" s="568"/>
      <c r="T9" s="568"/>
      <c r="U9" s="568"/>
      <c r="V9" s="568"/>
      <c r="W9" s="568"/>
      <c r="X9" s="568"/>
      <c r="Y9" s="568"/>
      <c r="Z9" s="569"/>
      <c r="AA9" s="35"/>
    </row>
    <row r="10" spans="1:61" ht="14" x14ac:dyDescent="0.2">
      <c r="A10" s="34"/>
      <c r="B10" s="34"/>
      <c r="C10" s="34"/>
      <c r="D10" s="34"/>
      <c r="E10" s="34"/>
      <c r="F10" s="34"/>
      <c r="G10" s="34"/>
      <c r="H10" s="34"/>
      <c r="L10" s="34"/>
      <c r="M10" s="34"/>
      <c r="N10" s="34"/>
      <c r="O10" s="567"/>
      <c r="P10" s="568"/>
      <c r="Q10" s="568"/>
      <c r="R10" s="568"/>
      <c r="S10" s="568"/>
      <c r="T10" s="568"/>
      <c r="U10" s="568"/>
      <c r="V10" s="568"/>
      <c r="W10" s="568"/>
      <c r="X10" s="568"/>
      <c r="Y10" s="568"/>
      <c r="Z10" s="569"/>
      <c r="AA10" s="35"/>
    </row>
    <row r="11" spans="1:61" ht="14" x14ac:dyDescent="0.2">
      <c r="A11" s="34"/>
      <c r="B11" s="34"/>
      <c r="C11" s="34"/>
      <c r="D11" s="34"/>
      <c r="E11" s="34"/>
      <c r="F11" s="34"/>
      <c r="G11" s="34"/>
      <c r="H11" s="34"/>
      <c r="I11" s="34"/>
      <c r="J11" s="34"/>
      <c r="K11" s="34"/>
      <c r="L11" s="34"/>
      <c r="M11" s="34"/>
      <c r="N11" s="34"/>
      <c r="O11" s="570"/>
      <c r="P11" s="571"/>
      <c r="Q11" s="571"/>
      <c r="R11" s="571"/>
      <c r="S11" s="571"/>
      <c r="T11" s="571"/>
      <c r="U11" s="571"/>
      <c r="V11" s="571"/>
      <c r="W11" s="571"/>
      <c r="X11" s="571"/>
      <c r="Y11" s="571"/>
      <c r="Z11" s="572"/>
      <c r="AA11" s="35"/>
    </row>
    <row r="12" spans="1:61" ht="15" customHeight="1" thickBot="1" x14ac:dyDescent="0.2">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row>
    <row r="13" spans="1:61" ht="20" thickTop="1" x14ac:dyDescent="0.25">
      <c r="A13" s="3"/>
      <c r="B13" s="345" t="s">
        <v>278</v>
      </c>
      <c r="C13" s="346"/>
      <c r="D13" s="346"/>
      <c r="E13" s="346"/>
      <c r="F13" s="346"/>
      <c r="G13" s="346"/>
      <c r="H13" s="346"/>
      <c r="I13" s="346"/>
      <c r="J13" s="346"/>
      <c r="K13" s="346"/>
      <c r="L13" s="346"/>
      <c r="M13" s="346"/>
      <c r="N13" s="346"/>
      <c r="O13" s="346"/>
      <c r="P13" s="346"/>
      <c r="Q13" s="346"/>
      <c r="R13" s="346"/>
      <c r="S13" s="346"/>
      <c r="T13" s="346"/>
      <c r="U13" s="346"/>
      <c r="V13" s="346"/>
      <c r="W13" s="347"/>
      <c r="X13" s="347"/>
      <c r="AC13" s="2"/>
      <c r="AD13" s="2"/>
      <c r="AE13" s="2"/>
      <c r="AF13" s="2"/>
      <c r="AG13" s="2"/>
      <c r="AH13" s="2"/>
      <c r="AI13" s="2"/>
      <c r="AJ13" s="2"/>
      <c r="AK13" s="2"/>
      <c r="AL13" s="2"/>
      <c r="AM13" s="2"/>
      <c r="AN13" s="2"/>
      <c r="AO13" s="2"/>
      <c r="AP13" s="2"/>
      <c r="AQ13" s="2"/>
      <c r="AR13" s="2"/>
      <c r="AS13" s="3"/>
      <c r="AT13" s="3"/>
      <c r="AU13" s="3"/>
      <c r="AV13" s="3"/>
      <c r="AW13" s="3"/>
      <c r="AX13" s="3"/>
      <c r="AY13" s="3"/>
      <c r="AZ13" s="3"/>
      <c r="BA13" s="3"/>
      <c r="BB13" s="3"/>
      <c r="BC13" s="3"/>
      <c r="BD13" s="3"/>
      <c r="BE13" s="3"/>
      <c r="BF13" s="3"/>
      <c r="BG13" s="3"/>
      <c r="BH13" s="3"/>
      <c r="BI13" s="3"/>
    </row>
    <row r="14" spans="1:61" ht="19" x14ac:dyDescent="0.25">
      <c r="A14" s="3"/>
      <c r="B14" s="345" t="s">
        <v>279</v>
      </c>
      <c r="C14" s="346"/>
      <c r="D14" s="346"/>
      <c r="E14" s="346"/>
      <c r="F14" s="346"/>
      <c r="G14" s="346"/>
      <c r="H14" s="346"/>
      <c r="I14" s="346"/>
      <c r="J14" s="346"/>
      <c r="K14" s="346"/>
      <c r="L14" s="346"/>
      <c r="M14" s="346"/>
      <c r="N14" s="346"/>
      <c r="O14" s="346"/>
      <c r="P14" s="346"/>
      <c r="Q14" s="346"/>
      <c r="R14" s="346"/>
      <c r="S14" s="346"/>
      <c r="T14" s="346"/>
      <c r="U14" s="346"/>
      <c r="V14" s="346"/>
      <c r="W14" s="347"/>
      <c r="X14" s="347"/>
      <c r="AA14" s="2"/>
      <c r="AB14" s="2"/>
      <c r="AC14" s="2"/>
      <c r="AD14" s="2"/>
      <c r="AE14" s="2"/>
      <c r="AF14" s="2"/>
      <c r="AG14" s="2"/>
      <c r="AH14" s="2"/>
      <c r="AI14" s="2"/>
      <c r="AJ14" s="2"/>
      <c r="AK14" s="2"/>
      <c r="AL14" s="2"/>
      <c r="AM14" s="2"/>
      <c r="AN14" s="2"/>
      <c r="AO14" s="2"/>
      <c r="AP14" s="2"/>
      <c r="AQ14" s="2"/>
      <c r="AR14" s="2"/>
      <c r="AS14" s="3"/>
      <c r="AT14" s="3"/>
      <c r="AU14" s="3"/>
      <c r="AV14" s="3"/>
      <c r="AW14" s="3"/>
      <c r="AX14" s="3"/>
      <c r="AY14" s="3"/>
      <c r="AZ14" s="3"/>
      <c r="BA14" s="3"/>
      <c r="BB14" s="3"/>
      <c r="BC14" s="3"/>
      <c r="BD14" s="3"/>
      <c r="BE14" s="3"/>
      <c r="BF14" s="3"/>
      <c r="BG14" s="3"/>
      <c r="BH14" s="3"/>
      <c r="BI14" s="3"/>
    </row>
    <row r="15" spans="1:61" ht="19" x14ac:dyDescent="0.25">
      <c r="A15" s="3"/>
      <c r="B15" s="345"/>
      <c r="C15" s="346"/>
      <c r="D15" s="346"/>
      <c r="E15" s="346"/>
      <c r="F15" s="346"/>
      <c r="G15" s="346"/>
      <c r="H15" s="346"/>
      <c r="I15" s="346"/>
      <c r="J15" s="346"/>
      <c r="K15" s="346"/>
      <c r="L15" s="346"/>
      <c r="M15" s="346"/>
      <c r="N15" s="346"/>
      <c r="O15" s="346"/>
      <c r="P15" s="346"/>
      <c r="Q15" s="346"/>
      <c r="R15" s="346"/>
      <c r="S15" s="346"/>
      <c r="T15" s="346"/>
      <c r="U15" s="346"/>
      <c r="V15" s="346"/>
      <c r="W15" s="346"/>
      <c r="X15" s="346"/>
    </row>
    <row r="16" spans="1:61" ht="17" thickBot="1" x14ac:dyDescent="0.25">
      <c r="A16" s="34"/>
      <c r="B16" s="600" t="s">
        <v>388</v>
      </c>
      <c r="C16" s="600"/>
      <c r="D16" s="600"/>
      <c r="E16" s="346"/>
      <c r="F16" s="346"/>
      <c r="G16" s="346"/>
      <c r="H16" s="346"/>
      <c r="I16" s="346"/>
      <c r="J16" s="346"/>
      <c r="K16" s="346"/>
      <c r="L16" s="346"/>
      <c r="M16" s="346"/>
      <c r="N16" s="346"/>
      <c r="O16" s="346"/>
      <c r="P16" s="346"/>
      <c r="Q16" s="346"/>
      <c r="R16" s="346"/>
      <c r="S16" s="346"/>
      <c r="T16" s="346"/>
      <c r="U16" s="346"/>
      <c r="V16" s="346"/>
      <c r="W16" s="347"/>
      <c r="X16" s="347"/>
      <c r="Y16" s="2"/>
    </row>
    <row r="17" spans="1:28" ht="14" x14ac:dyDescent="0.2">
      <c r="A17" s="34"/>
      <c r="B17" s="348" t="s">
        <v>286</v>
      </c>
      <c r="C17" s="349">
        <v>0</v>
      </c>
      <c r="D17" s="350">
        <v>1</v>
      </c>
      <c r="E17" s="350">
        <v>2</v>
      </c>
      <c r="F17" s="350">
        <v>3</v>
      </c>
      <c r="G17" s="350">
        <v>4</v>
      </c>
      <c r="H17" s="350">
        <v>5</v>
      </c>
      <c r="I17" s="350">
        <v>6</v>
      </c>
      <c r="J17" s="350">
        <v>7</v>
      </c>
      <c r="K17" s="350">
        <v>8</v>
      </c>
      <c r="L17" s="350">
        <v>9</v>
      </c>
      <c r="M17" s="350">
        <v>10</v>
      </c>
      <c r="N17" s="350">
        <v>11</v>
      </c>
      <c r="O17" s="350">
        <v>12</v>
      </c>
      <c r="P17" s="350">
        <v>13</v>
      </c>
      <c r="Q17" s="350">
        <v>14</v>
      </c>
      <c r="R17" s="350">
        <v>15</v>
      </c>
      <c r="S17" s="350">
        <v>16</v>
      </c>
      <c r="T17" s="350">
        <v>17</v>
      </c>
      <c r="U17" s="350">
        <v>18</v>
      </c>
      <c r="V17" s="350">
        <v>19</v>
      </c>
      <c r="W17" s="350">
        <v>20</v>
      </c>
      <c r="X17" s="350">
        <v>21</v>
      </c>
      <c r="Y17" s="350">
        <v>22</v>
      </c>
      <c r="Z17" s="350">
        <v>23</v>
      </c>
      <c r="AA17" s="350">
        <v>24</v>
      </c>
      <c r="AB17" s="350">
        <v>25</v>
      </c>
    </row>
    <row r="18" spans="1:28" ht="14" x14ac:dyDescent="0.2">
      <c r="A18" s="34"/>
      <c r="B18" s="351" t="s">
        <v>276</v>
      </c>
      <c r="C18" s="352"/>
      <c r="D18" s="353">
        <f>Customer_Monthly_kWh_Usage*12</f>
        <v>3735033.4913524403</v>
      </c>
      <c r="E18" s="354">
        <f>D18</f>
        <v>3735033.4913524403</v>
      </c>
      <c r="F18" s="354">
        <f t="shared" ref="F18:V18" si="0">E18</f>
        <v>3735033.4913524403</v>
      </c>
      <c r="G18" s="354">
        <f t="shared" si="0"/>
        <v>3735033.4913524403</v>
      </c>
      <c r="H18" s="354">
        <f t="shared" si="0"/>
        <v>3735033.4913524403</v>
      </c>
      <c r="I18" s="354">
        <f t="shared" si="0"/>
        <v>3735033.4913524403</v>
      </c>
      <c r="J18" s="354">
        <f t="shared" si="0"/>
        <v>3735033.4913524403</v>
      </c>
      <c r="K18" s="354">
        <f t="shared" si="0"/>
        <v>3735033.4913524403</v>
      </c>
      <c r="L18" s="354">
        <f t="shared" si="0"/>
        <v>3735033.4913524403</v>
      </c>
      <c r="M18" s="354">
        <f t="shared" si="0"/>
        <v>3735033.4913524403</v>
      </c>
      <c r="N18" s="354">
        <f t="shared" si="0"/>
        <v>3735033.4913524403</v>
      </c>
      <c r="O18" s="354">
        <f t="shared" si="0"/>
        <v>3735033.4913524403</v>
      </c>
      <c r="P18" s="354">
        <f t="shared" si="0"/>
        <v>3735033.4913524403</v>
      </c>
      <c r="Q18" s="354">
        <f t="shared" si="0"/>
        <v>3735033.4913524403</v>
      </c>
      <c r="R18" s="354">
        <f t="shared" si="0"/>
        <v>3735033.4913524403</v>
      </c>
      <c r="S18" s="354">
        <f t="shared" si="0"/>
        <v>3735033.4913524403</v>
      </c>
      <c r="T18" s="354">
        <f t="shared" si="0"/>
        <v>3735033.4913524403</v>
      </c>
      <c r="U18" s="354">
        <f t="shared" si="0"/>
        <v>3735033.4913524403</v>
      </c>
      <c r="V18" s="354">
        <f t="shared" si="0"/>
        <v>3735033.4913524403</v>
      </c>
      <c r="W18" s="354">
        <f t="shared" ref="W18:AB18" si="1">V18</f>
        <v>3735033.4913524403</v>
      </c>
      <c r="X18" s="354">
        <f t="shared" si="1"/>
        <v>3735033.4913524403</v>
      </c>
      <c r="Y18" s="354">
        <f t="shared" si="1"/>
        <v>3735033.4913524403</v>
      </c>
      <c r="Z18" s="354">
        <f t="shared" si="1"/>
        <v>3735033.4913524403</v>
      </c>
      <c r="AA18" s="354">
        <f t="shared" si="1"/>
        <v>3735033.4913524403</v>
      </c>
      <c r="AB18" s="354">
        <f t="shared" si="1"/>
        <v>3735033.4913524403</v>
      </c>
    </row>
    <row r="19" spans="1:28" ht="14" x14ac:dyDescent="0.2">
      <c r="A19" s="34"/>
      <c r="B19" s="351" t="s">
        <v>277</v>
      </c>
      <c r="C19" s="352"/>
      <c r="D19" s="353">
        <f>D18-D21</f>
        <v>3236359.8613524409</v>
      </c>
      <c r="E19" s="353">
        <f>E18-E21</f>
        <v>3238853.2295024409</v>
      </c>
      <c r="F19" s="353">
        <f t="shared" ref="F19:V19" si="2">F18-F21</f>
        <v>3241334.1308116913</v>
      </c>
      <c r="G19" s="353">
        <f t="shared" si="2"/>
        <v>3243802.6276143948</v>
      </c>
      <c r="H19" s="353">
        <f t="shared" si="2"/>
        <v>3246258.7819330851</v>
      </c>
      <c r="I19" s="353">
        <f t="shared" si="2"/>
        <v>3248702.6554801818</v>
      </c>
      <c r="J19" s="353">
        <f t="shared" si="2"/>
        <v>3251134.309659543</v>
      </c>
      <c r="K19" s="353">
        <f t="shared" si="2"/>
        <v>3253553.8055680078</v>
      </c>
      <c r="L19" s="353">
        <f t="shared" si="2"/>
        <v>3255961.2039969298</v>
      </c>
      <c r="M19" s="353">
        <f t="shared" si="2"/>
        <v>3258356.5654337076</v>
      </c>
      <c r="N19" s="353">
        <f t="shared" si="2"/>
        <v>3260739.9500633013</v>
      </c>
      <c r="O19" s="353">
        <f t="shared" si="2"/>
        <v>3263111.4177697469</v>
      </c>
      <c r="P19" s="353">
        <f t="shared" si="2"/>
        <v>3265471.0281376601</v>
      </c>
      <c r="Q19" s="353">
        <f t="shared" si="2"/>
        <v>3267818.8404537342</v>
      </c>
      <c r="R19" s="353">
        <f t="shared" si="2"/>
        <v>3270154.9137082277</v>
      </c>
      <c r="S19" s="353">
        <f t="shared" si="2"/>
        <v>3272479.3065964486</v>
      </c>
      <c r="T19" s="353">
        <f t="shared" si="2"/>
        <v>3274792.0775202289</v>
      </c>
      <c r="U19" s="353">
        <f t="shared" si="2"/>
        <v>3277093.2845893898</v>
      </c>
      <c r="V19" s="353">
        <f t="shared" si="2"/>
        <v>3279382.9856232051</v>
      </c>
      <c r="W19" s="353">
        <f t="shared" ref="W19:AB19" si="3">W18-W21</f>
        <v>3281661.2381518511</v>
      </c>
      <c r="X19" s="353">
        <f t="shared" si="3"/>
        <v>3283928.0994178541</v>
      </c>
      <c r="Y19" s="353">
        <f t="shared" si="3"/>
        <v>3286183.6263775271</v>
      </c>
      <c r="Z19" s="353">
        <f t="shared" si="3"/>
        <v>3288427.8757024016</v>
      </c>
      <c r="AA19" s="353">
        <f t="shared" si="3"/>
        <v>3290660.9037806517</v>
      </c>
      <c r="AB19" s="353">
        <f t="shared" si="3"/>
        <v>3292882.766718511</v>
      </c>
    </row>
    <row r="20" spans="1:28" ht="14" x14ac:dyDescent="0.2">
      <c r="A20" s="34"/>
      <c r="B20" s="351"/>
      <c r="C20" s="352"/>
      <c r="D20" s="354"/>
      <c r="E20" s="354"/>
      <c r="F20" s="354"/>
      <c r="G20" s="354"/>
      <c r="H20" s="354"/>
      <c r="I20" s="354"/>
      <c r="J20" s="354"/>
      <c r="K20" s="354"/>
      <c r="L20" s="354"/>
      <c r="M20" s="354"/>
      <c r="N20" s="354"/>
      <c r="O20" s="354"/>
      <c r="P20" s="354"/>
      <c r="Q20" s="354"/>
      <c r="R20" s="354"/>
      <c r="S20" s="354"/>
      <c r="T20" s="354"/>
      <c r="U20" s="354"/>
      <c r="V20" s="354"/>
      <c r="W20" s="354"/>
      <c r="X20" s="354"/>
      <c r="Y20" s="354"/>
      <c r="Z20" s="354"/>
      <c r="AA20" s="354"/>
      <c r="AB20" s="354"/>
    </row>
    <row r="21" spans="1:28" ht="14" x14ac:dyDescent="0.2">
      <c r="A21" s="34"/>
      <c r="B21" s="355" t="s">
        <v>240</v>
      </c>
      <c r="C21" s="352"/>
      <c r="D21" s="354">
        <f>Unstructured!D21</f>
        <v>498673.62999999925</v>
      </c>
      <c r="E21" s="354">
        <f>Unstructured!E21</f>
        <v>496180.26184999925</v>
      </c>
      <c r="F21" s="354">
        <f>Unstructured!F21</f>
        <v>493699.36054074927</v>
      </c>
      <c r="G21" s="354">
        <f>Unstructured!G21</f>
        <v>491230.8637380455</v>
      </c>
      <c r="H21" s="354">
        <f>Unstructured!H21</f>
        <v>488774.70941935526</v>
      </c>
      <c r="I21" s="354">
        <f>Unstructured!I21</f>
        <v>486330.83587225847</v>
      </c>
      <c r="J21" s="354">
        <f>Unstructured!J21</f>
        <v>483899.18169289717</v>
      </c>
      <c r="K21" s="354">
        <f>Unstructured!K21</f>
        <v>481479.68578443269</v>
      </c>
      <c r="L21" s="354">
        <f>Unstructured!L21</f>
        <v>479072.28735551052</v>
      </c>
      <c r="M21" s="354">
        <f>Unstructured!M21</f>
        <v>476676.92591873294</v>
      </c>
      <c r="N21" s="354">
        <f>Unstructured!N21</f>
        <v>474293.54128913931</v>
      </c>
      <c r="O21" s="354">
        <f>Unstructured!O21</f>
        <v>471922.07358269359</v>
      </c>
      <c r="P21" s="354">
        <f>Unstructured!P21</f>
        <v>469562.46321478009</v>
      </c>
      <c r="Q21" s="354">
        <f>Unstructured!Q21</f>
        <v>467214.65089870617</v>
      </c>
      <c r="R21" s="354">
        <f>Unstructured!R21</f>
        <v>464878.57764421264</v>
      </c>
      <c r="S21" s="354">
        <f>Unstructured!S21</f>
        <v>462554.18475599156</v>
      </c>
      <c r="T21" s="354">
        <f>Unstructured!T21</f>
        <v>460241.41383221158</v>
      </c>
      <c r="U21" s="354">
        <f>Unstructured!U21</f>
        <v>457940.20676305052</v>
      </c>
      <c r="V21" s="354">
        <f>Unstructured!V21</f>
        <v>455650.50572923524</v>
      </c>
      <c r="W21" s="354">
        <f>Unstructured!W21</f>
        <v>453372.25320058904</v>
      </c>
      <c r="X21" s="354">
        <f>Unstructured!X21</f>
        <v>451105.39193458611</v>
      </c>
      <c r="Y21" s="354">
        <f>Unstructured!Y21</f>
        <v>448849.86497491319</v>
      </c>
      <c r="Z21" s="354">
        <f>Unstructured!Z21</f>
        <v>446605.61565003864</v>
      </c>
      <c r="AA21" s="354">
        <f>Unstructured!AA21</f>
        <v>444372.58757178846</v>
      </c>
      <c r="AB21" s="354">
        <f>Unstructured!AB21</f>
        <v>442150.72463392949</v>
      </c>
    </row>
    <row r="22" spans="1:28" ht="14" x14ac:dyDescent="0.2">
      <c r="A22" s="34"/>
      <c r="B22" s="355" t="s">
        <v>387</v>
      </c>
      <c r="C22" s="352"/>
      <c r="D22" s="356">
        <f>Customer_Utility_Charge_kWh</f>
        <v>7.3648296020305801E-2</v>
      </c>
      <c r="E22" s="356">
        <f>D22*(1+Customer_Utility_Charge_Escalator)</f>
        <v>7.5489503420813439E-2</v>
      </c>
      <c r="F22" s="356">
        <f t="shared" ref="F22:V22" si="4">E22*(1+Customer_Utility_Charge_Escalator)</f>
        <v>7.7376741006333766E-2</v>
      </c>
      <c r="G22" s="356">
        <f t="shared" si="4"/>
        <v>7.9311159531492106E-2</v>
      </c>
      <c r="H22" s="356">
        <f t="shared" si="4"/>
        <v>8.1293938519779396E-2</v>
      </c>
      <c r="I22" s="356">
        <f t="shared" si="4"/>
        <v>8.3326286982773876E-2</v>
      </c>
      <c r="J22" s="356">
        <f t="shared" si="4"/>
        <v>8.5409444157343209E-2</v>
      </c>
      <c r="K22" s="356">
        <f t="shared" si="4"/>
        <v>8.7544680261276778E-2</v>
      </c>
      <c r="L22" s="356">
        <f t="shared" si="4"/>
        <v>8.9733297267808695E-2</v>
      </c>
      <c r="M22" s="356">
        <f t="shared" si="4"/>
        <v>9.1976629699503903E-2</v>
      </c>
      <c r="N22" s="356">
        <f t="shared" si="4"/>
        <v>9.4276045441991488E-2</v>
      </c>
      <c r="O22" s="356">
        <f t="shared" si="4"/>
        <v>9.6632946578041265E-2</v>
      </c>
      <c r="P22" s="356">
        <f t="shared" si="4"/>
        <v>9.9048770242492284E-2</v>
      </c>
      <c r="Q22" s="356">
        <f t="shared" si="4"/>
        <v>0.10152498949855458</v>
      </c>
      <c r="R22" s="356">
        <f t="shared" si="4"/>
        <v>0.10406311423601844</v>
      </c>
      <c r="S22" s="356">
        <f t="shared" si="4"/>
        <v>0.10666469209191889</v>
      </c>
      <c r="T22" s="356">
        <f t="shared" si="4"/>
        <v>0.10933130939421686</v>
      </c>
      <c r="U22" s="356">
        <f t="shared" si="4"/>
        <v>0.11206459212907227</v>
      </c>
      <c r="V22" s="356">
        <f t="shared" si="4"/>
        <v>0.11486620693229907</v>
      </c>
      <c r="W22" s="356">
        <f t="shared" ref="W22:AB22" si="5">V22*(1+Customer_Utility_Charge_Escalator)</f>
        <v>0.11773786210560654</v>
      </c>
      <c r="X22" s="356">
        <f t="shared" si="5"/>
        <v>0.12068130865824669</v>
      </c>
      <c r="Y22" s="356">
        <f t="shared" si="5"/>
        <v>0.12369834137470286</v>
      </c>
      <c r="Z22" s="356">
        <f t="shared" si="5"/>
        <v>0.12679079990907041</v>
      </c>
      <c r="AA22" s="356">
        <f t="shared" si="5"/>
        <v>0.12996056990679716</v>
      </c>
      <c r="AB22" s="356">
        <f t="shared" si="5"/>
        <v>0.13320958415446707</v>
      </c>
    </row>
    <row r="23" spans="1:28" ht="14" x14ac:dyDescent="0.2">
      <c r="A23" s="34"/>
      <c r="B23" s="355" t="s">
        <v>247</v>
      </c>
      <c r="C23" s="352"/>
      <c r="D23" s="356">
        <f>D22*Customer_Dem_Charge_Percent</f>
        <v>0</v>
      </c>
      <c r="E23" s="356">
        <f>E22*Customer_Dem_Charge_Percent</f>
        <v>0</v>
      </c>
      <c r="F23" s="356">
        <f t="shared" ref="F23:V23" si="6">F22*Customer_Dem_Charge_Percent</f>
        <v>0</v>
      </c>
      <c r="G23" s="356">
        <f t="shared" si="6"/>
        <v>0</v>
      </c>
      <c r="H23" s="356">
        <f t="shared" si="6"/>
        <v>0</v>
      </c>
      <c r="I23" s="356">
        <f t="shared" si="6"/>
        <v>0</v>
      </c>
      <c r="J23" s="356">
        <f t="shared" si="6"/>
        <v>0</v>
      </c>
      <c r="K23" s="356">
        <f t="shared" si="6"/>
        <v>0</v>
      </c>
      <c r="L23" s="356">
        <f t="shared" si="6"/>
        <v>0</v>
      </c>
      <c r="M23" s="356">
        <f t="shared" si="6"/>
        <v>0</v>
      </c>
      <c r="N23" s="356">
        <f t="shared" si="6"/>
        <v>0</v>
      </c>
      <c r="O23" s="356">
        <f t="shared" si="6"/>
        <v>0</v>
      </c>
      <c r="P23" s="356">
        <f t="shared" si="6"/>
        <v>0</v>
      </c>
      <c r="Q23" s="356">
        <f t="shared" si="6"/>
        <v>0</v>
      </c>
      <c r="R23" s="356">
        <f t="shared" si="6"/>
        <v>0</v>
      </c>
      <c r="S23" s="356">
        <f t="shared" si="6"/>
        <v>0</v>
      </c>
      <c r="T23" s="356">
        <f t="shared" si="6"/>
        <v>0</v>
      </c>
      <c r="U23" s="356">
        <f t="shared" si="6"/>
        <v>0</v>
      </c>
      <c r="V23" s="356">
        <f t="shared" si="6"/>
        <v>0</v>
      </c>
      <c r="W23" s="356">
        <f t="shared" ref="W23:AB23" si="7">W22*Customer_Dem_Charge_Percent</f>
        <v>0</v>
      </c>
      <c r="X23" s="356">
        <f t="shared" si="7"/>
        <v>0</v>
      </c>
      <c r="Y23" s="356">
        <f t="shared" si="7"/>
        <v>0</v>
      </c>
      <c r="Z23" s="356">
        <f t="shared" si="7"/>
        <v>0</v>
      </c>
      <c r="AA23" s="356">
        <f t="shared" si="7"/>
        <v>0</v>
      </c>
      <c r="AB23" s="356">
        <f t="shared" si="7"/>
        <v>0</v>
      </c>
    </row>
    <row r="24" spans="1:28" ht="14" x14ac:dyDescent="0.2">
      <c r="A24" s="34"/>
      <c r="B24" s="355" t="s">
        <v>118</v>
      </c>
      <c r="C24" s="352"/>
      <c r="D24" s="356">
        <f>Unstructured!D19</f>
        <v>7.3031580167629145E-2</v>
      </c>
      <c r="E24" s="356">
        <f>Unstructured!E19</f>
        <v>7.4857369671819871E-2</v>
      </c>
      <c r="F24" s="356">
        <f>Unstructured!F19</f>
        <v>7.6728803913615362E-2</v>
      </c>
      <c r="G24" s="356">
        <f>Unstructured!G19</f>
        <v>7.8647024011455735E-2</v>
      </c>
      <c r="H24" s="356">
        <f>Unstructured!H19</f>
        <v>8.0613199611742126E-2</v>
      </c>
      <c r="I24" s="356">
        <f>Unstructured!I19</f>
        <v>8.2628529602035677E-2</v>
      </c>
      <c r="J24" s="356">
        <f>Unstructured!J19</f>
        <v>8.4694242842086556E-2</v>
      </c>
      <c r="K24" s="356">
        <f>Unstructured!K19</f>
        <v>8.6811598913138707E-2</v>
      </c>
      <c r="L24" s="356">
        <f>Unstructured!L19</f>
        <v>8.898188888596717E-2</v>
      </c>
      <c r="M24" s="356">
        <f>Unstructured!M19</f>
        <v>9.1206436108116337E-2</v>
      </c>
      <c r="N24" s="356">
        <f>Unstructured!N19</f>
        <v>9.3486597010819239E-2</v>
      </c>
      <c r="O24" s="356">
        <f>Unstructured!O19</f>
        <v>9.5823761936089713E-2</v>
      </c>
      <c r="P24" s="356">
        <f>Unstructured!P19</f>
        <v>9.8219355984491941E-2</v>
      </c>
      <c r="Q24" s="356">
        <f>Unstructured!Q19</f>
        <v>0.10067483988410424</v>
      </c>
      <c r="R24" s="356">
        <f>Unstructured!R19</f>
        <v>0.10319171088120684</v>
      </c>
      <c r="S24" s="356">
        <f>Unstructured!S19</f>
        <v>0.105771503653237</v>
      </c>
      <c r="T24" s="356">
        <f>Unstructured!T19</f>
        <v>0.10841579124456791</v>
      </c>
      <c r="U24" s="356">
        <f>Unstructured!U19</f>
        <v>0.1111261860256821</v>
      </c>
      <c r="V24" s="356">
        <f>Unstructured!V19</f>
        <v>0.11390434067632414</v>
      </c>
      <c r="W24" s="356">
        <f>Unstructured!W19</f>
        <v>0.11675194919323223</v>
      </c>
      <c r="X24" s="356">
        <f>Unstructured!X19</f>
        <v>0.11967074792306302</v>
      </c>
      <c r="Y24" s="356">
        <f>Unstructured!Y19</f>
        <v>0.12266251662113958</v>
      </c>
      <c r="Z24" s="356">
        <f>Unstructured!Z19</f>
        <v>0.12572907953666806</v>
      </c>
      <c r="AA24" s="356">
        <f>Unstructured!AA19</f>
        <v>0.12887230652508475</v>
      </c>
      <c r="AB24" s="356">
        <f>Unstructured!AB19</f>
        <v>0.13209411418821185</v>
      </c>
    </row>
    <row r="25" spans="1:28" ht="14" x14ac:dyDescent="0.2">
      <c r="A25" s="34"/>
      <c r="B25" s="351" t="s">
        <v>401</v>
      </c>
      <c r="C25" s="352"/>
      <c r="D25" s="357">
        <f t="shared" ref="D25:V25" si="8">D21*(D22+D23)</f>
        <v>36726.463119760389</v>
      </c>
      <c r="E25" s="357">
        <f t="shared" si="8"/>
        <v>37456.401574265627</v>
      </c>
      <c r="F25" s="357">
        <f t="shared" si="8"/>
        <v>38200.847555554152</v>
      </c>
      <c r="G25" s="357">
        <f t="shared" si="8"/>
        <v>38960.08940072079</v>
      </c>
      <c r="H25" s="357">
        <f t="shared" si="8"/>
        <v>39734.421177560107</v>
      </c>
      <c r="I25" s="357">
        <f t="shared" si="8"/>
        <v>40524.142798464112</v>
      </c>
      <c r="J25" s="357">
        <f t="shared" si="8"/>
        <v>41329.560136583576</v>
      </c>
      <c r="K25" s="357">
        <f t="shared" si="8"/>
        <v>42150.985144298167</v>
      </c>
      <c r="L25" s="357">
        <f t="shared" si="8"/>
        <v>42988.735974041098</v>
      </c>
      <c r="M25" s="357">
        <f t="shared" si="8"/>
        <v>43843.137101525157</v>
      </c>
      <c r="N25" s="357">
        <f t="shared" si="8"/>
        <v>44714.51945141796</v>
      </c>
      <c r="O25" s="357">
        <f t="shared" si="8"/>
        <v>45603.220525514887</v>
      </c>
      <c r="P25" s="357">
        <f t="shared" si="8"/>
        <v>46509.584533459485</v>
      </c>
      <c r="Q25" s="357">
        <f t="shared" si="8"/>
        <v>47433.962526061987</v>
      </c>
      <c r="R25" s="357">
        <f t="shared" si="8"/>
        <v>48376.712531267469</v>
      </c>
      <c r="S25" s="357">
        <f t="shared" si="8"/>
        <v>49338.199692826405</v>
      </c>
      <c r="T25" s="357">
        <f t="shared" si="8"/>
        <v>50318.79641172132</v>
      </c>
      <c r="U25" s="357">
        <f t="shared" si="8"/>
        <v>51318.882490404278</v>
      </c>
      <c r="V25" s="357">
        <f t="shared" si="8"/>
        <v>52338.845279901056</v>
      </c>
      <c r="W25" s="357">
        <f t="shared" ref="W25:AB25" si="9">W21*(W22+W23)</f>
        <v>53379.079829839087</v>
      </c>
      <c r="X25" s="357">
        <f t="shared" si="9"/>
        <v>54439.989041457135</v>
      </c>
      <c r="Y25" s="357">
        <f t="shared" si="9"/>
        <v>55521.983823656097</v>
      </c>
      <c r="Z25" s="357">
        <f t="shared" si="9"/>
        <v>56625.483252151258</v>
      </c>
      <c r="AA25" s="357">
        <f t="shared" si="9"/>
        <v>57750.914731787758</v>
      </c>
      <c r="AB25" s="357">
        <f t="shared" si="9"/>
        <v>58898.714162082026</v>
      </c>
    </row>
    <row r="26" spans="1:28" ht="14" x14ac:dyDescent="0.2">
      <c r="A26" s="34"/>
      <c r="B26" s="351" t="s">
        <v>384</v>
      </c>
      <c r="C26" s="352"/>
      <c r="D26" s="358">
        <f>D21*D24</f>
        <v>36418.923186827582</v>
      </c>
      <c r="E26" s="358">
        <f t="shared" ref="E26:V26" si="10">E21*E24</f>
        <v>37142.749285165773</v>
      </c>
      <c r="F26" s="358">
        <f t="shared" si="10"/>
        <v>37880.961427208444</v>
      </c>
      <c r="G26" s="358">
        <f t="shared" si="10"/>
        <v>38633.845535574204</v>
      </c>
      <c r="H26" s="358">
        <f t="shared" si="10"/>
        <v>39401.693215593739</v>
      </c>
      <c r="I26" s="358">
        <f t="shared" si="10"/>
        <v>40184.801868253664</v>
      </c>
      <c r="J26" s="358">
        <f t="shared" si="10"/>
        <v>40983.474805385194</v>
      </c>
      <c r="K26" s="358">
        <f t="shared" si="10"/>
        <v>41798.021367142224</v>
      </c>
      <c r="L26" s="358">
        <f t="shared" si="10"/>
        <v>42628.757041814169</v>
      </c>
      <c r="M26" s="358">
        <f t="shared" si="10"/>
        <v>43476.003588020219</v>
      </c>
      <c r="N26" s="358">
        <f t="shared" si="10"/>
        <v>44340.089159332121</v>
      </c>
      <c r="O26" s="358">
        <f t="shared" si="10"/>
        <v>45221.348431373845</v>
      </c>
      <c r="P26" s="358">
        <f t="shared" si="10"/>
        <v>46120.122731447387</v>
      </c>
      <c r="Q26" s="358">
        <f t="shared" si="10"/>
        <v>47036.760170734902</v>
      </c>
      <c r="R26" s="358">
        <f t="shared" si="10"/>
        <v>47971.615779128253</v>
      </c>
      <c r="S26" s="358">
        <f t="shared" si="10"/>
        <v>48925.051642738421</v>
      </c>
      <c r="T26" s="358">
        <f t="shared" si="10"/>
        <v>49897.437044137834</v>
      </c>
      <c r="U26" s="358">
        <f t="shared" si="10"/>
        <v>50889.148605390073</v>
      </c>
      <c r="V26" s="358">
        <f t="shared" si="10"/>
        <v>51900.570433922199</v>
      </c>
      <c r="W26" s="358">
        <f t="shared" ref="W26:AB26" si="11">W21*W24</f>
        <v>52932.094271296388</v>
      </c>
      <c r="X26" s="358">
        <f t="shared" si="11"/>
        <v>53984.119644938401</v>
      </c>
      <c r="Y26" s="358">
        <f t="shared" si="11"/>
        <v>55057.054022881544</v>
      </c>
      <c r="Z26" s="358">
        <f t="shared" si="11"/>
        <v>56151.312971586318</v>
      </c>
      <c r="AA26" s="358">
        <f t="shared" si="11"/>
        <v>57267.320316896585</v>
      </c>
      <c r="AB26" s="358">
        <f t="shared" si="11"/>
        <v>58405.508308194898</v>
      </c>
    </row>
    <row r="27" spans="1:28" ht="14" x14ac:dyDescent="0.2">
      <c r="A27" s="34"/>
      <c r="B27" s="351" t="s">
        <v>402</v>
      </c>
      <c r="C27" s="352"/>
      <c r="D27" s="357">
        <f t="shared" ref="D27:V27" si="12">D25-D26</f>
        <v>307.53993293280655</v>
      </c>
      <c r="E27" s="357">
        <f t="shared" si="12"/>
        <v>313.65228909985308</v>
      </c>
      <c r="F27" s="357">
        <f t="shared" si="12"/>
        <v>319.88612834570813</v>
      </c>
      <c r="G27" s="357">
        <f t="shared" si="12"/>
        <v>326.24386514658545</v>
      </c>
      <c r="H27" s="357">
        <f t="shared" si="12"/>
        <v>332.72796196636773</v>
      </c>
      <c r="I27" s="357">
        <f t="shared" si="12"/>
        <v>339.34093021044828</v>
      </c>
      <c r="J27" s="357">
        <f t="shared" si="12"/>
        <v>346.08533119838103</v>
      </c>
      <c r="K27" s="357">
        <f t="shared" si="12"/>
        <v>352.96377715594281</v>
      </c>
      <c r="L27" s="357">
        <f t="shared" si="12"/>
        <v>359.97893222692801</v>
      </c>
      <c r="M27" s="357">
        <f t="shared" si="12"/>
        <v>367.13351350493758</v>
      </c>
      <c r="N27" s="357">
        <f t="shared" si="12"/>
        <v>374.43029208583903</v>
      </c>
      <c r="O27" s="357">
        <f t="shared" si="12"/>
        <v>381.87209414104291</v>
      </c>
      <c r="P27" s="357">
        <f t="shared" si="12"/>
        <v>389.46180201209791</v>
      </c>
      <c r="Q27" s="357">
        <f t="shared" si="12"/>
        <v>397.20235532708466</v>
      </c>
      <c r="R27" s="357">
        <f t="shared" si="12"/>
        <v>405.09675213921582</v>
      </c>
      <c r="S27" s="357">
        <f t="shared" si="12"/>
        <v>413.1480500879843</v>
      </c>
      <c r="T27" s="357">
        <f t="shared" si="12"/>
        <v>421.35936758348544</v>
      </c>
      <c r="U27" s="357">
        <f t="shared" si="12"/>
        <v>429.73388501420413</v>
      </c>
      <c r="V27" s="357">
        <f t="shared" si="12"/>
        <v>438.27484597885632</v>
      </c>
      <c r="W27" s="357">
        <f t="shared" ref="W27:AB27" si="13">W25-W26</f>
        <v>446.98555854269944</v>
      </c>
      <c r="X27" s="357">
        <f t="shared" si="13"/>
        <v>455.86939651873399</v>
      </c>
      <c r="Y27" s="357">
        <f t="shared" si="13"/>
        <v>464.92980077455286</v>
      </c>
      <c r="Z27" s="357">
        <f t="shared" si="13"/>
        <v>474.17028056494019</v>
      </c>
      <c r="AA27" s="357">
        <f t="shared" si="13"/>
        <v>483.59441489117307</v>
      </c>
      <c r="AB27" s="357">
        <f t="shared" si="13"/>
        <v>493.20585388712789</v>
      </c>
    </row>
    <row r="28" spans="1:28" ht="14" x14ac:dyDescent="0.2">
      <c r="A28" s="34"/>
      <c r="B28" s="351" t="s">
        <v>451</v>
      </c>
      <c r="C28" s="352"/>
      <c r="D28" s="357">
        <f>NPV(Customer_Discount_Rate,D27:AB27)</f>
        <v>4743.6681167956131</v>
      </c>
      <c r="E28" s="357"/>
      <c r="F28" s="357"/>
      <c r="G28" s="357"/>
      <c r="H28" s="357"/>
      <c r="I28" s="357"/>
      <c r="J28" s="357"/>
      <c r="K28" s="357"/>
      <c r="L28" s="357"/>
      <c r="M28" s="357"/>
      <c r="N28" s="357"/>
      <c r="O28" s="357"/>
      <c r="P28" s="357"/>
      <c r="Q28" s="357"/>
      <c r="R28" s="357"/>
      <c r="S28" s="357"/>
      <c r="T28" s="357"/>
      <c r="U28" s="357"/>
      <c r="V28" s="357"/>
      <c r="W28" s="357"/>
      <c r="X28" s="357"/>
      <c r="Y28" s="357"/>
      <c r="Z28" s="357"/>
      <c r="AA28" s="357"/>
      <c r="AB28" s="357"/>
    </row>
    <row r="29" spans="1:28" ht="14" x14ac:dyDescent="0.2">
      <c r="A29" s="34"/>
      <c r="B29" s="351"/>
      <c r="C29" s="352"/>
      <c r="D29" s="357"/>
      <c r="E29" s="357"/>
      <c r="F29" s="357"/>
      <c r="G29" s="357"/>
      <c r="H29" s="357"/>
      <c r="I29" s="357"/>
      <c r="J29" s="357"/>
      <c r="K29" s="357"/>
      <c r="L29" s="357"/>
      <c r="M29" s="357"/>
      <c r="N29" s="357"/>
      <c r="O29" s="357"/>
      <c r="P29" s="357"/>
      <c r="Q29" s="357"/>
      <c r="R29" s="357"/>
      <c r="S29" s="357"/>
      <c r="T29" s="357"/>
      <c r="U29" s="357"/>
      <c r="V29" s="357"/>
      <c r="W29" s="357"/>
      <c r="X29" s="357"/>
      <c r="Y29" s="357"/>
      <c r="Z29" s="357"/>
      <c r="AA29" s="357"/>
      <c r="AB29" s="357"/>
    </row>
    <row r="30" spans="1:28" ht="14" x14ac:dyDescent="0.2">
      <c r="A30" s="34"/>
      <c r="B30" s="397" t="s">
        <v>140</v>
      </c>
      <c r="C30" s="352"/>
      <c r="D30" s="357"/>
      <c r="E30" s="357"/>
      <c r="F30" s="357"/>
      <c r="G30" s="357"/>
      <c r="H30" s="357"/>
      <c r="I30" s="357"/>
      <c r="J30" s="357"/>
      <c r="K30" s="357"/>
      <c r="L30" s="357"/>
      <c r="M30" s="357"/>
      <c r="N30" s="357"/>
      <c r="O30" s="357"/>
      <c r="P30" s="357"/>
      <c r="Q30" s="357"/>
      <c r="R30" s="357"/>
      <c r="S30" s="357"/>
      <c r="T30" s="357"/>
      <c r="U30" s="357"/>
      <c r="V30" s="357"/>
      <c r="W30" s="357"/>
      <c r="X30" s="357"/>
      <c r="Y30" s="357"/>
      <c r="Z30" s="357"/>
      <c r="AA30" s="357"/>
      <c r="AB30" s="357"/>
    </row>
    <row r="31" spans="1:28" ht="14" x14ac:dyDescent="0.2">
      <c r="A31" s="34"/>
      <c r="B31" s="355" t="s">
        <v>394</v>
      </c>
      <c r="C31" s="352"/>
      <c r="D31" s="359"/>
      <c r="E31" s="359"/>
      <c r="F31" s="359"/>
      <c r="G31" s="359"/>
      <c r="H31" s="359"/>
      <c r="I31" s="359"/>
      <c r="J31" s="357">
        <f>NPV(Customer_Discount_Rate,Unstructured!K87:$AB$87)</f>
        <v>322851.29804160167</v>
      </c>
      <c r="K31" s="357">
        <f>NPV(Customer_Discount_Rate,Unstructured!L87:$AB$87)</f>
        <v>318765.23129794077</v>
      </c>
      <c r="L31" s="357">
        <f>NPV(Customer_Discount_Rate,Unstructured!M87:$AB$87)</f>
        <v>313968.60031727992</v>
      </c>
      <c r="M31" s="357">
        <f>NPV(Customer_Discount_Rate,Unstructured!N87:$AB$87)</f>
        <v>308409.53762612154</v>
      </c>
      <c r="N31" s="357">
        <f>NPV(Customer_Discount_Rate,Unstructured!O87:$AB$87)</f>
        <v>302032.88050858222</v>
      </c>
      <c r="O31" s="357">
        <f>NPV(Customer_Discount_Rate,Unstructured!P87:$AB$87)</f>
        <v>294779.96965735324</v>
      </c>
      <c r="P31" s="357">
        <f>NPV(Customer_Discount_Rate,Unstructured!Q87:$AB$87)</f>
        <v>286588.43567161245</v>
      </c>
      <c r="Q31" s="357">
        <f>NPV(Customer_Discount_Rate,Unstructured!R87:$AB$87)</f>
        <v>277391.97267127567</v>
      </c>
      <c r="R31" s="357">
        <f>NPV(Customer_Discount_Rate,Unstructured!S87:$AB$87)</f>
        <v>267120.09825310658</v>
      </c>
      <c r="S31" s="357">
        <f>NPV(Customer_Discount_Rate,Unstructured!T87:$AB$87)</f>
        <v>255697.89896771099</v>
      </c>
      <c r="T31" s="357">
        <f>NPV(Customer_Discount_Rate,Unstructured!U87:$AB$87)</f>
        <v>243045.76044714957</v>
      </c>
      <c r="U31" s="357">
        <f>NPV(Customer_Discount_Rate,Unstructured!V87:$AB$87)</f>
        <v>229079.08126065964</v>
      </c>
      <c r="V31" s="357">
        <f>NPV(Customer_Discount_Rate,Unstructured!W87:$AB$87)</f>
        <v>213707.96952059431</v>
      </c>
      <c r="W31" s="357">
        <f>NPV(Customer_Discount_Rate,Unstructured!X87:$AB$87)</f>
        <v>196836.9212019823</v>
      </c>
      <c r="X31" s="357">
        <f>NPV(Customer_Discount_Rate,Unstructured!Y87:$AB$87)</f>
        <v>178364.47907688408</v>
      </c>
      <c r="Y31" s="357">
        <f>NPV(Customer_Discount_Rate,Unstructured!Z87:$AB$87)</f>
        <v>158182.8710987588</v>
      </c>
      <c r="Z31" s="357">
        <f>NPV(Customer_Discount_Rate,Unstructured!AA87:$AB$87)</f>
        <v>136177.62700213509</v>
      </c>
      <c r="AA31" s="357">
        <f>NPV(Customer_Discount_Rate,Unstructured!AB87:$AB$87)</f>
        <v>112227.17180876291</v>
      </c>
      <c r="AB31" s="357">
        <f>NPV(Customer_Discount_Rate,Unstructured!$AB87:AC$87)</f>
        <v>112227.17180876291</v>
      </c>
    </row>
    <row r="32" spans="1:28" ht="14" x14ac:dyDescent="0.2">
      <c r="A32" s="34"/>
      <c r="B32" s="355" t="s">
        <v>395</v>
      </c>
      <c r="C32" s="352"/>
      <c r="D32" s="359"/>
      <c r="E32" s="359"/>
      <c r="F32" s="359"/>
      <c r="G32" s="359"/>
      <c r="H32" s="359"/>
      <c r="I32" s="359"/>
      <c r="J32" s="357">
        <v>0</v>
      </c>
      <c r="K32" s="357">
        <v>0</v>
      </c>
      <c r="L32" s="357">
        <v>0</v>
      </c>
      <c r="M32" s="357">
        <v>0</v>
      </c>
      <c r="N32" s="357">
        <v>0</v>
      </c>
      <c r="O32" s="357">
        <v>0</v>
      </c>
      <c r="P32" s="357">
        <v>0</v>
      </c>
      <c r="Q32" s="357">
        <v>0</v>
      </c>
      <c r="R32" s="357">
        <v>0</v>
      </c>
      <c r="S32" s="357">
        <v>0</v>
      </c>
      <c r="T32" s="357">
        <v>0</v>
      </c>
      <c r="U32" s="357">
        <v>0</v>
      </c>
      <c r="V32" s="357">
        <v>0</v>
      </c>
      <c r="W32" s="357">
        <v>0</v>
      </c>
      <c r="X32" s="357">
        <v>0</v>
      </c>
      <c r="Y32" s="357">
        <v>0</v>
      </c>
      <c r="Z32" s="357">
        <v>0</v>
      </c>
      <c r="AA32" s="357">
        <v>0</v>
      </c>
      <c r="AB32" s="357">
        <v>0</v>
      </c>
    </row>
    <row r="33" spans="1:28" ht="14" x14ac:dyDescent="0.2">
      <c r="A33" s="34"/>
      <c r="B33" s="355" t="s">
        <v>393</v>
      </c>
      <c r="C33" s="352"/>
      <c r="D33" s="359"/>
      <c r="E33" s="359"/>
      <c r="F33" s="359"/>
      <c r="G33" s="359"/>
      <c r="H33" s="359"/>
      <c r="I33" s="359"/>
      <c r="J33" s="358">
        <f t="shared" ref="J33:V33" si="14">NPV(Customer_Discount_Rate,J32:W32)</f>
        <v>0</v>
      </c>
      <c r="K33" s="358">
        <f>NPV(Customer_Discount_Rate,K32:AB32)</f>
        <v>0</v>
      </c>
      <c r="L33" s="358">
        <f t="shared" si="14"/>
        <v>0</v>
      </c>
      <c r="M33" s="358">
        <f t="shared" si="14"/>
        <v>0</v>
      </c>
      <c r="N33" s="358">
        <f t="shared" si="14"/>
        <v>0</v>
      </c>
      <c r="O33" s="358">
        <f t="shared" si="14"/>
        <v>0</v>
      </c>
      <c r="P33" s="358">
        <f t="shared" si="14"/>
        <v>0</v>
      </c>
      <c r="Q33" s="358">
        <f t="shared" si="14"/>
        <v>0</v>
      </c>
      <c r="R33" s="358">
        <f t="shared" si="14"/>
        <v>0</v>
      </c>
      <c r="S33" s="358">
        <f t="shared" si="14"/>
        <v>0</v>
      </c>
      <c r="T33" s="358">
        <f t="shared" si="14"/>
        <v>0</v>
      </c>
      <c r="U33" s="358">
        <f t="shared" si="14"/>
        <v>0</v>
      </c>
      <c r="V33" s="358">
        <f t="shared" si="14"/>
        <v>0</v>
      </c>
      <c r="W33" s="358">
        <f t="shared" ref="W33:AB33" si="15">NPV(Customer_Discount_Rate,W32:AJ32)</f>
        <v>0</v>
      </c>
      <c r="X33" s="358">
        <f t="shared" si="15"/>
        <v>0</v>
      </c>
      <c r="Y33" s="358">
        <f t="shared" si="15"/>
        <v>0</v>
      </c>
      <c r="Z33" s="358">
        <f t="shared" si="15"/>
        <v>0</v>
      </c>
      <c r="AA33" s="358">
        <f t="shared" si="15"/>
        <v>0</v>
      </c>
      <c r="AB33" s="358">
        <f t="shared" si="15"/>
        <v>0</v>
      </c>
    </row>
    <row r="34" spans="1:28" ht="14" x14ac:dyDescent="0.2">
      <c r="A34" s="34"/>
      <c r="B34" s="361" t="s">
        <v>210</v>
      </c>
      <c r="C34" s="352"/>
      <c r="D34" s="359"/>
      <c r="E34" s="359"/>
      <c r="F34" s="359"/>
      <c r="G34" s="359"/>
      <c r="H34" s="359"/>
      <c r="I34" s="359"/>
      <c r="J34" s="357">
        <f>SUM(J31+J33)</f>
        <v>322851.29804160167</v>
      </c>
      <c r="K34" s="357">
        <f t="shared" ref="K34:V34" si="16">SUM(K31+K33)</f>
        <v>318765.23129794077</v>
      </c>
      <c r="L34" s="357">
        <f t="shared" si="16"/>
        <v>313968.60031727992</v>
      </c>
      <c r="M34" s="357">
        <f t="shared" si="16"/>
        <v>308409.53762612154</v>
      </c>
      <c r="N34" s="357">
        <f t="shared" si="16"/>
        <v>302032.88050858222</v>
      </c>
      <c r="O34" s="357">
        <f t="shared" si="16"/>
        <v>294779.96965735324</v>
      </c>
      <c r="P34" s="357">
        <f t="shared" si="16"/>
        <v>286588.43567161245</v>
      </c>
      <c r="Q34" s="357">
        <f t="shared" si="16"/>
        <v>277391.97267127567</v>
      </c>
      <c r="R34" s="357">
        <f t="shared" si="16"/>
        <v>267120.09825310658</v>
      </c>
      <c r="S34" s="357">
        <f t="shared" si="16"/>
        <v>255697.89896771099</v>
      </c>
      <c r="T34" s="357">
        <f t="shared" si="16"/>
        <v>243045.76044714957</v>
      </c>
      <c r="U34" s="357">
        <f t="shared" si="16"/>
        <v>229079.08126065964</v>
      </c>
      <c r="V34" s="357">
        <f t="shared" si="16"/>
        <v>213707.96952059431</v>
      </c>
      <c r="W34" s="357">
        <f t="shared" ref="W34:AB34" si="17">SUM(W31+W33)</f>
        <v>196836.9212019823</v>
      </c>
      <c r="X34" s="357">
        <f t="shared" si="17"/>
        <v>178364.47907688408</v>
      </c>
      <c r="Y34" s="357">
        <f t="shared" si="17"/>
        <v>158182.8710987588</v>
      </c>
      <c r="Z34" s="357">
        <f t="shared" si="17"/>
        <v>136177.62700213509</v>
      </c>
      <c r="AA34" s="357">
        <f t="shared" si="17"/>
        <v>112227.17180876291</v>
      </c>
      <c r="AB34" s="357">
        <f t="shared" si="17"/>
        <v>112227.17180876291</v>
      </c>
    </row>
    <row r="35" spans="1:28" ht="14" x14ac:dyDescent="0.2">
      <c r="A35" s="34"/>
      <c r="B35" s="360"/>
      <c r="C35" s="352"/>
      <c r="D35" s="357"/>
      <c r="E35" s="357"/>
      <c r="F35" s="357"/>
      <c r="G35" s="357"/>
      <c r="H35" s="357"/>
      <c r="I35" s="357"/>
      <c r="J35" s="357"/>
      <c r="K35" s="357"/>
      <c r="L35" s="357"/>
      <c r="M35" s="357"/>
      <c r="N35" s="357"/>
      <c r="O35" s="357"/>
      <c r="P35" s="357"/>
      <c r="Q35" s="357"/>
      <c r="R35" s="357"/>
      <c r="S35" s="357"/>
      <c r="T35" s="357"/>
      <c r="U35" s="357"/>
      <c r="V35" s="357"/>
      <c r="W35" s="357"/>
      <c r="X35" s="357"/>
      <c r="Y35" s="357"/>
      <c r="Z35" s="357"/>
      <c r="AA35" s="357"/>
      <c r="AB35" s="357"/>
    </row>
    <row r="36" spans="1:28" ht="14" x14ac:dyDescent="0.2">
      <c r="A36" s="34"/>
      <c r="B36" s="361" t="s">
        <v>391</v>
      </c>
      <c r="C36" s="352"/>
      <c r="D36" s="357"/>
      <c r="E36" s="357"/>
      <c r="F36" s="357"/>
      <c r="G36" s="357"/>
      <c r="H36" s="357"/>
      <c r="I36" s="357"/>
      <c r="J36" s="357"/>
      <c r="K36" s="357"/>
      <c r="L36" s="357"/>
      <c r="M36" s="357"/>
      <c r="N36" s="357"/>
      <c r="O36" s="357"/>
      <c r="P36" s="357"/>
      <c r="Q36" s="357"/>
      <c r="R36" s="357"/>
      <c r="S36" s="357"/>
      <c r="T36" s="357"/>
      <c r="U36" s="357"/>
      <c r="V36" s="357"/>
      <c r="W36" s="357"/>
      <c r="X36" s="357"/>
      <c r="Y36" s="357"/>
      <c r="Z36" s="357"/>
      <c r="AA36" s="357"/>
      <c r="AB36" s="357"/>
    </row>
    <row r="37" spans="1:28" ht="14" x14ac:dyDescent="0.2">
      <c r="A37" s="34"/>
      <c r="B37" s="361" t="s">
        <v>472</v>
      </c>
      <c r="C37" s="352"/>
      <c r="D37" s="357"/>
      <c r="E37" s="357"/>
      <c r="F37" s="357"/>
      <c r="G37" s="357"/>
      <c r="H37" s="357"/>
      <c r="I37" s="357"/>
      <c r="J37" s="357"/>
      <c r="K37" s="357"/>
      <c r="L37" s="357"/>
      <c r="M37" s="357"/>
      <c r="N37" s="357"/>
      <c r="O37" s="357"/>
      <c r="P37" s="357"/>
      <c r="Q37" s="357"/>
      <c r="R37" s="357"/>
      <c r="S37" s="357"/>
      <c r="T37" s="357"/>
      <c r="U37" s="357"/>
      <c r="V37" s="357"/>
      <c r="W37" s="357"/>
      <c r="X37" s="357"/>
      <c r="Y37" s="357"/>
      <c r="Z37" s="357"/>
      <c r="AA37" s="357"/>
      <c r="AB37" s="357"/>
    </row>
    <row r="38" spans="1:28" ht="14" x14ac:dyDescent="0.2">
      <c r="A38" s="34"/>
      <c r="B38" s="355" t="s">
        <v>396</v>
      </c>
      <c r="C38" s="352"/>
      <c r="D38" s="354">
        <f>SUM(D21:AB21)</f>
        <v>11746731.79784785</v>
      </c>
      <c r="E38" s="357"/>
      <c r="F38" s="357"/>
      <c r="G38" s="357"/>
      <c r="H38" s="357"/>
      <c r="I38" s="357"/>
      <c r="J38" s="357"/>
      <c r="K38" s="357"/>
      <c r="L38" s="357"/>
      <c r="M38" s="357"/>
      <c r="N38" s="357"/>
      <c r="O38" s="357"/>
      <c r="P38" s="357"/>
      <c r="Q38" s="357"/>
      <c r="R38" s="357"/>
      <c r="S38" s="357"/>
      <c r="T38" s="357"/>
      <c r="U38" s="357"/>
      <c r="V38" s="357"/>
      <c r="W38" s="357"/>
      <c r="X38" s="357"/>
      <c r="Y38" s="357"/>
      <c r="Z38" s="357"/>
      <c r="AA38" s="357"/>
      <c r="AB38" s="357"/>
    </row>
    <row r="39" spans="1:28" ht="14" x14ac:dyDescent="0.2">
      <c r="A39" s="34"/>
      <c r="B39" s="355" t="s">
        <v>473</v>
      </c>
      <c r="C39" s="352"/>
      <c r="D39" s="357">
        <f>SUM(D25:AB25)</f>
        <v>1174483.6722663213</v>
      </c>
      <c r="E39" s="357"/>
      <c r="F39" s="357"/>
      <c r="G39" s="357"/>
      <c r="H39" s="357"/>
      <c r="I39" s="357"/>
      <c r="J39" s="357"/>
      <c r="K39" s="357"/>
      <c r="L39" s="357"/>
      <c r="M39" s="357"/>
      <c r="N39" s="357"/>
      <c r="O39" s="357"/>
      <c r="P39" s="357"/>
      <c r="Q39" s="357"/>
      <c r="R39" s="357"/>
      <c r="S39" s="357"/>
      <c r="T39" s="357"/>
      <c r="U39" s="357"/>
      <c r="V39" s="357"/>
      <c r="W39" s="357"/>
      <c r="X39" s="357"/>
      <c r="Y39" s="357"/>
      <c r="Z39" s="357"/>
      <c r="AA39" s="357"/>
      <c r="AB39" s="357"/>
    </row>
    <row r="40" spans="1:28" ht="14" x14ac:dyDescent="0.2">
      <c r="A40" s="34"/>
      <c r="B40" s="361" t="s">
        <v>398</v>
      </c>
      <c r="C40" s="352"/>
      <c r="D40" s="356">
        <f>D39/D38</f>
        <v>9.9983867213304517E-2</v>
      </c>
      <c r="E40" s="357"/>
      <c r="F40" s="357"/>
      <c r="G40" s="357"/>
      <c r="H40" s="357"/>
      <c r="I40" s="357"/>
      <c r="J40" s="357"/>
      <c r="K40" s="357"/>
      <c r="L40" s="357"/>
      <c r="M40" s="357"/>
      <c r="N40" s="357"/>
      <c r="O40" s="357"/>
      <c r="P40" s="357"/>
      <c r="Q40" s="357"/>
      <c r="R40" s="357"/>
      <c r="S40" s="357"/>
      <c r="T40" s="357"/>
      <c r="U40" s="357"/>
      <c r="V40" s="357"/>
      <c r="W40" s="357"/>
      <c r="X40" s="357"/>
      <c r="Y40" s="357"/>
      <c r="Z40" s="357"/>
      <c r="AA40" s="357"/>
      <c r="AB40" s="357"/>
    </row>
    <row r="41" spans="1:28" ht="14" x14ac:dyDescent="0.2">
      <c r="A41" s="34"/>
      <c r="B41" s="361"/>
      <c r="C41" s="352"/>
      <c r="D41" s="357"/>
      <c r="E41" s="357"/>
      <c r="F41" s="357"/>
      <c r="G41" s="357"/>
      <c r="H41" s="357"/>
      <c r="I41" s="357"/>
      <c r="J41" s="357"/>
      <c r="K41" s="357"/>
      <c r="L41" s="357"/>
      <c r="M41" s="357"/>
      <c r="N41" s="357"/>
      <c r="O41" s="357"/>
      <c r="P41" s="357"/>
      <c r="Q41" s="357"/>
      <c r="R41" s="357"/>
      <c r="S41" s="357"/>
      <c r="T41" s="357"/>
      <c r="U41" s="357"/>
      <c r="V41" s="357"/>
      <c r="W41" s="357"/>
      <c r="X41" s="357"/>
      <c r="Y41" s="357"/>
      <c r="Z41" s="357"/>
      <c r="AA41" s="357"/>
      <c r="AB41" s="357"/>
    </row>
    <row r="42" spans="1:28" ht="14" x14ac:dyDescent="0.2">
      <c r="A42" s="34"/>
      <c r="B42" s="361" t="s">
        <v>400</v>
      </c>
      <c r="C42" s="352"/>
      <c r="D42" s="357"/>
      <c r="E42" s="357"/>
      <c r="F42" s="357"/>
      <c r="G42" s="357"/>
      <c r="H42" s="357"/>
      <c r="I42" s="357"/>
      <c r="J42" s="357"/>
      <c r="K42" s="357"/>
      <c r="L42" s="357"/>
      <c r="M42" s="357"/>
      <c r="N42" s="357"/>
      <c r="O42" s="357"/>
      <c r="P42" s="357"/>
      <c r="Q42" s="357"/>
      <c r="R42" s="357"/>
      <c r="S42" s="357"/>
      <c r="T42" s="357"/>
      <c r="U42" s="357"/>
      <c r="V42" s="357"/>
      <c r="W42" s="357"/>
      <c r="X42" s="357"/>
      <c r="Y42" s="357"/>
      <c r="Z42" s="357"/>
      <c r="AA42" s="357"/>
      <c r="AB42" s="357"/>
    </row>
    <row r="43" spans="1:28" ht="14" x14ac:dyDescent="0.2">
      <c r="A43" s="34"/>
      <c r="B43" s="355" t="s">
        <v>385</v>
      </c>
      <c r="C43" s="352"/>
      <c r="D43" s="354">
        <f>SUM(D21:AB21)</f>
        <v>11746731.79784785</v>
      </c>
      <c r="E43" s="357"/>
      <c r="F43" s="357"/>
      <c r="G43" s="357"/>
      <c r="H43" s="357"/>
      <c r="I43" s="357"/>
      <c r="J43" s="357"/>
      <c r="K43" s="357"/>
      <c r="L43" s="357"/>
      <c r="M43" s="357"/>
      <c r="N43" s="357"/>
      <c r="O43" s="357"/>
      <c r="P43" s="357"/>
      <c r="Q43" s="357"/>
      <c r="R43" s="357"/>
      <c r="S43" s="357"/>
      <c r="T43" s="357"/>
      <c r="U43" s="357"/>
      <c r="V43" s="357"/>
      <c r="W43" s="357"/>
      <c r="X43" s="357"/>
      <c r="Y43" s="357"/>
      <c r="Z43" s="357"/>
      <c r="AA43" s="357"/>
      <c r="AB43" s="357"/>
    </row>
    <row r="44" spans="1:28" ht="14" x14ac:dyDescent="0.2">
      <c r="A44" s="34"/>
      <c r="B44" s="355" t="s">
        <v>386</v>
      </c>
      <c r="C44" s="352"/>
      <c r="D44" s="357">
        <f>SUM(D26:AB26)</f>
        <v>1164648.7848549844</v>
      </c>
      <c r="E44" s="357"/>
      <c r="F44" s="357"/>
      <c r="G44" s="357"/>
      <c r="H44" s="357"/>
      <c r="I44" s="357"/>
      <c r="J44" s="357"/>
      <c r="K44" s="357"/>
      <c r="L44" s="357"/>
      <c r="M44" s="357"/>
      <c r="N44" s="357"/>
      <c r="O44" s="357"/>
      <c r="P44" s="357"/>
      <c r="Q44" s="357"/>
      <c r="R44" s="357"/>
      <c r="S44" s="357"/>
      <c r="T44" s="357"/>
      <c r="U44" s="357"/>
      <c r="V44" s="357"/>
      <c r="W44" s="357"/>
      <c r="X44" s="357"/>
      <c r="Y44" s="357"/>
      <c r="Z44" s="357"/>
      <c r="AA44" s="357"/>
      <c r="AB44" s="357"/>
    </row>
    <row r="45" spans="1:28" ht="14" x14ac:dyDescent="0.2">
      <c r="A45" s="34"/>
      <c r="B45" s="361" t="s">
        <v>397</v>
      </c>
      <c r="C45" s="352"/>
      <c r="D45" s="362">
        <f>D44/D43</f>
        <v>9.914662264344562E-2</v>
      </c>
      <c r="E45" s="357"/>
      <c r="F45" s="357"/>
      <c r="G45" s="357"/>
      <c r="H45" s="357"/>
      <c r="I45" s="357"/>
      <c r="J45" s="357"/>
      <c r="K45" s="357"/>
      <c r="L45" s="357"/>
      <c r="M45" s="357"/>
      <c r="N45" s="357"/>
      <c r="O45" s="357"/>
      <c r="P45" s="357"/>
      <c r="Q45" s="357"/>
      <c r="R45" s="357"/>
      <c r="S45" s="357"/>
      <c r="T45" s="357"/>
      <c r="U45" s="357"/>
      <c r="V45" s="357"/>
      <c r="W45" s="357"/>
      <c r="X45" s="357"/>
      <c r="Y45" s="357"/>
      <c r="Z45" s="357"/>
      <c r="AA45" s="357"/>
      <c r="AB45" s="357"/>
    </row>
    <row r="46" spans="1:28" ht="14" x14ac:dyDescent="0.2">
      <c r="A46" s="34"/>
      <c r="B46" s="361"/>
      <c r="C46" s="352"/>
      <c r="D46" s="357"/>
      <c r="E46" s="357"/>
      <c r="F46" s="357"/>
      <c r="G46" s="357"/>
      <c r="H46" s="357"/>
      <c r="I46" s="357"/>
      <c r="J46" s="357"/>
      <c r="K46" s="357"/>
      <c r="L46" s="357"/>
      <c r="M46" s="357"/>
      <c r="N46" s="357"/>
      <c r="O46" s="357"/>
      <c r="P46" s="357"/>
      <c r="Q46" s="357"/>
      <c r="R46" s="357"/>
      <c r="S46" s="357"/>
      <c r="T46" s="357"/>
      <c r="U46" s="357"/>
      <c r="V46" s="357"/>
      <c r="W46" s="357"/>
      <c r="X46" s="357"/>
      <c r="Y46" s="357"/>
      <c r="Z46" s="357"/>
      <c r="AA46" s="357"/>
      <c r="AB46" s="357"/>
    </row>
    <row r="47" spans="1:28" ht="14" x14ac:dyDescent="0.2">
      <c r="A47" s="34"/>
      <c r="B47" s="603" t="s">
        <v>404</v>
      </c>
      <c r="C47" s="352"/>
      <c r="D47" s="357"/>
      <c r="E47" s="357"/>
      <c r="F47" s="357"/>
      <c r="G47" s="357"/>
      <c r="H47" s="357"/>
      <c r="I47" s="357"/>
      <c r="J47" s="357"/>
      <c r="K47" s="357"/>
      <c r="L47" s="357"/>
      <c r="M47" s="357"/>
      <c r="N47" s="357"/>
      <c r="O47" s="357"/>
      <c r="P47" s="357"/>
      <c r="Q47" s="357"/>
      <c r="R47" s="357"/>
      <c r="S47" s="357"/>
      <c r="T47" s="357"/>
      <c r="U47" s="357"/>
      <c r="V47" s="357"/>
      <c r="W47" s="357"/>
      <c r="X47" s="357"/>
      <c r="Y47" s="357"/>
      <c r="Z47" s="357"/>
      <c r="AA47" s="357"/>
      <c r="AB47" s="357"/>
    </row>
    <row r="48" spans="1:28" ht="14" x14ac:dyDescent="0.2">
      <c r="A48" s="34"/>
      <c r="B48" s="603"/>
      <c r="C48" s="352"/>
      <c r="D48" s="357"/>
      <c r="E48" s="357"/>
      <c r="F48" s="357"/>
      <c r="G48" s="357"/>
      <c r="H48" s="357"/>
      <c r="I48" s="357"/>
      <c r="J48" s="357"/>
      <c r="K48" s="357"/>
      <c r="L48" s="357"/>
      <c r="M48" s="357"/>
      <c r="N48" s="357"/>
      <c r="O48" s="357"/>
      <c r="P48" s="357"/>
      <c r="Q48" s="357"/>
      <c r="R48" s="357"/>
      <c r="S48" s="357"/>
      <c r="T48" s="357"/>
      <c r="U48" s="357"/>
      <c r="V48" s="357"/>
      <c r="W48" s="357"/>
      <c r="X48" s="357"/>
      <c r="Y48" s="357"/>
      <c r="Z48" s="357"/>
      <c r="AA48" s="357"/>
      <c r="AB48" s="357"/>
    </row>
    <row r="49" spans="1:28" ht="14" x14ac:dyDescent="0.2">
      <c r="A49" s="34"/>
      <c r="B49" s="355" t="s">
        <v>295</v>
      </c>
      <c r="C49" s="357">
        <f>-Unstructured!C80</f>
        <v>574682.63235239836</v>
      </c>
      <c r="D49" s="363"/>
      <c r="E49" s="359"/>
      <c r="F49" s="359"/>
      <c r="G49" s="359"/>
      <c r="H49" s="359"/>
      <c r="I49" s="359"/>
      <c r="J49" s="359"/>
      <c r="K49" s="359"/>
      <c r="L49" s="359"/>
      <c r="M49" s="359"/>
      <c r="N49" s="359"/>
      <c r="O49" s="359"/>
      <c r="P49" s="359"/>
      <c r="Q49" s="359"/>
      <c r="R49" s="359"/>
      <c r="S49" s="359"/>
      <c r="T49" s="359"/>
      <c r="U49" s="359"/>
      <c r="V49" s="359"/>
      <c r="W49" s="359"/>
      <c r="X49" s="359"/>
      <c r="Y49" s="359"/>
      <c r="Z49" s="359"/>
      <c r="AA49" s="359"/>
      <c r="AB49" s="359"/>
    </row>
    <row r="50" spans="1:28" ht="14" x14ac:dyDescent="0.2">
      <c r="A50" s="34"/>
      <c r="B50" s="355" t="s">
        <v>296</v>
      </c>
      <c r="C50" s="364"/>
      <c r="D50" s="359"/>
      <c r="E50" s="359"/>
      <c r="F50" s="359"/>
      <c r="G50" s="359"/>
      <c r="H50" s="359"/>
      <c r="I50" s="359"/>
      <c r="J50" s="357">
        <f t="shared" ref="J50:V50" si="18">J31</f>
        <v>322851.29804160167</v>
      </c>
      <c r="K50" s="357">
        <f t="shared" si="18"/>
        <v>318765.23129794077</v>
      </c>
      <c r="L50" s="357">
        <f t="shared" si="18"/>
        <v>313968.60031727992</v>
      </c>
      <c r="M50" s="357">
        <f t="shared" si="18"/>
        <v>308409.53762612154</v>
      </c>
      <c r="N50" s="357">
        <f t="shared" si="18"/>
        <v>302032.88050858222</v>
      </c>
      <c r="O50" s="357">
        <f t="shared" si="18"/>
        <v>294779.96965735324</v>
      </c>
      <c r="P50" s="357">
        <f t="shared" si="18"/>
        <v>286588.43567161245</v>
      </c>
      <c r="Q50" s="357">
        <f t="shared" si="18"/>
        <v>277391.97267127567</v>
      </c>
      <c r="R50" s="357">
        <f t="shared" si="18"/>
        <v>267120.09825310658</v>
      </c>
      <c r="S50" s="357">
        <f t="shared" si="18"/>
        <v>255697.89896771099</v>
      </c>
      <c r="T50" s="357">
        <f t="shared" si="18"/>
        <v>243045.76044714957</v>
      </c>
      <c r="U50" s="357">
        <f t="shared" si="18"/>
        <v>229079.08126065964</v>
      </c>
      <c r="V50" s="357">
        <f t="shared" si="18"/>
        <v>213707.96952059431</v>
      </c>
      <c r="W50" s="357">
        <f t="shared" ref="W50:AB50" si="19">W31</f>
        <v>196836.9212019823</v>
      </c>
      <c r="X50" s="357">
        <f t="shared" si="19"/>
        <v>178364.47907688408</v>
      </c>
      <c r="Y50" s="357">
        <f t="shared" si="19"/>
        <v>158182.8710987588</v>
      </c>
      <c r="Z50" s="357">
        <f t="shared" si="19"/>
        <v>136177.62700213509</v>
      </c>
      <c r="AA50" s="357">
        <f t="shared" si="19"/>
        <v>112227.17180876291</v>
      </c>
      <c r="AB50" s="357">
        <f t="shared" si="19"/>
        <v>112227.17180876291</v>
      </c>
    </row>
    <row r="51" spans="1:28" ht="14" x14ac:dyDescent="0.2">
      <c r="A51" s="34"/>
      <c r="B51" s="355" t="s">
        <v>389</v>
      </c>
      <c r="C51" s="357">
        <v>0</v>
      </c>
      <c r="D51" s="357">
        <v>0</v>
      </c>
      <c r="E51" s="357">
        <f>SUM($D$26:E26)</f>
        <v>73561.672471993355</v>
      </c>
      <c r="F51" s="357">
        <f>SUM($D$26:F26)</f>
        <v>111442.6338992018</v>
      </c>
      <c r="G51" s="357">
        <f>SUM($D$26:G26)</f>
        <v>150076.479434776</v>
      </c>
      <c r="H51" s="357">
        <f>SUM($D$26:H26)</f>
        <v>189478.17265036976</v>
      </c>
      <c r="I51" s="357">
        <f>SUM($D$26:I26)</f>
        <v>229662.97451862344</v>
      </c>
      <c r="J51" s="357">
        <f>SUM($D$26:J26)</f>
        <v>270646.44932400866</v>
      </c>
      <c r="K51" s="357">
        <f>SUM($D$26:K26)</f>
        <v>312444.47069115087</v>
      </c>
      <c r="L51" s="357">
        <f>SUM($D$26:L26)</f>
        <v>355073.22773296502</v>
      </c>
      <c r="M51" s="357">
        <f>SUM($D$26:M26)</f>
        <v>398549.23132098524</v>
      </c>
      <c r="N51" s="357">
        <f>SUM($D$26:N26)</f>
        <v>442889.32048031734</v>
      </c>
      <c r="O51" s="357">
        <f>SUM($D$26:O26)</f>
        <v>488110.66891169117</v>
      </c>
      <c r="P51" s="357">
        <f>SUM($D$26:P26)</f>
        <v>534230.79164313851</v>
      </c>
      <c r="Q51" s="357">
        <f>SUM($D$26:Q26)</f>
        <v>581267.55181387346</v>
      </c>
      <c r="R51" s="357">
        <f>SUM($D$26:R26)</f>
        <v>629239.16759300174</v>
      </c>
      <c r="S51" s="357">
        <f>SUM($D$26:S26)</f>
        <v>678164.21923574014</v>
      </c>
      <c r="T51" s="357">
        <f>SUM($D$26:T26)</f>
        <v>728061.65627987799</v>
      </c>
      <c r="U51" s="357">
        <f>SUM($D$26:U26)</f>
        <v>778950.80488526809</v>
      </c>
      <c r="V51" s="357">
        <f>SUM($D$26:V26)</f>
        <v>830851.37531919032</v>
      </c>
      <c r="W51" s="357">
        <f>SUM($D$26:W26)</f>
        <v>883783.46959048673</v>
      </c>
      <c r="X51" s="357">
        <f>SUM($D$26:X26)</f>
        <v>937767.58923542511</v>
      </c>
      <c r="Y51" s="357">
        <f>SUM($D$26:Y26)</f>
        <v>992824.64325830666</v>
      </c>
      <c r="Z51" s="357">
        <f>SUM($D$26:Z26)</f>
        <v>1048975.956229893</v>
      </c>
      <c r="AA51" s="357">
        <f>SUM($D$26:AA26)</f>
        <v>1106243.2765467896</v>
      </c>
      <c r="AB51" s="357">
        <f>SUM($D$26:AB26)</f>
        <v>1164648.7848549844</v>
      </c>
    </row>
    <row r="52" spans="1:28" ht="14" x14ac:dyDescent="0.2">
      <c r="A52" s="34"/>
      <c r="B52" s="355" t="s">
        <v>181</v>
      </c>
      <c r="C52" s="357">
        <f>NPV(Customer_Discount_Rate,Unstructured!D38:$AB$38)</f>
        <v>113178.96318704465</v>
      </c>
      <c r="D52" s="357">
        <f>NPV(Customer_Discount_Rate,Unstructured!E38:$AB$38)</f>
        <v>112641.13097826733</v>
      </c>
      <c r="E52" s="357">
        <f>NPV(Customer_Discount_Rate,Unstructured!F38:$AB$38)</f>
        <v>111924.45743696341</v>
      </c>
      <c r="F52" s="357">
        <f>NPV(Customer_Discount_Rate,Unstructured!G38:$AB$38)</f>
        <v>111015.2806551812</v>
      </c>
      <c r="G52" s="357">
        <f>NPV(Customer_Discount_Rate,Unstructured!H38:$AB$38)</f>
        <v>109899.06038193204</v>
      </c>
      <c r="H52" s="357">
        <f>NPV(Customer_Discount_Rate,Unstructured!I38:$AB$38)</f>
        <v>108560.32415003682</v>
      </c>
      <c r="I52" s="357">
        <f>NPV(Customer_Discount_Rate,Unstructured!J38:$AB$38)</f>
        <v>106982.61014713156</v>
      </c>
      <c r="J52" s="357">
        <f>NPV(Customer_Discount_Rate,Unstructured!K38:$AB$38)</f>
        <v>105148.40663501392</v>
      </c>
      <c r="K52" s="357">
        <f>NPV(Customer_Discount_Rate,Unstructured!L38:$AB$38)</f>
        <v>103039.08770975025</v>
      </c>
      <c r="L52" s="357">
        <f>NPV(Customer_Discount_Rate,Unstructured!M38:$AB$38)</f>
        <v>100634.84518250356</v>
      </c>
      <c r="M52" s="357">
        <f>NPV(Customer_Discount_Rate,Unstructured!N38:$AB$38)</f>
        <v>97914.616347825344</v>
      </c>
      <c r="N52" s="357">
        <f>NPV(Customer_Discount_Rate,Unstructured!O38:$AB$38)</f>
        <v>94856.007392153871</v>
      </c>
      <c r="O52" s="357">
        <f>NPV(Customer_Discount_Rate,Unstructured!P38:$AB$38)</f>
        <v>91435.212180411327</v>
      </c>
      <c r="P52" s="357">
        <f>NPV(Customer_Discount_Rate,Unstructured!Q38:$AB$38)</f>
        <v>87626.926142858763</v>
      </c>
      <c r="Q52" s="357">
        <f>NPV(Customer_Discount_Rate,Unstructured!R38:$AB$38)</f>
        <v>83404.254967685527</v>
      </c>
      <c r="R52" s="357">
        <f>NPV(Customer_Discount_Rate,Unstructured!S38:$AB$38)</f>
        <v>78738.61778712699</v>
      </c>
      <c r="S52" s="357">
        <f>NPV(Customer_Discount_Rate,Unstructured!T38:$AB$38)</f>
        <v>73599.644526162563</v>
      </c>
      <c r="T52" s="357">
        <f>NPV(Customer_Discount_Rate,Unstructured!U38:$AB$38)</f>
        <v>67955.067062976392</v>
      </c>
      <c r="U52" s="357">
        <f>NPV(Customer_Discount_Rate,Unstructured!V38:$AB$38)</f>
        <v>61770.603829303953</v>
      </c>
      <c r="V52" s="357">
        <f>NPV(Customer_Discount_Rate,Unstructured!W38:$AB$38)</f>
        <v>55009.837456462155</v>
      </c>
      <c r="W52" s="357">
        <f>NPV(Customer_Discount_Rate,Unstructured!X38:$AB$38)</f>
        <v>47634.085049197849</v>
      </c>
      <c r="X52" s="357">
        <f>NPV(Customer_Discount_Rate,Unstructured!Y38:$AB$38)</f>
        <v>39602.260644404625</v>
      </c>
      <c r="Y52" s="357">
        <f>NPV(Customer_Discount_Rate,Unstructured!Z38:$AB$38)</f>
        <v>30870.729385168914</v>
      </c>
      <c r="Z52" s="357">
        <f>NPV(Customer_Discount_Rate,Unstructured!AA38:$AB$38)</f>
        <v>21393.152912421061</v>
      </c>
      <c r="AA52" s="357">
        <f>NPV(Customer_Discount_Rate,Unstructured!AB38:$AB$38)</f>
        <v>11120.32544659118</v>
      </c>
      <c r="AB52" s="357">
        <f>NPV(Customer_Discount_Rate,Unstructured!$AB38:AC$38)</f>
        <v>11120.32544659118</v>
      </c>
    </row>
    <row r="53" spans="1:28" ht="14" x14ac:dyDescent="0.2">
      <c r="A53" s="34"/>
      <c r="B53" s="360" t="s">
        <v>182</v>
      </c>
      <c r="C53" s="344">
        <f>SUM(C49:C52)</f>
        <v>687861.59553944296</v>
      </c>
      <c r="D53" s="357">
        <f>SUM(D49:D52)</f>
        <v>112641.13097826733</v>
      </c>
      <c r="E53" s="357">
        <f t="shared" ref="E53:V53" si="20">SUM(E49:E52)</f>
        <v>185486.12990895676</v>
      </c>
      <c r="F53" s="357">
        <f t="shared" si="20"/>
        <v>222457.91455438299</v>
      </c>
      <c r="G53" s="357">
        <f t="shared" si="20"/>
        <v>259975.53981670804</v>
      </c>
      <c r="H53" s="357">
        <f t="shared" si="20"/>
        <v>298038.4968004066</v>
      </c>
      <c r="I53" s="357">
        <f t="shared" si="20"/>
        <v>336645.58466575498</v>
      </c>
      <c r="J53" s="357">
        <f t="shared" si="20"/>
        <v>698646.1540006242</v>
      </c>
      <c r="K53" s="357">
        <f t="shared" si="20"/>
        <v>734248.78969884198</v>
      </c>
      <c r="L53" s="357">
        <f t="shared" si="20"/>
        <v>769676.67323274852</v>
      </c>
      <c r="M53" s="357">
        <f t="shared" si="20"/>
        <v>804873.38529493217</v>
      </c>
      <c r="N53" s="357">
        <f t="shared" si="20"/>
        <v>839778.20838105341</v>
      </c>
      <c r="O53" s="357">
        <f t="shared" si="20"/>
        <v>874325.85074945574</v>
      </c>
      <c r="P53" s="357">
        <f t="shared" si="20"/>
        <v>908446.1534576097</v>
      </c>
      <c r="Q53" s="357">
        <f t="shared" si="20"/>
        <v>942063.77945283474</v>
      </c>
      <c r="R53" s="357">
        <f t="shared" si="20"/>
        <v>975097.88363323535</v>
      </c>
      <c r="S53" s="357">
        <f t="shared" si="20"/>
        <v>1007461.7627296137</v>
      </c>
      <c r="T53" s="357">
        <f t="shared" si="20"/>
        <v>1039062.483790004</v>
      </c>
      <c r="U53" s="357">
        <f t="shared" si="20"/>
        <v>1069800.4899752317</v>
      </c>
      <c r="V53" s="357">
        <f t="shared" si="20"/>
        <v>1099569.1822962468</v>
      </c>
      <c r="W53" s="357">
        <f t="shared" ref="W53:AB53" si="21">SUM(W49:W52)</f>
        <v>1128254.4758416668</v>
      </c>
      <c r="X53" s="357">
        <f t="shared" si="21"/>
        <v>1155734.3289567139</v>
      </c>
      <c r="Y53" s="357">
        <f t="shared" si="21"/>
        <v>1181878.2437422345</v>
      </c>
      <c r="Z53" s="357">
        <f t="shared" si="21"/>
        <v>1206546.7361444493</v>
      </c>
      <c r="AA53" s="357">
        <f t="shared" si="21"/>
        <v>1229590.7738021438</v>
      </c>
      <c r="AB53" s="357">
        <f t="shared" si="21"/>
        <v>1287996.2821103386</v>
      </c>
    </row>
    <row r="54" spans="1:28" ht="14" x14ac:dyDescent="0.2">
      <c r="A54" s="34"/>
      <c r="B54" s="366"/>
      <c r="C54" s="604" t="s">
        <v>403</v>
      </c>
      <c r="D54" s="604"/>
      <c r="E54" s="367"/>
      <c r="F54" s="367"/>
      <c r="G54" s="367"/>
      <c r="H54" s="367"/>
      <c r="I54" s="367"/>
      <c r="J54" s="367"/>
      <c r="K54" s="367"/>
      <c r="L54" s="367"/>
      <c r="M54" s="367"/>
      <c r="N54" s="367"/>
      <c r="O54" s="367"/>
      <c r="P54" s="367"/>
      <c r="Q54" s="367"/>
      <c r="R54" s="367"/>
      <c r="S54" s="367"/>
      <c r="T54" s="367"/>
      <c r="U54" s="367"/>
      <c r="V54" s="367"/>
      <c r="W54" s="367"/>
      <c r="X54" s="367"/>
      <c r="Y54" s="367"/>
      <c r="Z54" s="367"/>
      <c r="AA54" s="367"/>
      <c r="AB54" s="367"/>
    </row>
    <row r="55" spans="1:28" ht="14" customHeight="1" x14ac:dyDescent="0.2">
      <c r="A55" s="34"/>
      <c r="B55" s="368" t="s">
        <v>390</v>
      </c>
      <c r="C55" s="604"/>
      <c r="D55" s="604"/>
      <c r="E55" s="367"/>
      <c r="F55" s="367"/>
      <c r="G55" s="367"/>
      <c r="H55" s="367"/>
      <c r="I55" s="367"/>
      <c r="J55" s="367"/>
      <c r="K55" s="367"/>
      <c r="L55" s="367"/>
      <c r="M55" s="367"/>
      <c r="N55" s="367"/>
      <c r="O55" s="367"/>
      <c r="P55" s="367"/>
      <c r="Q55" s="367"/>
      <c r="R55" s="367"/>
      <c r="S55" s="367"/>
      <c r="T55" s="367"/>
      <c r="U55" s="367"/>
      <c r="V55" s="367"/>
      <c r="W55" s="367"/>
      <c r="X55" s="367"/>
      <c r="Y55" s="367"/>
      <c r="Z55" s="367"/>
      <c r="AA55" s="367"/>
      <c r="AB55" s="367"/>
    </row>
    <row r="56" spans="1:28" ht="15" x14ac:dyDescent="0.2">
      <c r="A56" s="34"/>
      <c r="B56" s="355" t="s">
        <v>405</v>
      </c>
      <c r="C56" s="356">
        <f>$C$53/$D$43</f>
        <v>5.8557699909813889E-2</v>
      </c>
      <c r="D56" s="369" t="s">
        <v>399</v>
      </c>
      <c r="E56" s="370"/>
      <c r="F56" s="367"/>
      <c r="G56" s="367"/>
      <c r="H56" s="367"/>
      <c r="I56" s="367"/>
      <c r="J56" s="367"/>
      <c r="K56" s="367"/>
      <c r="L56" s="367"/>
      <c r="M56" s="367"/>
      <c r="N56" s="367"/>
      <c r="O56" s="367"/>
      <c r="P56" s="367"/>
      <c r="Q56" s="367"/>
      <c r="R56" s="367"/>
      <c r="S56" s="367"/>
      <c r="T56" s="367"/>
      <c r="U56" s="367"/>
      <c r="V56" s="367"/>
      <c r="W56" s="367"/>
      <c r="X56" s="367"/>
      <c r="Y56" s="367"/>
      <c r="Z56" s="367"/>
      <c r="AA56" s="367"/>
      <c r="AB56" s="367"/>
    </row>
    <row r="57" spans="1:28" ht="15" x14ac:dyDescent="0.2">
      <c r="A57" s="34"/>
      <c r="B57" s="355" t="s">
        <v>124</v>
      </c>
      <c r="C57" s="356">
        <f>$J$53/$D$43</f>
        <v>5.9475790034520498E-2</v>
      </c>
      <c r="D57" s="369" t="s">
        <v>399</v>
      </c>
      <c r="E57" s="370"/>
      <c r="F57" s="367"/>
      <c r="G57" s="367"/>
      <c r="H57" s="367"/>
      <c r="I57" s="367"/>
      <c r="J57" s="367"/>
      <c r="K57" s="367"/>
      <c r="L57" s="367"/>
      <c r="M57" s="367"/>
      <c r="N57" s="367"/>
      <c r="O57" s="367"/>
      <c r="P57" s="367"/>
      <c r="Q57" s="367"/>
      <c r="R57" s="367"/>
      <c r="S57" s="367"/>
      <c r="T57" s="367"/>
      <c r="U57" s="367"/>
      <c r="V57" s="367"/>
      <c r="W57" s="367"/>
      <c r="X57" s="367"/>
      <c r="Y57" s="367"/>
      <c r="Z57" s="367"/>
      <c r="AA57" s="367"/>
      <c r="AB57" s="367"/>
    </row>
    <row r="58" spans="1:28" ht="15" x14ac:dyDescent="0.2">
      <c r="A58" s="34"/>
      <c r="B58" s="355" t="s">
        <v>191</v>
      </c>
      <c r="C58" s="356">
        <f>$M$53/$D$43</f>
        <v>6.8518920764190361E-2</v>
      </c>
      <c r="D58" s="369" t="s">
        <v>399</v>
      </c>
      <c r="E58" s="370"/>
      <c r="F58" s="367"/>
      <c r="G58" s="367"/>
      <c r="H58" s="367"/>
      <c r="I58" s="367"/>
      <c r="J58" s="367"/>
      <c r="K58" s="367"/>
      <c r="L58" s="367"/>
      <c r="M58" s="367"/>
      <c r="N58" s="367"/>
      <c r="O58" s="367"/>
      <c r="P58" s="367"/>
      <c r="Q58" s="367"/>
      <c r="R58" s="367"/>
      <c r="S58" s="367"/>
      <c r="T58" s="367"/>
      <c r="U58" s="367"/>
      <c r="V58" s="367"/>
      <c r="W58" s="367"/>
      <c r="X58" s="367"/>
      <c r="Y58" s="367"/>
      <c r="Z58" s="367"/>
      <c r="AA58" s="367"/>
      <c r="AB58" s="367"/>
    </row>
    <row r="59" spans="1:28" ht="15" x14ac:dyDescent="0.2">
      <c r="A59" s="34"/>
      <c r="B59" s="355" t="s">
        <v>174</v>
      </c>
      <c r="C59" s="356">
        <f>$R$53/$D$43</f>
        <v>8.301014277110555E-2</v>
      </c>
      <c r="D59" s="369" t="s">
        <v>399</v>
      </c>
      <c r="E59" s="370"/>
      <c r="F59" s="367"/>
      <c r="G59" s="367"/>
      <c r="H59" s="367"/>
      <c r="I59" s="367"/>
      <c r="J59" s="367"/>
      <c r="K59" s="367"/>
      <c r="L59" s="367"/>
      <c r="M59" s="367"/>
      <c r="N59" s="367"/>
      <c r="O59" s="367"/>
      <c r="P59" s="367"/>
      <c r="Q59" s="367"/>
      <c r="R59" s="367"/>
      <c r="S59" s="367"/>
      <c r="T59" s="367"/>
      <c r="U59" s="367"/>
      <c r="V59" s="367"/>
      <c r="W59" s="367"/>
      <c r="X59" s="367"/>
      <c r="Y59" s="367"/>
      <c r="Z59" s="367"/>
      <c r="AA59" s="367"/>
      <c r="AB59" s="367"/>
    </row>
    <row r="60" spans="1:28" ht="15" x14ac:dyDescent="0.2">
      <c r="A60" s="34"/>
      <c r="B60" s="355" t="s">
        <v>91</v>
      </c>
      <c r="C60" s="356">
        <f>$W$53/$D$43</f>
        <v>9.6048372880053093E-2</v>
      </c>
      <c r="D60" s="369" t="s">
        <v>399</v>
      </c>
      <c r="E60" s="370"/>
      <c r="F60" s="367"/>
      <c r="G60" s="367"/>
      <c r="H60" s="367"/>
      <c r="I60" s="367"/>
      <c r="J60" s="367"/>
      <c r="K60" s="367"/>
      <c r="L60" s="367"/>
      <c r="M60" s="367"/>
      <c r="N60" s="367"/>
      <c r="O60" s="367"/>
      <c r="P60" s="367"/>
      <c r="Q60" s="367"/>
      <c r="R60" s="367"/>
      <c r="S60" s="367"/>
      <c r="T60" s="367"/>
      <c r="U60" s="367"/>
      <c r="V60" s="367"/>
      <c r="W60" s="367"/>
      <c r="X60" s="367"/>
      <c r="Y60" s="367"/>
      <c r="Z60" s="367"/>
      <c r="AA60" s="367"/>
      <c r="AB60" s="367"/>
    </row>
    <row r="61" spans="1:28" ht="16" thickBot="1" x14ac:dyDescent="0.25">
      <c r="A61" s="34"/>
      <c r="B61" s="371" t="s">
        <v>449</v>
      </c>
      <c r="C61" s="372">
        <f>$AB$53/$D$43</f>
        <v>0.10964720266672946</v>
      </c>
      <c r="D61" s="373" t="s">
        <v>399</v>
      </c>
      <c r="E61" s="374"/>
      <c r="F61" s="375"/>
      <c r="G61" s="375"/>
      <c r="H61" s="375"/>
      <c r="I61" s="375"/>
      <c r="J61" s="375"/>
      <c r="K61" s="375"/>
      <c r="L61" s="375"/>
      <c r="M61" s="375"/>
      <c r="N61" s="375"/>
      <c r="O61" s="375"/>
      <c r="P61" s="375"/>
      <c r="Q61" s="375"/>
      <c r="R61" s="375"/>
      <c r="S61" s="375"/>
      <c r="T61" s="375"/>
      <c r="U61" s="375"/>
      <c r="V61" s="375"/>
      <c r="W61" s="375"/>
      <c r="X61" s="375"/>
      <c r="Y61" s="375"/>
      <c r="Z61" s="375"/>
      <c r="AA61" s="375"/>
      <c r="AB61" s="375"/>
    </row>
    <row r="62" spans="1:28" ht="14" x14ac:dyDescent="0.2">
      <c r="A62" s="34"/>
      <c r="B62" s="376"/>
      <c r="C62" s="377"/>
      <c r="D62" s="365"/>
      <c r="E62" s="346"/>
      <c r="F62" s="346"/>
      <c r="G62" s="346"/>
      <c r="H62" s="346"/>
      <c r="I62" s="346"/>
      <c r="J62" s="346"/>
      <c r="K62" s="346"/>
      <c r="L62" s="346"/>
      <c r="M62" s="346"/>
      <c r="N62" s="346"/>
      <c r="O62" s="346"/>
      <c r="P62" s="346"/>
      <c r="Q62" s="346"/>
      <c r="R62" s="346"/>
      <c r="S62" s="346"/>
      <c r="T62" s="346"/>
      <c r="U62" s="346"/>
      <c r="V62" s="346"/>
      <c r="W62" s="346"/>
      <c r="X62" s="346"/>
      <c r="Y62" s="346"/>
      <c r="Z62" s="346"/>
      <c r="AA62" s="346"/>
      <c r="AB62" s="346"/>
    </row>
    <row r="63" spans="1:28" ht="15" thickBot="1" x14ac:dyDescent="0.25">
      <c r="A63" s="34"/>
      <c r="B63" s="347"/>
      <c r="C63" s="377"/>
      <c r="D63" s="365"/>
      <c r="E63" s="365"/>
      <c r="F63" s="365"/>
      <c r="G63" s="365"/>
      <c r="H63" s="365"/>
      <c r="I63" s="365"/>
      <c r="J63" s="365"/>
      <c r="K63" s="365"/>
      <c r="L63" s="365"/>
      <c r="M63" s="365"/>
      <c r="N63" s="365"/>
      <c r="O63" s="365"/>
      <c r="P63" s="365"/>
      <c r="Q63" s="365"/>
      <c r="R63" s="365"/>
      <c r="S63" s="365"/>
      <c r="T63" s="365"/>
      <c r="U63" s="365"/>
      <c r="V63" s="365"/>
      <c r="W63" s="365"/>
      <c r="X63" s="365"/>
      <c r="Y63" s="365"/>
      <c r="Z63" s="365"/>
      <c r="AA63" s="365"/>
      <c r="AB63" s="365"/>
    </row>
    <row r="64" spans="1:28" ht="17" customHeight="1" thickBot="1" x14ac:dyDescent="0.25">
      <c r="A64" s="34"/>
      <c r="B64" s="600" t="s">
        <v>266</v>
      </c>
      <c r="C64" s="600"/>
      <c r="D64" s="600">
        <v>1</v>
      </c>
      <c r="E64" s="605" t="s">
        <v>474</v>
      </c>
      <c r="F64" s="606"/>
      <c r="G64" s="606"/>
      <c r="H64" s="606"/>
      <c r="I64" s="606"/>
      <c r="J64" s="606"/>
      <c r="K64" s="606"/>
      <c r="L64" s="606"/>
      <c r="M64" s="606"/>
      <c r="N64" s="606"/>
      <c r="O64" s="607"/>
      <c r="P64" s="346"/>
      <c r="Q64" s="346"/>
      <c r="R64" s="346"/>
      <c r="S64" s="346"/>
      <c r="T64" s="346"/>
      <c r="U64" s="346"/>
      <c r="V64" s="346"/>
      <c r="W64" s="346"/>
      <c r="X64" s="346"/>
      <c r="Y64" s="346"/>
      <c r="Z64" s="346"/>
      <c r="AA64" s="346"/>
      <c r="AB64" s="346"/>
    </row>
    <row r="65" spans="1:28" ht="14" x14ac:dyDescent="0.2">
      <c r="A65" s="34"/>
      <c r="B65" s="348" t="s">
        <v>286</v>
      </c>
      <c r="C65" s="349">
        <v>0</v>
      </c>
      <c r="D65" s="350">
        <v>1</v>
      </c>
      <c r="E65" s="350">
        <v>2</v>
      </c>
      <c r="F65" s="350">
        <v>3</v>
      </c>
      <c r="G65" s="350">
        <v>4</v>
      </c>
      <c r="H65" s="350">
        <v>5</v>
      </c>
      <c r="I65" s="350">
        <v>6</v>
      </c>
      <c r="J65" s="350">
        <v>7</v>
      </c>
      <c r="K65" s="350">
        <v>8</v>
      </c>
      <c r="L65" s="350">
        <v>9</v>
      </c>
      <c r="M65" s="350">
        <v>10</v>
      </c>
      <c r="N65" s="350">
        <v>11</v>
      </c>
      <c r="O65" s="350">
        <v>12</v>
      </c>
      <c r="P65" s="350">
        <v>13</v>
      </c>
      <c r="Q65" s="350">
        <v>14</v>
      </c>
      <c r="R65" s="350">
        <v>15</v>
      </c>
      <c r="S65" s="350">
        <v>16</v>
      </c>
      <c r="T65" s="350">
        <v>17</v>
      </c>
      <c r="U65" s="350">
        <v>18</v>
      </c>
      <c r="V65" s="350">
        <v>19</v>
      </c>
      <c r="W65" s="350">
        <v>20</v>
      </c>
      <c r="X65" s="350">
        <v>21</v>
      </c>
      <c r="Y65" s="350">
        <v>22</v>
      </c>
      <c r="Z65" s="350">
        <v>23</v>
      </c>
      <c r="AA65" s="350">
        <v>24</v>
      </c>
      <c r="AB65" s="350">
        <v>25</v>
      </c>
    </row>
    <row r="66" spans="1:28" ht="14" x14ac:dyDescent="0.2">
      <c r="A66" s="34"/>
      <c r="B66" s="351" t="s">
        <v>267</v>
      </c>
      <c r="C66" s="378"/>
      <c r="D66" s="357">
        <f t="shared" ref="D66:V66" si="22">D25</f>
        <v>36726.463119760389</v>
      </c>
      <c r="E66" s="357">
        <f t="shared" si="22"/>
        <v>37456.401574265627</v>
      </c>
      <c r="F66" s="357">
        <f t="shared" si="22"/>
        <v>38200.847555554152</v>
      </c>
      <c r="G66" s="357">
        <f t="shared" si="22"/>
        <v>38960.08940072079</v>
      </c>
      <c r="H66" s="357">
        <f t="shared" si="22"/>
        <v>39734.421177560107</v>
      </c>
      <c r="I66" s="357">
        <f t="shared" si="22"/>
        <v>40524.142798464112</v>
      </c>
      <c r="J66" s="357">
        <f t="shared" si="22"/>
        <v>41329.560136583576</v>
      </c>
      <c r="K66" s="357">
        <f t="shared" si="22"/>
        <v>42150.985144298167</v>
      </c>
      <c r="L66" s="357">
        <f t="shared" si="22"/>
        <v>42988.735974041098</v>
      </c>
      <c r="M66" s="357">
        <f t="shared" si="22"/>
        <v>43843.137101525157</v>
      </c>
      <c r="N66" s="357">
        <f t="shared" si="22"/>
        <v>44714.51945141796</v>
      </c>
      <c r="O66" s="357">
        <f t="shared" si="22"/>
        <v>45603.220525514887</v>
      </c>
      <c r="P66" s="357">
        <f t="shared" si="22"/>
        <v>46509.584533459485</v>
      </c>
      <c r="Q66" s="357">
        <f t="shared" si="22"/>
        <v>47433.962526061987</v>
      </c>
      <c r="R66" s="357">
        <f t="shared" si="22"/>
        <v>48376.712531267469</v>
      </c>
      <c r="S66" s="357">
        <f t="shared" si="22"/>
        <v>49338.199692826405</v>
      </c>
      <c r="T66" s="357">
        <f t="shared" si="22"/>
        <v>50318.79641172132</v>
      </c>
      <c r="U66" s="357">
        <f t="shared" si="22"/>
        <v>51318.882490404278</v>
      </c>
      <c r="V66" s="357">
        <f t="shared" si="22"/>
        <v>52338.845279901056</v>
      </c>
      <c r="W66" s="357">
        <f t="shared" ref="W66:AB66" si="23">W25</f>
        <v>53379.079829839087</v>
      </c>
      <c r="X66" s="357">
        <f t="shared" si="23"/>
        <v>54439.989041457135</v>
      </c>
      <c r="Y66" s="357">
        <f t="shared" si="23"/>
        <v>55521.983823656097</v>
      </c>
      <c r="Z66" s="357">
        <f t="shared" si="23"/>
        <v>56625.483252151258</v>
      </c>
      <c r="AA66" s="357">
        <f t="shared" si="23"/>
        <v>57750.914731787758</v>
      </c>
      <c r="AB66" s="357">
        <f t="shared" si="23"/>
        <v>58898.714162082026</v>
      </c>
    </row>
    <row r="67" spans="1:28" ht="14" x14ac:dyDescent="0.2">
      <c r="A67" s="34"/>
      <c r="B67" s="351" t="s">
        <v>297</v>
      </c>
      <c r="C67" s="378"/>
      <c r="D67" s="357">
        <f>D66*(Taxpayer_Marginal_Rate+IF(Tax_Efficient_Status?="State &amp; Federal",State_Income_Tax_Rate,0))</f>
        <v>8630.7188331436901</v>
      </c>
      <c r="E67" s="357">
        <f t="shared" ref="E67:V67" si="24">E66*(Taxpayer_Marginal_Rate+IF(Tax_Efficient_Status?="State &amp; Federal",State_Income_Tax_Rate,0))</f>
        <v>8802.2543699524213</v>
      </c>
      <c r="F67" s="357">
        <f t="shared" si="24"/>
        <v>8977.1991755552244</v>
      </c>
      <c r="G67" s="357">
        <f t="shared" si="24"/>
        <v>9155.6210091693847</v>
      </c>
      <c r="H67" s="357">
        <f t="shared" si="24"/>
        <v>9337.5889767266253</v>
      </c>
      <c r="I67" s="357">
        <f t="shared" si="24"/>
        <v>9523.1735576390656</v>
      </c>
      <c r="J67" s="357">
        <f t="shared" si="24"/>
        <v>9712.4466320971405</v>
      </c>
      <c r="K67" s="357">
        <f t="shared" si="24"/>
        <v>9905.4815089100684</v>
      </c>
      <c r="L67" s="357">
        <f t="shared" si="24"/>
        <v>10102.352953899657</v>
      </c>
      <c r="M67" s="357">
        <f t="shared" si="24"/>
        <v>10303.137218858412</v>
      </c>
      <c r="N67" s="357">
        <f t="shared" si="24"/>
        <v>10507.912071083219</v>
      </c>
      <c r="O67" s="357">
        <f t="shared" si="24"/>
        <v>10716.756823495998</v>
      </c>
      <c r="P67" s="357">
        <f t="shared" si="24"/>
        <v>10929.752365362978</v>
      </c>
      <c r="Q67" s="357">
        <f t="shared" si="24"/>
        <v>11146.981193624566</v>
      </c>
      <c r="R67" s="357">
        <f t="shared" si="24"/>
        <v>11368.527444847854</v>
      </c>
      <c r="S67" s="357">
        <f t="shared" si="24"/>
        <v>11594.476927814205</v>
      </c>
      <c r="T67" s="357">
        <f t="shared" si="24"/>
        <v>11824.917156754509</v>
      </c>
      <c r="U67" s="357">
        <f t="shared" si="24"/>
        <v>12059.937385245004</v>
      </c>
      <c r="V67" s="357">
        <f t="shared" si="24"/>
        <v>12299.628640776747</v>
      </c>
      <c r="W67" s="357">
        <f t="shared" ref="W67:AB67" si="25">W66*(Taxpayer_Marginal_Rate+IF(Tax_Efficient_Status?="State &amp; Federal",State_Income_Tax_Rate,0))</f>
        <v>12544.083760012185</v>
      </c>
      <c r="X67" s="357">
        <f t="shared" si="25"/>
        <v>12793.397424742427</v>
      </c>
      <c r="Y67" s="357">
        <f t="shared" si="25"/>
        <v>13047.666198559182</v>
      </c>
      <c r="Z67" s="357">
        <f t="shared" si="25"/>
        <v>13306.988564255545</v>
      </c>
      <c r="AA67" s="357">
        <f t="shared" si="25"/>
        <v>13571.464961970123</v>
      </c>
      <c r="AB67" s="357">
        <f t="shared" si="25"/>
        <v>13841.197828089274</v>
      </c>
    </row>
    <row r="68" spans="1:28" ht="14" x14ac:dyDescent="0.2">
      <c r="B68" s="351" t="s">
        <v>299</v>
      </c>
      <c r="C68" s="357">
        <f>Unstructured!C87</f>
        <v>-574682.63235239836</v>
      </c>
      <c r="D68" s="357">
        <f>Unstructured!D87</f>
        <v>197811.79414209368</v>
      </c>
      <c r="E68" s="357">
        <f>Unstructured!E87</f>
        <v>53539.794658350918</v>
      </c>
      <c r="F68" s="357">
        <f>Unstructured!F87</f>
        <v>40877.059906569724</v>
      </c>
      <c r="G68" s="357">
        <f>Unstructured!G87</f>
        <v>33453.086289140934</v>
      </c>
      <c r="H68" s="357">
        <f>Unstructured!H87</f>
        <v>33883.313740169542</v>
      </c>
      <c r="I68" s="357">
        <f>Unstructured!I87</f>
        <v>28437.703489448402</v>
      </c>
      <c r="J68" s="357">
        <f>Unstructured!J87</f>
        <v>23000.798382870264</v>
      </c>
      <c r="K68" s="357">
        <f>Unstructured!K87</f>
        <v>23457.144626156911</v>
      </c>
      <c r="L68" s="357">
        <f>Unstructured!L87</f>
        <v>23922.544858537425</v>
      </c>
      <c r="M68" s="357">
        <f>Unstructured!M87</f>
        <v>24397.178710195214</v>
      </c>
      <c r="N68" s="357">
        <f>Unstructured!N87</f>
        <v>24881.229375106588</v>
      </c>
      <c r="O68" s="357">
        <f>Unstructured!O87</f>
        <v>25374.883681744006</v>
      </c>
      <c r="P68" s="357">
        <f>Unstructured!P87</f>
        <v>25878.332165181975</v>
      </c>
      <c r="Q68" s="357">
        <f>Unstructured!Q87</f>
        <v>26391.769140633551</v>
      </c>
      <c r="R68" s="357">
        <f>Unstructured!R87</f>
        <v>26915.392778445585</v>
      </c>
      <c r="S68" s="357">
        <f>Unstructured!S87</f>
        <v>27449.40518058198</v>
      </c>
      <c r="T68" s="357">
        <f>Unstructured!T87</f>
        <v>27994.012458624122</v>
      </c>
      <c r="U68" s="357">
        <f>Unstructured!U87</f>
        <v>28549.424813318932</v>
      </c>
      <c r="V68" s="357">
        <f>Unstructured!V87</f>
        <v>29115.856615704892</v>
      </c>
      <c r="W68" s="357">
        <f>Unstructured!W87</f>
        <v>29693.526489847682</v>
      </c>
      <c r="X68" s="357">
        <f>Unstructured!X87</f>
        <v>30282.657397217179</v>
      </c>
      <c r="Y68" s="357">
        <f>Unstructured!Y87</f>
        <v>30883.476722738327</v>
      </c>
      <c r="Z68" s="357">
        <f>Unstructured!Z87</f>
        <v>31496.216362549239</v>
      </c>
      <c r="AA68" s="357">
        <f>Unstructured!AA87</f>
        <v>32121.112813500313</v>
      </c>
      <c r="AB68" s="357">
        <f>Unstructured!AB87</f>
        <v>118960.80211728869</v>
      </c>
    </row>
    <row r="69" spans="1:28" ht="14" x14ac:dyDescent="0.2">
      <c r="A69" s="34"/>
      <c r="B69" s="351" t="s">
        <v>243</v>
      </c>
      <c r="C69" s="357">
        <f t="shared" ref="C69:V69" si="26">C68+C67</f>
        <v>-574682.63235239836</v>
      </c>
      <c r="D69" s="357">
        <f t="shared" si="26"/>
        <v>206442.51297523736</v>
      </c>
      <c r="E69" s="357">
        <f t="shared" si="26"/>
        <v>62342.049028303343</v>
      </c>
      <c r="F69" s="357">
        <f t="shared" si="26"/>
        <v>49854.259082124947</v>
      </c>
      <c r="G69" s="357">
        <f t="shared" si="26"/>
        <v>42608.707298310321</v>
      </c>
      <c r="H69" s="357">
        <f t="shared" si="26"/>
        <v>43220.902716896169</v>
      </c>
      <c r="I69" s="357">
        <f t="shared" si="26"/>
        <v>37960.877047087466</v>
      </c>
      <c r="J69" s="357">
        <f t="shared" si="26"/>
        <v>32713.245014967404</v>
      </c>
      <c r="K69" s="357">
        <f t="shared" si="26"/>
        <v>33362.626135066981</v>
      </c>
      <c r="L69" s="357">
        <f t="shared" si="26"/>
        <v>34024.897812437084</v>
      </c>
      <c r="M69" s="357">
        <f t="shared" si="26"/>
        <v>34700.315929053628</v>
      </c>
      <c r="N69" s="357">
        <f t="shared" si="26"/>
        <v>35389.141446189809</v>
      </c>
      <c r="O69" s="357">
        <f t="shared" si="26"/>
        <v>36091.640505240008</v>
      </c>
      <c r="P69" s="357">
        <f t="shared" si="26"/>
        <v>36808.084530544955</v>
      </c>
      <c r="Q69" s="357">
        <f t="shared" si="26"/>
        <v>37538.750334258119</v>
      </c>
      <c r="R69" s="357">
        <f t="shared" si="26"/>
        <v>38283.92022329344</v>
      </c>
      <c r="S69" s="357">
        <f t="shared" si="26"/>
        <v>39043.882108396181</v>
      </c>
      <c r="T69" s="357">
        <f t="shared" si="26"/>
        <v>39818.929615378627</v>
      </c>
      <c r="U69" s="357">
        <f t="shared" si="26"/>
        <v>40609.362198563933</v>
      </c>
      <c r="V69" s="357">
        <f t="shared" si="26"/>
        <v>41415.485256481639</v>
      </c>
      <c r="W69" s="357">
        <f t="shared" ref="W69:AB69" si="27">W68+W67</f>
        <v>42237.610249859863</v>
      </c>
      <c r="X69" s="357">
        <f t="shared" si="27"/>
        <v>43076.054821959609</v>
      </c>
      <c r="Y69" s="357">
        <f t="shared" si="27"/>
        <v>43931.142921297505</v>
      </c>
      <c r="Z69" s="357">
        <f t="shared" si="27"/>
        <v>44803.204926804785</v>
      </c>
      <c r="AA69" s="357">
        <f t="shared" si="27"/>
        <v>45692.577775470432</v>
      </c>
      <c r="AB69" s="357">
        <f t="shared" si="27"/>
        <v>132801.99994537796</v>
      </c>
    </row>
    <row r="70" spans="1:28" ht="14" x14ac:dyDescent="0.2">
      <c r="A70" s="34"/>
      <c r="B70" s="351" t="s">
        <v>244</v>
      </c>
      <c r="C70" s="357">
        <f>NPV(Customer_Discount_Rate,C68:AB68)</f>
        <v>-3981.0577844450577</v>
      </c>
      <c r="D70" s="357"/>
      <c r="E70" s="357"/>
      <c r="F70" s="357"/>
      <c r="G70" s="357"/>
      <c r="H70" s="357"/>
      <c r="I70" s="357"/>
      <c r="J70" s="357"/>
      <c r="K70" s="357"/>
      <c r="L70" s="357"/>
      <c r="M70" s="357"/>
      <c r="N70" s="357"/>
      <c r="O70" s="357"/>
      <c r="P70" s="357"/>
      <c r="Q70" s="357"/>
      <c r="R70" s="357"/>
      <c r="S70" s="357"/>
      <c r="T70" s="357"/>
      <c r="U70" s="357"/>
      <c r="V70" s="357"/>
      <c r="W70" s="357"/>
      <c r="X70" s="357"/>
      <c r="Y70" s="357"/>
      <c r="Z70" s="357"/>
      <c r="AA70" s="357"/>
      <c r="AB70" s="357"/>
    </row>
    <row r="71" spans="1:28" ht="15" thickBot="1" x14ac:dyDescent="0.25">
      <c r="A71" s="34"/>
      <c r="B71" s="379" t="s">
        <v>114</v>
      </c>
      <c r="C71" s="380">
        <f>IRR(C69:AB69)</f>
        <v>8.8903331748362735E-2</v>
      </c>
      <c r="D71" s="381"/>
      <c r="E71" s="381"/>
      <c r="F71" s="381"/>
      <c r="G71" s="381"/>
      <c r="H71" s="381"/>
      <c r="I71" s="381"/>
      <c r="J71" s="381"/>
      <c r="K71" s="381"/>
      <c r="L71" s="381"/>
      <c r="M71" s="381"/>
      <c r="N71" s="381"/>
      <c r="O71" s="381"/>
      <c r="P71" s="381"/>
      <c r="Q71" s="381"/>
      <c r="R71" s="381"/>
      <c r="S71" s="381"/>
      <c r="T71" s="381"/>
      <c r="U71" s="381"/>
      <c r="V71" s="381"/>
      <c r="W71" s="381"/>
      <c r="X71" s="381"/>
      <c r="Y71" s="381"/>
      <c r="Z71" s="381"/>
      <c r="AA71" s="381"/>
      <c r="AB71" s="381"/>
    </row>
    <row r="72" spans="1:28" ht="14" x14ac:dyDescent="0.2">
      <c r="A72" s="34"/>
      <c r="B72" s="347"/>
      <c r="C72" s="377"/>
      <c r="D72" s="365"/>
      <c r="E72" s="365"/>
      <c r="F72" s="365"/>
      <c r="G72" s="365"/>
      <c r="H72" s="365"/>
      <c r="I72" s="365"/>
      <c r="J72" s="365"/>
      <c r="K72" s="365"/>
      <c r="L72" s="365"/>
      <c r="M72" s="365"/>
      <c r="N72" s="365"/>
      <c r="O72" s="365"/>
      <c r="P72" s="365"/>
      <c r="Q72" s="365"/>
      <c r="R72" s="365"/>
      <c r="S72" s="365"/>
      <c r="T72" s="365"/>
      <c r="U72" s="365"/>
      <c r="V72" s="365"/>
      <c r="W72" s="365"/>
      <c r="X72" s="365"/>
      <c r="Y72" s="365"/>
      <c r="Z72" s="365"/>
      <c r="AA72" s="365"/>
      <c r="AB72" s="365"/>
    </row>
    <row r="73" spans="1:28" ht="14" x14ac:dyDescent="0.2">
      <c r="A73" s="34"/>
      <c r="B73" s="347"/>
      <c r="C73" s="377"/>
      <c r="D73" s="365"/>
      <c r="E73" s="365"/>
      <c r="F73" s="365"/>
      <c r="G73" s="365"/>
      <c r="H73" s="365"/>
      <c r="I73" s="365"/>
      <c r="J73" s="365"/>
      <c r="K73" s="365"/>
      <c r="L73" s="365"/>
      <c r="M73" s="365"/>
      <c r="N73" s="365"/>
      <c r="O73" s="365"/>
      <c r="P73" s="365"/>
      <c r="Q73" s="365"/>
      <c r="R73" s="365"/>
      <c r="S73" s="365"/>
      <c r="T73" s="365"/>
      <c r="U73" s="365"/>
      <c r="V73" s="365"/>
      <c r="W73" s="365"/>
      <c r="X73" s="365"/>
      <c r="Y73" s="365"/>
      <c r="Z73" s="365"/>
      <c r="AA73" s="365"/>
      <c r="AB73" s="365"/>
    </row>
    <row r="74" spans="1:28" ht="15" thickBot="1" x14ac:dyDescent="0.25">
      <c r="A74" s="34"/>
      <c r="B74" s="382"/>
      <c r="C74" s="382"/>
      <c r="D74" s="382"/>
      <c r="E74" s="382"/>
      <c r="F74" s="382"/>
      <c r="G74" s="382"/>
      <c r="H74" s="382"/>
      <c r="I74" s="382"/>
      <c r="J74" s="382"/>
      <c r="K74" s="382"/>
      <c r="L74" s="382"/>
      <c r="M74" s="382"/>
      <c r="N74" s="382"/>
      <c r="O74" s="382"/>
      <c r="P74" s="382"/>
      <c r="Q74" s="382"/>
      <c r="R74" s="382"/>
      <c r="S74" s="382"/>
      <c r="T74" s="382"/>
      <c r="U74" s="382"/>
      <c r="V74" s="382"/>
      <c r="W74" s="382"/>
      <c r="X74" s="382"/>
      <c r="Y74" s="382"/>
      <c r="Z74" s="382"/>
      <c r="AA74" s="382"/>
      <c r="AB74" s="382"/>
    </row>
    <row r="75" spans="1:28" ht="15" thickTop="1" x14ac:dyDescent="0.2">
      <c r="A75" s="34"/>
      <c r="B75" s="346"/>
      <c r="C75" s="346"/>
      <c r="D75" s="346"/>
      <c r="E75" s="346"/>
      <c r="F75" s="346"/>
      <c r="G75" s="346"/>
      <c r="H75" s="346"/>
      <c r="I75" s="346"/>
      <c r="J75" s="346"/>
      <c r="K75" s="346"/>
      <c r="L75" s="346"/>
      <c r="M75" s="346"/>
      <c r="N75" s="346"/>
      <c r="O75" s="346"/>
      <c r="P75" s="346"/>
      <c r="Q75" s="346"/>
      <c r="R75" s="346"/>
      <c r="S75" s="346"/>
      <c r="T75" s="346"/>
      <c r="U75" s="346"/>
      <c r="V75" s="346"/>
      <c r="W75" s="346"/>
      <c r="X75" s="346"/>
      <c r="Y75" s="346"/>
      <c r="Z75" s="346"/>
      <c r="AA75" s="346"/>
      <c r="AB75" s="346"/>
    </row>
    <row r="76" spans="1:28" ht="19" x14ac:dyDescent="0.25">
      <c r="A76" s="34"/>
      <c r="B76" s="345" t="s">
        <v>363</v>
      </c>
      <c r="C76" s="346"/>
      <c r="D76" s="346"/>
      <c r="E76" s="346"/>
      <c r="F76" s="346"/>
      <c r="G76" s="346"/>
      <c r="H76" s="346"/>
      <c r="I76" s="346"/>
      <c r="J76" s="346"/>
      <c r="K76" s="346"/>
      <c r="L76" s="346"/>
      <c r="M76" s="346"/>
      <c r="N76" s="346"/>
      <c r="O76" s="346"/>
      <c r="P76" s="346"/>
      <c r="Q76" s="346"/>
      <c r="R76" s="346"/>
      <c r="S76" s="346"/>
      <c r="T76" s="346"/>
      <c r="U76" s="346"/>
      <c r="V76" s="346"/>
      <c r="W76" s="346"/>
      <c r="X76" s="346"/>
      <c r="Y76" s="346"/>
      <c r="Z76" s="346"/>
      <c r="AA76" s="346"/>
      <c r="AB76" s="346"/>
    </row>
    <row r="77" spans="1:28" ht="19" x14ac:dyDescent="0.25">
      <c r="A77" s="34"/>
      <c r="B77" s="345"/>
      <c r="C77" s="346"/>
      <c r="D77" s="346"/>
      <c r="E77" s="346"/>
      <c r="F77" s="346"/>
      <c r="G77" s="346"/>
      <c r="H77" s="346"/>
      <c r="I77" s="346"/>
      <c r="J77" s="346"/>
      <c r="K77" s="346"/>
      <c r="L77" s="346"/>
      <c r="M77" s="346"/>
      <c r="N77" s="346"/>
      <c r="O77" s="346"/>
      <c r="P77" s="346"/>
      <c r="Q77" s="346"/>
      <c r="R77" s="346"/>
      <c r="S77" s="346"/>
      <c r="T77" s="346"/>
      <c r="U77" s="346"/>
      <c r="V77" s="346"/>
      <c r="W77" s="346"/>
      <c r="X77" s="346"/>
      <c r="Y77" s="346"/>
      <c r="Z77" s="346"/>
      <c r="AA77" s="346"/>
      <c r="AB77" s="346"/>
    </row>
    <row r="78" spans="1:28" ht="16" x14ac:dyDescent="0.2">
      <c r="A78" s="34"/>
      <c r="B78" s="600" t="s">
        <v>266</v>
      </c>
      <c r="C78" s="600"/>
      <c r="D78" s="600">
        <v>1</v>
      </c>
      <c r="E78" s="346"/>
      <c r="F78" s="346"/>
      <c r="G78" s="346"/>
      <c r="H78" s="346"/>
      <c r="I78" s="346"/>
      <c r="J78" s="346"/>
      <c r="K78" s="346"/>
      <c r="L78" s="346"/>
      <c r="M78" s="346"/>
      <c r="N78" s="346"/>
      <c r="O78" s="346"/>
      <c r="P78" s="346"/>
      <c r="Q78" s="346"/>
      <c r="R78" s="346"/>
      <c r="S78" s="346"/>
      <c r="T78" s="346"/>
      <c r="U78" s="346"/>
      <c r="V78" s="346"/>
      <c r="W78" s="346"/>
      <c r="X78" s="346"/>
      <c r="Y78" s="346"/>
      <c r="Z78" s="346"/>
      <c r="AA78" s="346"/>
      <c r="AB78" s="346"/>
    </row>
    <row r="79" spans="1:28" ht="14" x14ac:dyDescent="0.2">
      <c r="B79" s="383" t="s">
        <v>286</v>
      </c>
      <c r="C79" s="384">
        <v>0</v>
      </c>
      <c r="D79" s="385">
        <v>1</v>
      </c>
      <c r="E79" s="385">
        <v>2</v>
      </c>
      <c r="F79" s="385">
        <v>3</v>
      </c>
      <c r="G79" s="385">
        <v>4</v>
      </c>
      <c r="H79" s="385">
        <v>5</v>
      </c>
      <c r="I79" s="385">
        <v>6</v>
      </c>
      <c r="J79" s="385">
        <v>7</v>
      </c>
      <c r="K79" s="385">
        <v>8</v>
      </c>
      <c r="L79" s="385">
        <v>9</v>
      </c>
      <c r="M79" s="385">
        <v>10</v>
      </c>
      <c r="N79" s="385">
        <v>11</v>
      </c>
      <c r="O79" s="385">
        <v>12</v>
      </c>
      <c r="P79" s="385">
        <v>13</v>
      </c>
      <c r="Q79" s="385">
        <v>14</v>
      </c>
      <c r="R79" s="385">
        <v>15</v>
      </c>
      <c r="S79" s="385">
        <v>16</v>
      </c>
      <c r="T79" s="385">
        <v>17</v>
      </c>
      <c r="U79" s="385">
        <v>18</v>
      </c>
      <c r="V79" s="385">
        <v>19</v>
      </c>
      <c r="W79" s="385">
        <v>20</v>
      </c>
      <c r="X79" s="385">
        <v>21</v>
      </c>
      <c r="Y79" s="385">
        <v>22</v>
      </c>
      <c r="Z79" s="385">
        <v>23</v>
      </c>
      <c r="AA79" s="385">
        <v>24</v>
      </c>
      <c r="AB79" s="385">
        <v>25</v>
      </c>
    </row>
    <row r="80" spans="1:28" ht="14" x14ac:dyDescent="0.2">
      <c r="B80" s="386" t="s">
        <v>298</v>
      </c>
      <c r="C80" s="387"/>
      <c r="D80" s="357">
        <f t="shared" ref="D80:V80" si="28">D27</f>
        <v>307.53993293280655</v>
      </c>
      <c r="E80" s="357">
        <f t="shared" si="28"/>
        <v>313.65228909985308</v>
      </c>
      <c r="F80" s="357">
        <f t="shared" si="28"/>
        <v>319.88612834570813</v>
      </c>
      <c r="G80" s="357">
        <f t="shared" si="28"/>
        <v>326.24386514658545</v>
      </c>
      <c r="H80" s="357">
        <f t="shared" si="28"/>
        <v>332.72796196636773</v>
      </c>
      <c r="I80" s="357">
        <f t="shared" si="28"/>
        <v>339.34093021044828</v>
      </c>
      <c r="J80" s="357">
        <f t="shared" si="28"/>
        <v>346.08533119838103</v>
      </c>
      <c r="K80" s="357">
        <f t="shared" si="28"/>
        <v>352.96377715594281</v>
      </c>
      <c r="L80" s="357">
        <f t="shared" si="28"/>
        <v>359.97893222692801</v>
      </c>
      <c r="M80" s="357">
        <f t="shared" si="28"/>
        <v>367.13351350493758</v>
      </c>
      <c r="N80" s="357">
        <f t="shared" si="28"/>
        <v>374.43029208583903</v>
      </c>
      <c r="O80" s="357">
        <f t="shared" si="28"/>
        <v>381.87209414104291</v>
      </c>
      <c r="P80" s="357">
        <f t="shared" si="28"/>
        <v>389.46180201209791</v>
      </c>
      <c r="Q80" s="357">
        <f t="shared" si="28"/>
        <v>397.20235532708466</v>
      </c>
      <c r="R80" s="357">
        <f t="shared" si="28"/>
        <v>405.09675213921582</v>
      </c>
      <c r="S80" s="357">
        <f t="shared" si="28"/>
        <v>413.1480500879843</v>
      </c>
      <c r="T80" s="357">
        <f t="shared" si="28"/>
        <v>421.35936758348544</v>
      </c>
      <c r="U80" s="357">
        <f t="shared" si="28"/>
        <v>429.73388501420413</v>
      </c>
      <c r="V80" s="357">
        <f t="shared" si="28"/>
        <v>438.27484597885632</v>
      </c>
      <c r="W80" s="357">
        <f t="shared" ref="W80:AB80" si="29">W27</f>
        <v>446.98555854269944</v>
      </c>
      <c r="X80" s="357">
        <f t="shared" si="29"/>
        <v>455.86939651873399</v>
      </c>
      <c r="Y80" s="357">
        <f t="shared" si="29"/>
        <v>464.92980077455286</v>
      </c>
      <c r="Z80" s="357">
        <f t="shared" si="29"/>
        <v>474.17028056494019</v>
      </c>
      <c r="AA80" s="357">
        <f t="shared" si="29"/>
        <v>483.59441489117307</v>
      </c>
      <c r="AB80" s="357">
        <f t="shared" si="29"/>
        <v>493.20585388712789</v>
      </c>
    </row>
    <row r="81" spans="1:28" ht="14" x14ac:dyDescent="0.2">
      <c r="B81" s="386" t="s">
        <v>450</v>
      </c>
      <c r="C81" s="387"/>
      <c r="D81" s="357">
        <f>D28</f>
        <v>4743.6681167956131</v>
      </c>
      <c r="E81" s="367"/>
      <c r="F81" s="367"/>
      <c r="G81" s="367"/>
      <c r="H81" s="367"/>
      <c r="I81" s="367"/>
      <c r="J81" s="367"/>
      <c r="K81" s="367"/>
      <c r="L81" s="367"/>
      <c r="M81" s="367"/>
      <c r="N81" s="367"/>
      <c r="O81" s="367"/>
      <c r="P81" s="367"/>
      <c r="Q81" s="367"/>
      <c r="R81" s="367"/>
      <c r="S81" s="367"/>
      <c r="T81" s="367"/>
      <c r="U81" s="367"/>
      <c r="V81" s="367"/>
      <c r="W81" s="367"/>
      <c r="X81" s="367"/>
      <c r="Y81" s="367"/>
      <c r="Z81" s="367"/>
      <c r="AA81" s="367"/>
      <c r="AB81" s="367"/>
    </row>
    <row r="82" spans="1:28" ht="14" x14ac:dyDescent="0.2">
      <c r="B82" s="388"/>
      <c r="C82" s="387"/>
      <c r="D82" s="367"/>
      <c r="E82" s="367"/>
      <c r="F82" s="367"/>
      <c r="G82" s="367"/>
      <c r="H82" s="367"/>
      <c r="I82" s="367"/>
      <c r="J82" s="367"/>
      <c r="K82" s="367"/>
      <c r="L82" s="367"/>
      <c r="M82" s="367"/>
      <c r="N82" s="367"/>
      <c r="O82" s="367"/>
      <c r="P82" s="367"/>
      <c r="Q82" s="367"/>
      <c r="R82" s="367"/>
      <c r="S82" s="367"/>
      <c r="T82" s="367"/>
      <c r="U82" s="367"/>
      <c r="V82" s="367"/>
      <c r="W82" s="367"/>
      <c r="X82" s="367"/>
      <c r="Y82" s="367"/>
      <c r="Z82" s="367"/>
      <c r="AA82" s="367"/>
      <c r="AB82" s="367"/>
    </row>
    <row r="83" spans="1:28" ht="14" x14ac:dyDescent="0.2">
      <c r="B83" s="601" t="s">
        <v>207</v>
      </c>
      <c r="C83" s="602"/>
      <c r="D83" s="357"/>
      <c r="E83" s="367"/>
      <c r="F83" s="367"/>
      <c r="G83" s="367"/>
      <c r="H83" s="367"/>
      <c r="I83" s="367"/>
      <c r="J83" s="367"/>
      <c r="K83" s="367"/>
      <c r="L83" s="367"/>
      <c r="M83" s="367"/>
      <c r="N83" s="367"/>
      <c r="O83" s="367"/>
      <c r="P83" s="367"/>
      <c r="Q83" s="367"/>
      <c r="R83" s="367"/>
      <c r="S83" s="367"/>
      <c r="T83" s="367"/>
      <c r="U83" s="367"/>
      <c r="V83" s="367"/>
      <c r="W83" s="367"/>
      <c r="X83" s="367"/>
      <c r="Y83" s="367"/>
      <c r="Z83" s="367"/>
      <c r="AA83" s="367"/>
      <c r="AB83" s="367"/>
    </row>
    <row r="84" spans="1:28" ht="14" x14ac:dyDescent="0.2">
      <c r="B84" s="389" t="s">
        <v>208</v>
      </c>
      <c r="C84" s="390">
        <f t="shared" ref="C84:C89" si="30">C56</f>
        <v>5.8557699909813889E-2</v>
      </c>
      <c r="D84" s="367"/>
      <c r="E84" s="367"/>
      <c r="F84" s="367"/>
      <c r="G84" s="367"/>
      <c r="H84" s="367"/>
      <c r="I84" s="367"/>
      <c r="J84" s="367"/>
      <c r="K84" s="367"/>
      <c r="L84" s="367"/>
      <c r="M84" s="367"/>
      <c r="N84" s="367"/>
      <c r="O84" s="367"/>
      <c r="P84" s="367"/>
      <c r="Q84" s="367"/>
      <c r="R84" s="367"/>
      <c r="S84" s="367"/>
      <c r="T84" s="367"/>
      <c r="U84" s="367"/>
      <c r="V84" s="367"/>
      <c r="W84" s="367"/>
      <c r="X84" s="367"/>
      <c r="Y84" s="367"/>
      <c r="Z84" s="367"/>
      <c r="AA84" s="367"/>
      <c r="AB84" s="367"/>
    </row>
    <row r="85" spans="1:28" ht="14" x14ac:dyDescent="0.2">
      <c r="B85" s="389" t="s">
        <v>209</v>
      </c>
      <c r="C85" s="390">
        <f t="shared" si="30"/>
        <v>5.9475790034520498E-2</v>
      </c>
      <c r="D85" s="367"/>
      <c r="E85" s="367"/>
      <c r="F85" s="367"/>
      <c r="G85" s="367"/>
      <c r="H85" s="367"/>
      <c r="I85" s="367"/>
      <c r="J85" s="367"/>
      <c r="K85" s="367"/>
      <c r="L85" s="367"/>
      <c r="M85" s="367"/>
      <c r="N85" s="367"/>
      <c r="O85" s="367"/>
      <c r="P85" s="367"/>
      <c r="Q85" s="367"/>
      <c r="R85" s="367"/>
      <c r="S85" s="367"/>
      <c r="T85" s="367"/>
      <c r="U85" s="367"/>
      <c r="V85" s="367"/>
      <c r="W85" s="367"/>
      <c r="X85" s="367"/>
      <c r="Y85" s="367"/>
      <c r="Z85" s="367"/>
      <c r="AA85" s="367"/>
      <c r="AB85" s="367"/>
    </row>
    <row r="86" spans="1:28" ht="14" x14ac:dyDescent="0.2">
      <c r="B86" s="389" t="s">
        <v>89</v>
      </c>
      <c r="C86" s="390">
        <f t="shared" si="30"/>
        <v>6.8518920764190361E-2</v>
      </c>
      <c r="D86" s="367"/>
      <c r="E86" s="367"/>
      <c r="F86" s="367"/>
      <c r="G86" s="367"/>
      <c r="H86" s="367"/>
      <c r="I86" s="367"/>
      <c r="J86" s="367"/>
      <c r="K86" s="367"/>
      <c r="L86" s="367"/>
      <c r="M86" s="367"/>
      <c r="N86" s="367"/>
      <c r="O86" s="367"/>
      <c r="P86" s="367"/>
      <c r="Q86" s="367"/>
      <c r="R86" s="367"/>
      <c r="S86" s="367"/>
      <c r="T86" s="367"/>
      <c r="U86" s="367"/>
      <c r="V86" s="367"/>
      <c r="W86" s="367"/>
      <c r="X86" s="367"/>
      <c r="Y86" s="367"/>
      <c r="Z86" s="367"/>
      <c r="AA86" s="367"/>
      <c r="AB86" s="367"/>
    </row>
    <row r="87" spans="1:28" ht="14" x14ac:dyDescent="0.2">
      <c r="B87" s="389" t="s">
        <v>90</v>
      </c>
      <c r="C87" s="390">
        <f t="shared" si="30"/>
        <v>8.301014277110555E-2</v>
      </c>
      <c r="D87" s="367"/>
      <c r="E87" s="367"/>
      <c r="F87" s="367"/>
      <c r="G87" s="367"/>
      <c r="H87" s="367"/>
      <c r="I87" s="367"/>
      <c r="J87" s="367"/>
      <c r="K87" s="367"/>
      <c r="L87" s="367"/>
      <c r="M87" s="367"/>
      <c r="N87" s="367"/>
      <c r="O87" s="367"/>
      <c r="P87" s="367"/>
      <c r="Q87" s="367"/>
      <c r="R87" s="367"/>
      <c r="S87" s="367"/>
      <c r="T87" s="367"/>
      <c r="U87" s="367"/>
      <c r="V87" s="367"/>
      <c r="W87" s="367"/>
      <c r="X87" s="367"/>
      <c r="Y87" s="367"/>
      <c r="Z87" s="367"/>
      <c r="AA87" s="367"/>
      <c r="AB87" s="367"/>
    </row>
    <row r="88" spans="1:28" ht="14" x14ac:dyDescent="0.2">
      <c r="B88" s="389" t="s">
        <v>91</v>
      </c>
      <c r="C88" s="390">
        <f t="shared" si="30"/>
        <v>9.6048372880053093E-2</v>
      </c>
      <c r="D88" s="367"/>
      <c r="E88" s="367"/>
      <c r="F88" s="367"/>
      <c r="G88" s="367"/>
      <c r="H88" s="367"/>
      <c r="I88" s="367"/>
      <c r="J88" s="367"/>
      <c r="K88" s="367"/>
      <c r="L88" s="367"/>
      <c r="M88" s="367"/>
      <c r="N88" s="367"/>
      <c r="O88" s="367"/>
      <c r="P88" s="367"/>
      <c r="Q88" s="367"/>
      <c r="R88" s="367"/>
      <c r="S88" s="367"/>
      <c r="T88" s="367"/>
      <c r="U88" s="367"/>
      <c r="V88" s="367"/>
      <c r="W88" s="367"/>
      <c r="X88" s="367"/>
      <c r="Y88" s="367"/>
      <c r="Z88" s="367"/>
      <c r="AA88" s="367"/>
      <c r="AB88" s="367"/>
    </row>
    <row r="89" spans="1:28" ht="14" x14ac:dyDescent="0.2">
      <c r="B89" s="391" t="s">
        <v>449</v>
      </c>
      <c r="C89" s="392">
        <f t="shared" si="30"/>
        <v>0.10964720266672946</v>
      </c>
      <c r="D89" s="367"/>
      <c r="E89" s="367"/>
      <c r="F89" s="367"/>
      <c r="G89" s="367"/>
      <c r="H89" s="367"/>
      <c r="I89" s="367"/>
      <c r="J89" s="367"/>
      <c r="K89" s="367"/>
      <c r="L89" s="367"/>
      <c r="M89" s="367"/>
      <c r="N89" s="367"/>
      <c r="O89" s="367"/>
      <c r="P89" s="367"/>
      <c r="Q89" s="367"/>
      <c r="R89" s="367"/>
      <c r="S89" s="367"/>
      <c r="T89" s="367"/>
      <c r="U89" s="367"/>
      <c r="V89" s="367"/>
      <c r="W89" s="367"/>
      <c r="X89" s="367"/>
      <c r="Y89" s="367"/>
      <c r="Z89" s="367"/>
      <c r="AA89" s="367"/>
      <c r="AB89" s="367"/>
    </row>
    <row r="90" spans="1:28" ht="14" x14ac:dyDescent="0.2">
      <c r="B90" s="388"/>
      <c r="C90" s="387"/>
      <c r="D90" s="367"/>
      <c r="E90" s="367"/>
      <c r="F90" s="367"/>
      <c r="G90" s="367"/>
      <c r="H90" s="367"/>
      <c r="I90" s="367"/>
      <c r="J90" s="367"/>
      <c r="K90" s="367"/>
      <c r="L90" s="367"/>
      <c r="M90" s="367"/>
      <c r="N90" s="367"/>
      <c r="O90" s="367"/>
      <c r="P90" s="367"/>
      <c r="Q90" s="367"/>
      <c r="R90" s="367"/>
      <c r="S90" s="367"/>
      <c r="T90" s="367"/>
      <c r="U90" s="367"/>
      <c r="V90" s="367"/>
      <c r="W90" s="367"/>
      <c r="X90" s="367"/>
      <c r="Y90" s="367"/>
      <c r="Z90" s="367"/>
      <c r="AA90" s="367"/>
      <c r="AB90" s="367"/>
    </row>
    <row r="91" spans="1:28" ht="14" x14ac:dyDescent="0.2">
      <c r="B91" s="389" t="s">
        <v>139</v>
      </c>
      <c r="C91" s="387"/>
      <c r="D91" s="393">
        <f t="shared" ref="D91:V91" si="31">D22+D23</f>
        <v>7.3648296020305801E-2</v>
      </c>
      <c r="E91" s="393">
        <f t="shared" si="31"/>
        <v>7.5489503420813439E-2</v>
      </c>
      <c r="F91" s="393">
        <f t="shared" si="31"/>
        <v>7.7376741006333766E-2</v>
      </c>
      <c r="G91" s="393">
        <f t="shared" si="31"/>
        <v>7.9311159531492106E-2</v>
      </c>
      <c r="H91" s="393">
        <f t="shared" si="31"/>
        <v>8.1293938519779396E-2</v>
      </c>
      <c r="I91" s="393">
        <f t="shared" si="31"/>
        <v>8.3326286982773876E-2</v>
      </c>
      <c r="J91" s="393">
        <f t="shared" si="31"/>
        <v>8.5409444157343209E-2</v>
      </c>
      <c r="K91" s="393">
        <f t="shared" si="31"/>
        <v>8.7544680261276778E-2</v>
      </c>
      <c r="L91" s="393">
        <f t="shared" si="31"/>
        <v>8.9733297267808695E-2</v>
      </c>
      <c r="M91" s="393">
        <f t="shared" si="31"/>
        <v>9.1976629699503903E-2</v>
      </c>
      <c r="N91" s="393">
        <f t="shared" si="31"/>
        <v>9.4276045441991488E-2</v>
      </c>
      <c r="O91" s="393">
        <f t="shared" si="31"/>
        <v>9.6632946578041265E-2</v>
      </c>
      <c r="P91" s="393">
        <f t="shared" si="31"/>
        <v>9.9048770242492284E-2</v>
      </c>
      <c r="Q91" s="393">
        <f t="shared" si="31"/>
        <v>0.10152498949855458</v>
      </c>
      <c r="R91" s="393">
        <f t="shared" si="31"/>
        <v>0.10406311423601844</v>
      </c>
      <c r="S91" s="393">
        <f t="shared" si="31"/>
        <v>0.10666469209191889</v>
      </c>
      <c r="T91" s="393">
        <f t="shared" si="31"/>
        <v>0.10933130939421686</v>
      </c>
      <c r="U91" s="393">
        <f t="shared" si="31"/>
        <v>0.11206459212907227</v>
      </c>
      <c r="V91" s="393">
        <f t="shared" si="31"/>
        <v>0.11486620693229907</v>
      </c>
      <c r="W91" s="393">
        <f t="shared" ref="W91:AB91" si="32">W22+W23</f>
        <v>0.11773786210560654</v>
      </c>
      <c r="X91" s="393">
        <f t="shared" si="32"/>
        <v>0.12068130865824669</v>
      </c>
      <c r="Y91" s="393">
        <f t="shared" si="32"/>
        <v>0.12369834137470286</v>
      </c>
      <c r="Z91" s="393">
        <f t="shared" si="32"/>
        <v>0.12679079990907041</v>
      </c>
      <c r="AA91" s="393">
        <f t="shared" si="32"/>
        <v>0.12996056990679716</v>
      </c>
      <c r="AB91" s="393">
        <f t="shared" si="32"/>
        <v>0.13320958415446707</v>
      </c>
    </row>
    <row r="92" spans="1:28" ht="14" x14ac:dyDescent="0.2">
      <c r="B92" s="389" t="s">
        <v>115</v>
      </c>
      <c r="C92" s="387"/>
      <c r="D92" s="393">
        <f t="shared" ref="D92:V92" si="33">D24</f>
        <v>7.3031580167629145E-2</v>
      </c>
      <c r="E92" s="393">
        <f t="shared" si="33"/>
        <v>7.4857369671819871E-2</v>
      </c>
      <c r="F92" s="393">
        <f t="shared" si="33"/>
        <v>7.6728803913615362E-2</v>
      </c>
      <c r="G92" s="393">
        <f t="shared" si="33"/>
        <v>7.8647024011455735E-2</v>
      </c>
      <c r="H92" s="393">
        <f t="shared" si="33"/>
        <v>8.0613199611742126E-2</v>
      </c>
      <c r="I92" s="393">
        <f t="shared" si="33"/>
        <v>8.2628529602035677E-2</v>
      </c>
      <c r="J92" s="393">
        <f t="shared" si="33"/>
        <v>8.4694242842086556E-2</v>
      </c>
      <c r="K92" s="393">
        <f t="shared" si="33"/>
        <v>8.6811598913138707E-2</v>
      </c>
      <c r="L92" s="393">
        <f t="shared" si="33"/>
        <v>8.898188888596717E-2</v>
      </c>
      <c r="M92" s="393">
        <f t="shared" si="33"/>
        <v>9.1206436108116337E-2</v>
      </c>
      <c r="N92" s="393">
        <f t="shared" si="33"/>
        <v>9.3486597010819239E-2</v>
      </c>
      <c r="O92" s="393">
        <f t="shared" si="33"/>
        <v>9.5823761936089713E-2</v>
      </c>
      <c r="P92" s="393">
        <f t="shared" si="33"/>
        <v>9.8219355984491941E-2</v>
      </c>
      <c r="Q92" s="393">
        <f t="shared" si="33"/>
        <v>0.10067483988410424</v>
      </c>
      <c r="R92" s="393">
        <f t="shared" si="33"/>
        <v>0.10319171088120684</v>
      </c>
      <c r="S92" s="393">
        <f t="shared" si="33"/>
        <v>0.105771503653237</v>
      </c>
      <c r="T92" s="393">
        <f t="shared" si="33"/>
        <v>0.10841579124456791</v>
      </c>
      <c r="U92" s="393">
        <f t="shared" si="33"/>
        <v>0.1111261860256821</v>
      </c>
      <c r="V92" s="393">
        <f t="shared" si="33"/>
        <v>0.11390434067632414</v>
      </c>
      <c r="W92" s="393">
        <f t="shared" ref="W92:AB92" si="34">W24</f>
        <v>0.11675194919323223</v>
      </c>
      <c r="X92" s="393">
        <f t="shared" si="34"/>
        <v>0.11967074792306302</v>
      </c>
      <c r="Y92" s="393">
        <f t="shared" si="34"/>
        <v>0.12266251662113958</v>
      </c>
      <c r="Z92" s="393">
        <f t="shared" si="34"/>
        <v>0.12572907953666806</v>
      </c>
      <c r="AA92" s="393">
        <f t="shared" si="34"/>
        <v>0.12887230652508475</v>
      </c>
      <c r="AB92" s="393">
        <f t="shared" si="34"/>
        <v>0.13209411418821185</v>
      </c>
    </row>
    <row r="93" spans="1:28" ht="14" x14ac:dyDescent="0.2">
      <c r="B93" s="388"/>
      <c r="C93" s="387"/>
      <c r="D93" s="367"/>
      <c r="E93" s="367"/>
      <c r="F93" s="367"/>
      <c r="G93" s="367"/>
      <c r="H93" s="367"/>
      <c r="I93" s="367"/>
      <c r="J93" s="367"/>
      <c r="K93" s="367"/>
      <c r="L93" s="367"/>
      <c r="M93" s="367"/>
      <c r="N93" s="367"/>
      <c r="O93" s="367"/>
      <c r="P93" s="367"/>
      <c r="Q93" s="367"/>
      <c r="R93" s="367"/>
      <c r="S93" s="367"/>
      <c r="T93" s="367"/>
      <c r="U93" s="367"/>
      <c r="V93" s="367"/>
      <c r="W93" s="367"/>
      <c r="X93" s="367"/>
      <c r="Y93" s="367"/>
      <c r="Z93" s="367"/>
      <c r="AA93" s="367"/>
      <c r="AB93" s="367"/>
    </row>
    <row r="94" spans="1:28" ht="14" x14ac:dyDescent="0.2">
      <c r="B94" s="389" t="s">
        <v>120</v>
      </c>
      <c r="C94" s="387"/>
      <c r="D94" s="394">
        <f t="shared" ref="D94:V94" si="35">D19</f>
        <v>3236359.8613524409</v>
      </c>
      <c r="E94" s="394">
        <f t="shared" si="35"/>
        <v>3238853.2295024409</v>
      </c>
      <c r="F94" s="394">
        <f t="shared" si="35"/>
        <v>3241334.1308116913</v>
      </c>
      <c r="G94" s="394">
        <f t="shared" si="35"/>
        <v>3243802.6276143948</v>
      </c>
      <c r="H94" s="394">
        <f t="shared" si="35"/>
        <v>3246258.7819330851</v>
      </c>
      <c r="I94" s="394">
        <f t="shared" si="35"/>
        <v>3248702.6554801818</v>
      </c>
      <c r="J94" s="394">
        <f t="shared" si="35"/>
        <v>3251134.309659543</v>
      </c>
      <c r="K94" s="394">
        <f t="shared" si="35"/>
        <v>3253553.8055680078</v>
      </c>
      <c r="L94" s="394">
        <f t="shared" si="35"/>
        <v>3255961.2039969298</v>
      </c>
      <c r="M94" s="394">
        <f t="shared" si="35"/>
        <v>3258356.5654337076</v>
      </c>
      <c r="N94" s="394">
        <f t="shared" si="35"/>
        <v>3260739.9500633013</v>
      </c>
      <c r="O94" s="394">
        <f t="shared" si="35"/>
        <v>3263111.4177697469</v>
      </c>
      <c r="P94" s="394">
        <f t="shared" si="35"/>
        <v>3265471.0281376601</v>
      </c>
      <c r="Q94" s="394">
        <f t="shared" si="35"/>
        <v>3267818.8404537342</v>
      </c>
      <c r="R94" s="394">
        <f t="shared" si="35"/>
        <v>3270154.9137082277</v>
      </c>
      <c r="S94" s="394">
        <f t="shared" si="35"/>
        <v>3272479.3065964486</v>
      </c>
      <c r="T94" s="394">
        <f t="shared" si="35"/>
        <v>3274792.0775202289</v>
      </c>
      <c r="U94" s="394">
        <f t="shared" si="35"/>
        <v>3277093.2845893898</v>
      </c>
      <c r="V94" s="394">
        <f t="shared" si="35"/>
        <v>3279382.9856232051</v>
      </c>
      <c r="W94" s="394">
        <f t="shared" ref="W94:AB94" si="36">W19</f>
        <v>3281661.2381518511</v>
      </c>
      <c r="X94" s="394">
        <f t="shared" si="36"/>
        <v>3283928.0994178541</v>
      </c>
      <c r="Y94" s="394">
        <f t="shared" si="36"/>
        <v>3286183.6263775271</v>
      </c>
      <c r="Z94" s="394">
        <f t="shared" si="36"/>
        <v>3288427.8757024016</v>
      </c>
      <c r="AA94" s="394">
        <f t="shared" si="36"/>
        <v>3290660.9037806517</v>
      </c>
      <c r="AB94" s="394">
        <f t="shared" si="36"/>
        <v>3292882.766718511</v>
      </c>
    </row>
    <row r="95" spans="1:28" ht="14" x14ac:dyDescent="0.2">
      <c r="A95" t="s">
        <v>246</v>
      </c>
      <c r="B95" s="391" t="s">
        <v>121</v>
      </c>
      <c r="C95" s="395"/>
      <c r="D95" s="396">
        <f t="shared" ref="D95:V95" si="37">D21</f>
        <v>498673.62999999925</v>
      </c>
      <c r="E95" s="396">
        <f t="shared" si="37"/>
        <v>496180.26184999925</v>
      </c>
      <c r="F95" s="396">
        <f t="shared" si="37"/>
        <v>493699.36054074927</v>
      </c>
      <c r="G95" s="396">
        <f t="shared" si="37"/>
        <v>491230.8637380455</v>
      </c>
      <c r="H95" s="396">
        <f t="shared" si="37"/>
        <v>488774.70941935526</v>
      </c>
      <c r="I95" s="396">
        <f t="shared" si="37"/>
        <v>486330.83587225847</v>
      </c>
      <c r="J95" s="396">
        <f t="shared" si="37"/>
        <v>483899.18169289717</v>
      </c>
      <c r="K95" s="396">
        <f t="shared" si="37"/>
        <v>481479.68578443269</v>
      </c>
      <c r="L95" s="396">
        <f t="shared" si="37"/>
        <v>479072.28735551052</v>
      </c>
      <c r="M95" s="396">
        <f t="shared" si="37"/>
        <v>476676.92591873294</v>
      </c>
      <c r="N95" s="396">
        <f t="shared" si="37"/>
        <v>474293.54128913931</v>
      </c>
      <c r="O95" s="396">
        <f t="shared" si="37"/>
        <v>471922.07358269359</v>
      </c>
      <c r="P95" s="396">
        <f t="shared" si="37"/>
        <v>469562.46321478009</v>
      </c>
      <c r="Q95" s="396">
        <f t="shared" si="37"/>
        <v>467214.65089870617</v>
      </c>
      <c r="R95" s="396">
        <f t="shared" si="37"/>
        <v>464878.57764421264</v>
      </c>
      <c r="S95" s="396">
        <f t="shared" si="37"/>
        <v>462554.18475599156</v>
      </c>
      <c r="T95" s="396">
        <f t="shared" si="37"/>
        <v>460241.41383221158</v>
      </c>
      <c r="U95" s="396">
        <f t="shared" si="37"/>
        <v>457940.20676305052</v>
      </c>
      <c r="V95" s="396">
        <f t="shared" si="37"/>
        <v>455650.50572923524</v>
      </c>
      <c r="W95" s="396">
        <f t="shared" ref="W95:AB95" si="38">W21</f>
        <v>453372.25320058904</v>
      </c>
      <c r="X95" s="396">
        <f t="shared" si="38"/>
        <v>451105.39193458611</v>
      </c>
      <c r="Y95" s="396">
        <f t="shared" si="38"/>
        <v>448849.86497491319</v>
      </c>
      <c r="Z95" s="396">
        <f t="shared" si="38"/>
        <v>446605.61565003864</v>
      </c>
      <c r="AA95" s="396">
        <f t="shared" si="38"/>
        <v>444372.58757178846</v>
      </c>
      <c r="AB95" s="396">
        <f t="shared" si="38"/>
        <v>442150.72463392949</v>
      </c>
    </row>
    <row r="96" spans="1:28" ht="14" x14ac:dyDescent="0.2">
      <c r="B96" s="346"/>
      <c r="C96" s="346"/>
      <c r="D96" s="346"/>
      <c r="E96" s="346"/>
      <c r="F96" s="346"/>
      <c r="G96" s="346"/>
      <c r="H96" s="346"/>
      <c r="I96" s="346"/>
      <c r="J96" s="346"/>
      <c r="K96" s="346"/>
      <c r="L96" s="346"/>
      <c r="M96" s="346"/>
      <c r="N96" s="346"/>
      <c r="O96" s="346"/>
      <c r="P96" s="346"/>
      <c r="Q96" s="346"/>
      <c r="R96" s="346"/>
      <c r="S96" s="346"/>
      <c r="T96" s="346"/>
      <c r="U96" s="346"/>
      <c r="V96" s="346"/>
      <c r="W96" s="346"/>
      <c r="X96" s="346"/>
      <c r="Y96" s="346"/>
      <c r="Z96" s="346"/>
      <c r="AA96" s="346"/>
      <c r="AB96" s="346"/>
    </row>
    <row r="97" spans="2:28" ht="14" x14ac:dyDescent="0.2">
      <c r="B97" s="346"/>
      <c r="C97" s="346"/>
      <c r="D97" s="346"/>
      <c r="E97" s="346"/>
      <c r="F97" s="346"/>
      <c r="G97" s="346"/>
      <c r="H97" s="346"/>
      <c r="I97" s="346"/>
      <c r="J97" s="346"/>
      <c r="K97" s="346"/>
      <c r="L97" s="346"/>
      <c r="M97" s="346"/>
      <c r="N97" s="346"/>
      <c r="O97" s="346"/>
      <c r="P97" s="346"/>
      <c r="Q97" s="346"/>
      <c r="R97" s="346"/>
      <c r="S97" s="346"/>
      <c r="T97" s="346"/>
      <c r="U97" s="346"/>
      <c r="V97" s="346"/>
      <c r="W97" s="346"/>
      <c r="X97" s="346"/>
      <c r="Y97" s="346"/>
      <c r="Z97" s="346"/>
      <c r="AA97" s="346"/>
      <c r="AB97" s="346"/>
    </row>
  </sheetData>
  <mergeCells count="14">
    <mergeCell ref="I9:J9"/>
    <mergeCell ref="B78:D78"/>
    <mergeCell ref="B83:C83"/>
    <mergeCell ref="B64:D64"/>
    <mergeCell ref="O4:Z4"/>
    <mergeCell ref="O5:Z11"/>
    <mergeCell ref="B16:D16"/>
    <mergeCell ref="K8:L8"/>
    <mergeCell ref="K9:L9"/>
    <mergeCell ref="B47:B48"/>
    <mergeCell ref="C54:D55"/>
    <mergeCell ref="E64:O64"/>
    <mergeCell ref="I5:M6"/>
    <mergeCell ref="I8:J8"/>
  </mergeCells>
  <phoneticPr fontId="28" type="noConversion"/>
  <pageMargins left="0.75" right="0.75" top="1" bottom="1" header="0.5" footer="0.5"/>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5FED5276DF574AB519B42275A7FCC0" ma:contentTypeVersion="12" ma:contentTypeDescription="Crear nuevo documento." ma:contentTypeScope="" ma:versionID="8656ec7df5705b917d5dbce186952dfb">
  <xsd:schema xmlns:xsd="http://www.w3.org/2001/XMLSchema" xmlns:xs="http://www.w3.org/2001/XMLSchema" xmlns:p="http://schemas.microsoft.com/office/2006/metadata/properties" xmlns:ns2="4c711493-8098-4760-b373-1f5514f45a29" xmlns:ns3="966f5126-45a2-4b12-b6f9-bf725d692f4e" targetNamespace="http://schemas.microsoft.com/office/2006/metadata/properties" ma:root="true" ma:fieldsID="3b986b3b5a727e3333e79ffc65f238c2" ns2:_="" ns3:_="">
    <xsd:import namespace="4c711493-8098-4760-b373-1f5514f45a29"/>
    <xsd:import namespace="966f5126-45a2-4b12-b6f9-bf725d692f4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711493-8098-4760-b373-1f5514f45a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99a8f194-becd-4f93-a34b-b9b3045b787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6f5126-45a2-4b12-b6f9-bf725d692f4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aa04bdf-6758-42e6-9073-75f6d43d0de2}" ma:internalName="TaxCatchAll" ma:showField="CatchAllData" ma:web="966f5126-45a2-4b12-b6f9-bf725d692f4e">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c711493-8098-4760-b373-1f5514f45a29">
      <Terms xmlns="http://schemas.microsoft.com/office/infopath/2007/PartnerControls"/>
    </lcf76f155ced4ddcb4097134ff3c332f>
    <TaxCatchAll xmlns="966f5126-45a2-4b12-b6f9-bf725d692f4e" xsi:nil="true"/>
  </documentManagement>
</p:properties>
</file>

<file path=customXml/itemProps1.xml><?xml version="1.0" encoding="utf-8"?>
<ds:datastoreItem xmlns:ds="http://schemas.openxmlformats.org/officeDocument/2006/customXml" ds:itemID="{249E20E1-9C68-45CE-99A9-CE99E166C826}"/>
</file>

<file path=customXml/itemProps2.xml><?xml version="1.0" encoding="utf-8"?>
<ds:datastoreItem xmlns:ds="http://schemas.openxmlformats.org/officeDocument/2006/customXml" ds:itemID="{9164C073-508E-4537-BA58-DB03E50E7AE6}"/>
</file>

<file path=customXml/itemProps3.xml><?xml version="1.0" encoding="utf-8"?>
<ds:datastoreItem xmlns:ds="http://schemas.openxmlformats.org/officeDocument/2006/customXml" ds:itemID="{8F793A53-3291-40B0-ABB8-83B3DE0D827A}"/>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Overview</vt:lpstr>
      <vt:lpstr>Dashboard</vt:lpstr>
      <vt:lpstr>Unstructured</vt:lpstr>
      <vt:lpstr>Partnership Flip</vt:lpstr>
      <vt:lpstr>Customer Analysis</vt:lpstr>
      <vt:lpstr>Additional_ITC_Basis_Reducer_Fine_Tuning</vt:lpstr>
      <vt:lpstr>Aggregate_Construction_Cost</vt:lpstr>
      <vt:lpstr>Aggregate_Project_Cost</vt:lpstr>
      <vt:lpstr>Cash_Equity_Investment_Share</vt:lpstr>
      <vt:lpstr>Cash_Equity_Post_Flip_Share</vt:lpstr>
      <vt:lpstr>Cash_Equity_Pre_Flip_Share</vt:lpstr>
      <vt:lpstr>Cash_on_Cash_Return_Premium</vt:lpstr>
      <vt:lpstr>Construction_Loan_Amount</vt:lpstr>
      <vt:lpstr>Construction_Loan_Fee</vt:lpstr>
      <vt:lpstr>Construction_Loan_Rate</vt:lpstr>
      <vt:lpstr>Construction_Loan_Term</vt:lpstr>
      <vt:lpstr>Construction_Loan?</vt:lpstr>
      <vt:lpstr>Customer_Dem_Charge_Percent</vt:lpstr>
      <vt:lpstr>Customer_Discount_Rate</vt:lpstr>
      <vt:lpstr>Customer_Monthly_kWh_Usage</vt:lpstr>
      <vt:lpstr>Customer_Utility_Charge_Escalator</vt:lpstr>
      <vt:lpstr>Customer_Utility_Charge_kWh</vt:lpstr>
      <vt:lpstr>Depreciation_Basis</vt:lpstr>
      <vt:lpstr>Depreciation_Bonus_Rate</vt:lpstr>
      <vt:lpstr>Depreciation_Methodology?</vt:lpstr>
      <vt:lpstr>Depreciation_Table</vt:lpstr>
      <vt:lpstr>Equity_Investment</vt:lpstr>
      <vt:lpstr>Fed._ITC_Eligible_Property_Value</vt:lpstr>
      <vt:lpstr>Federal_ITC_Cash_Sale_OnOff</vt:lpstr>
      <vt:lpstr>Federal_ITC_Dollar_Value</vt:lpstr>
      <vt:lpstr>Federal_ITC_Rate</vt:lpstr>
      <vt:lpstr>Insurance_Cost_Escalator</vt:lpstr>
      <vt:lpstr>Insurance_Cost_per_Watt_DC</vt:lpstr>
      <vt:lpstr>Interconnection_Costs</vt:lpstr>
      <vt:lpstr>Investor_Discount_Rate</vt:lpstr>
      <vt:lpstr>Investor_Target_Flip_IRR</vt:lpstr>
      <vt:lpstr>ITC_Cash_Sale_Discount_to_Purchase_Price</vt:lpstr>
      <vt:lpstr>ITC_Cash_Sale_First_Year_Payment</vt:lpstr>
      <vt:lpstr>ITC_Cash_Sale_Number_of_Annual_Payments</vt:lpstr>
      <vt:lpstr>ITC_Eligible_Property_Value</vt:lpstr>
      <vt:lpstr>Manual_Entry_Estimated_P50_Production</vt:lpstr>
      <vt:lpstr>Mgt._Fee__Share__of_Remaining_Cash_Flow</vt:lpstr>
      <vt:lpstr>OandM_Cost_Escalator</vt:lpstr>
      <vt:lpstr>OandM_Cost_per_W_DC</vt:lpstr>
      <vt:lpstr>Other_Closing_Costs_Fees</vt:lpstr>
      <vt:lpstr>Owner_is_Taxpayer_Non_Taxpayer?</vt:lpstr>
      <vt:lpstr>P50_Production_1st_Yr</vt:lpstr>
      <vt:lpstr>P95_Production_1st_Yr</vt:lpstr>
      <vt:lpstr>Panel_Degradation_Rate</vt:lpstr>
      <vt:lpstr>PPA_Price_Annual_Escalator</vt:lpstr>
      <vt:lpstr>PPA_Price_kWh</vt:lpstr>
      <vt:lpstr>Production_Delta_P95_P50</vt:lpstr>
      <vt:lpstr>Project_Debt?</vt:lpstr>
      <vt:lpstr>Project_Loan_Amount</vt:lpstr>
      <vt:lpstr>Project_Loan_Coverage_Ratio</vt:lpstr>
      <vt:lpstr>Project_Loan_Debt_Equity_Ratio</vt:lpstr>
      <vt:lpstr>Project_Loan_Rate</vt:lpstr>
      <vt:lpstr>Project_Loan_Term?</vt:lpstr>
      <vt:lpstr>Project_Net_Investment</vt:lpstr>
      <vt:lpstr>Project_Sale_Price</vt:lpstr>
      <vt:lpstr>Property_Equip_Base_Value</vt:lpstr>
      <vt:lpstr>Property_Equip_Book_Adj_Rate</vt:lpstr>
      <vt:lpstr>Property_Equip_Tax_Rate</vt:lpstr>
      <vt:lpstr>Property_Site_Base_Value</vt:lpstr>
      <vt:lpstr>Property_Site_Tax_Rate</vt:lpstr>
      <vt:lpstr>Property_Site_Value_Adj_Rate</vt:lpstr>
      <vt:lpstr>PTC_Annual_Inflator_Rate_Percent</vt:lpstr>
      <vt:lpstr>PTC_Starting_Rate_Dollars_per_MWh</vt:lpstr>
      <vt:lpstr>PTC_Term_in_Years</vt:lpstr>
      <vt:lpstr>Roof_Upgrade_Cost</vt:lpstr>
      <vt:lpstr>Site_Lease_Fixed_Cost</vt:lpstr>
      <vt:lpstr>Site_Lease_Fixed_Escalator</vt:lpstr>
      <vt:lpstr>Site_Lease_Fixed_or_PercentofRev</vt:lpstr>
      <vt:lpstr>Site_Lease_Includes_Taxes</vt:lpstr>
      <vt:lpstr>Site_Lease_Percent_of_Revenue</vt:lpstr>
      <vt:lpstr>Site_Purchase_or_Lease?</vt:lpstr>
      <vt:lpstr>Site_Purchase_Price</vt:lpstr>
      <vt:lpstr>Size_of_System_in_W_DC</vt:lpstr>
      <vt:lpstr>Solar_Production_Source</vt:lpstr>
      <vt:lpstr>SREC_Increase_Decrease</vt:lpstr>
      <vt:lpstr>SREC_Price</vt:lpstr>
      <vt:lpstr>SREC_Size_kWh_per_SREC</vt:lpstr>
      <vt:lpstr>SREC_Term_Yrs</vt:lpstr>
      <vt:lpstr>SRECs_Applicable?</vt:lpstr>
      <vt:lpstr>State_Income_Tax_Rate</vt:lpstr>
      <vt:lpstr>State_ITC_On_Off?</vt:lpstr>
      <vt:lpstr>State_Sales_Tax</vt:lpstr>
      <vt:lpstr>State_Tax_Credit_Basis</vt:lpstr>
      <vt:lpstr>State_Tax_Credit_Rate</vt:lpstr>
      <vt:lpstr>Target_Flip_IRR</vt:lpstr>
      <vt:lpstr>Tax_Credit_Selector_ITC_or_PTC</vt:lpstr>
      <vt:lpstr>Tax_Efficient_Status?</vt:lpstr>
      <vt:lpstr>Tax_Equity_Investment_Share</vt:lpstr>
      <vt:lpstr>Tax_Equity_Post_Flip_Share</vt:lpstr>
      <vt:lpstr>Tax_Equity_Pre_Flip_Share</vt:lpstr>
      <vt:lpstr>Taxpayer_Marginal_Rate</vt:lpstr>
      <vt:lpstr>Terminal_Value_Estimate_Percent</vt:lpstr>
      <vt:lpstr>Termination_Value_OnOff</vt:lpstr>
      <vt:lpstr>Termination_Value_Percentage</vt:lpstr>
      <vt:lpstr>Termination_Value_Table_End_of_Term</vt:lpstr>
      <vt:lpstr>Time_Based_Flip_Target_Year</vt:lpstr>
    </vt:vector>
  </TitlesOfParts>
  <Manager/>
  <Company>CapIron, Inc.</Company>
  <LinksUpToDate>false</LinksUpToDate>
  <SharedDoc>false</SharedDoc>
  <HyperlinkBase>www.CapIronInc.com</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Model for Solar PV Projects</dc:title>
  <dc:subject/>
  <dc:creator>Christopher J. Lord   (CJLord@CapIronInc.com)</dc:creator>
  <cp:keywords/>
  <dc:description>Copyright, 2012, 2016 &amp; 2020; All rights reserved by CapIron, Inc. This model may not be sold, licensed or distributed without the prior written approval of CapIron, Inc. Heatspring Solar MBA students may use this model for their personal use only. </dc:description>
  <cp:lastModifiedBy>Agustina Gonzalez</cp:lastModifiedBy>
  <dcterms:created xsi:type="dcterms:W3CDTF">2011-04-16T15:23:42Z</dcterms:created>
  <dcterms:modified xsi:type="dcterms:W3CDTF">2023-04-20T03:29:07Z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0x0101000B5FED5276DF574AB519B42275A7FCC0</vt:lpwstr>
  </property>
</Properties>
</file>