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F0838C0A-ED0B-F346-8E57-D7712A645D5A}" xr6:coauthVersionLast="47" xr6:coauthVersionMax="47" xr10:uidLastSave="{00000000-0000-0000-0000-000000000000}"/>
  <bookViews>
    <workbookView xWindow="6640" yWindow="3940" windowWidth="19620" windowHeight="14200" tabRatio="500"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olver_adj" localSheetId="1" hidden="1">Dashboard!$K$17</definedName>
    <definedName name="solver_cvg" localSheetId="1" hidden="1">0.0001</definedName>
    <definedName name="solver_drv" localSheetId="1" hidden="1">1</definedName>
    <definedName name="solver_eng" localSheetId="1" hidden="1">1</definedName>
    <definedName name="solver_itr" localSheetId="1" hidden="1">2147483647</definedName>
    <definedName name="solver_lhs1" localSheetId="1" hidden="1">Dashboard!$O$52</definedName>
    <definedName name="solver_lhs2" localSheetId="1" hidden="1">Dashboard!$P$52</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2</definedName>
    <definedName name="solver_opt" localSheetId="1" hidden="1">Dashboard!$P$25</definedName>
    <definedName name="solver_pre" localSheetId="1" hidden="1">0.000001</definedName>
    <definedName name="solver_rbv" localSheetId="1" hidden="1">1</definedName>
    <definedName name="solver_rel1" localSheetId="1" hidden="1">3</definedName>
    <definedName name="solver_rel2" localSheetId="1" hidden="1">3</definedName>
    <definedName name="solver_rhs1" localSheetId="1" hidden="1">0</definedName>
    <definedName name="solver_rhs2" localSheetId="1" hidden="1">0</definedName>
    <definedName name="solver_rlx" localSheetId="1" hidden="1">1</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definedName>
    <definedName name="solver_ver" localSheetId="1" hidden="1">2</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18" i="1" l="1"/>
  <c r="D21" i="1"/>
  <c r="H65" i="1" l="1"/>
  <c r="H63" i="1"/>
  <c r="K43" i="1" l="1"/>
  <c r="K41" i="1"/>
  <c r="E23" i="1" l="1"/>
  <c r="C94" i="1" l="1"/>
  <c r="C95" i="1"/>
  <c r="C89" i="1"/>
  <c r="C91" i="1" l="1"/>
  <c r="C90"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D22" i="15"/>
  <c r="D23" i="15" s="1"/>
  <c r="D19" i="4"/>
  <c r="E19" i="4" s="1"/>
  <c r="F19" i="4" s="1"/>
  <c r="G19" i="4" s="1"/>
  <c r="H19" i="4" s="1"/>
  <c r="I19" i="4" s="1"/>
  <c r="J19" i="4" s="1"/>
  <c r="K19" i="4" s="1"/>
  <c r="L19" i="4" s="1"/>
  <c r="M19" i="4" s="1"/>
  <c r="N19" i="4" s="1"/>
  <c r="O19" i="4" s="1"/>
  <c r="P19" i="4" s="1"/>
  <c r="Q19" i="4" s="1"/>
  <c r="R19" i="4" s="1"/>
  <c r="S19" i="4" s="1"/>
  <c r="T19" i="4" s="1"/>
  <c r="U19" i="4" s="1"/>
  <c r="V19" i="4" s="1"/>
  <c r="W19" i="4" s="1"/>
  <c r="D17" i="4"/>
  <c r="K30" i="1"/>
  <c r="D33" i="4"/>
  <c r="D34" i="4"/>
  <c r="D37" i="4"/>
  <c r="D122" i="4"/>
  <c r="D115" i="4"/>
  <c r="E32" i="1"/>
  <c r="P65" i="1"/>
  <c r="E21" i="1"/>
  <c r="AA55" i="1"/>
  <c r="AA56" i="1" s="1"/>
  <c r="AA52" i="1"/>
  <c r="AA51" i="1"/>
  <c r="D22" i="1"/>
  <c r="D144" i="4" l="1"/>
  <c r="C88" i="1"/>
  <c r="P34" i="1"/>
  <c r="C86" i="1"/>
  <c r="D20" i="4"/>
  <c r="X19" i="4"/>
  <c r="W24" i="15"/>
  <c r="W92" i="15" s="1"/>
  <c r="P35" i="1"/>
  <c r="P56" i="1"/>
  <c r="P64" i="1"/>
  <c r="E17" i="4"/>
  <c r="E34" i="4"/>
  <c r="P18" i="1"/>
  <c r="D36" i="4"/>
  <c r="D38" i="4" s="1"/>
  <c r="E36" i="4"/>
  <c r="P36" i="1"/>
  <c r="E22" i="15"/>
  <c r="F22" i="15" s="1"/>
  <c r="F23" i="15" s="1"/>
  <c r="F91" i="15" s="1"/>
  <c r="D91" i="15"/>
  <c r="Y51" i="1"/>
  <c r="P63" i="1"/>
  <c r="E22" i="1"/>
  <c r="D24" i="15"/>
  <c r="E20" i="4" l="1"/>
  <c r="E22" i="4"/>
  <c r="E33" i="4"/>
  <c r="E37" i="4"/>
  <c r="Y19" i="4"/>
  <c r="X24" i="15"/>
  <c r="X92" i="15" s="1"/>
  <c r="F17" i="4"/>
  <c r="F33" i="4"/>
  <c r="E23" i="15"/>
  <c r="E91" i="15" s="1"/>
  <c r="G22" i="15"/>
  <c r="G23" i="15" s="1"/>
  <c r="G91" i="15" s="1"/>
  <c r="E24" i="15"/>
  <c r="E92" i="15" s="1"/>
  <c r="D92" i="15"/>
  <c r="Y52" i="1"/>
  <c r="F37" i="4" l="1"/>
  <c r="F34" i="4"/>
  <c r="E38" i="4"/>
  <c r="F20" i="4"/>
  <c r="F22" i="4"/>
  <c r="G17" i="4"/>
  <c r="Z19" i="4"/>
  <c r="Y24" i="15"/>
  <c r="Y92" i="15" s="1"/>
  <c r="F36" i="4"/>
  <c r="G37" i="4"/>
  <c r="H17" i="4"/>
  <c r="G33" i="4"/>
  <c r="H22" i="15"/>
  <c r="I22" i="15" s="1"/>
  <c r="F24" i="15"/>
  <c r="F92" i="15" s="1"/>
  <c r="F38" i="4" l="1"/>
  <c r="G36" i="4"/>
  <c r="G34" i="4"/>
  <c r="G22" i="4"/>
  <c r="H22" i="4" s="1"/>
  <c r="G20" i="4"/>
  <c r="H20" i="4" s="1"/>
  <c r="AA19" i="4"/>
  <c r="Z24" i="15"/>
  <c r="H33" i="4"/>
  <c r="H37" i="4"/>
  <c r="H36" i="4"/>
  <c r="H34" i="4"/>
  <c r="I17" i="4"/>
  <c r="H23" i="15"/>
  <c r="H91" i="15" s="1"/>
  <c r="I23" i="15"/>
  <c r="I91" i="15" s="1"/>
  <c r="J22" i="15"/>
  <c r="G24" i="15"/>
  <c r="G92" i="15" s="1"/>
  <c r="G38" i="4" l="1"/>
  <c r="I20" i="4"/>
  <c r="I22" i="4"/>
  <c r="AB19" i="4"/>
  <c r="AB24" i="15" s="1"/>
  <c r="AB92" i="15" s="1"/>
  <c r="AA24" i="15"/>
  <c r="AA92" i="15" s="1"/>
  <c r="Z92" i="15"/>
  <c r="E115" i="4"/>
  <c r="E51" i="4"/>
  <c r="H38" i="4"/>
  <c r="I34" i="4"/>
  <c r="I37" i="4"/>
  <c r="I36" i="4"/>
  <c r="J17" i="4"/>
  <c r="I33" i="4"/>
  <c r="E58" i="4"/>
  <c r="H24" i="15"/>
  <c r="H92" i="15" s="1"/>
  <c r="J23" i="15"/>
  <c r="J91" i="15" s="1"/>
  <c r="K22" i="15"/>
  <c r="J20" i="4" l="1"/>
  <c r="J121" i="4"/>
  <c r="J166" i="4" s="1"/>
  <c r="J114" i="4"/>
  <c r="J22" i="4"/>
  <c r="E52" i="4"/>
  <c r="F51" i="4" s="1"/>
  <c r="J33" i="4"/>
  <c r="J34" i="4"/>
  <c r="J37" i="4"/>
  <c r="K17" i="4"/>
  <c r="J36" i="4"/>
  <c r="I38" i="4"/>
  <c r="I24" i="15"/>
  <c r="I92" i="15" s="1"/>
  <c r="K23" i="15"/>
  <c r="K91" i="15" s="1"/>
  <c r="L22" i="15"/>
  <c r="K20" i="4" l="1"/>
  <c r="K114" i="4"/>
  <c r="K121" i="4"/>
  <c r="K166" i="4" s="1"/>
  <c r="K22" i="4"/>
  <c r="J171" i="4"/>
  <c r="E122" i="4"/>
  <c r="K34" i="4"/>
  <c r="K36" i="4"/>
  <c r="K33" i="4"/>
  <c r="L17" i="4"/>
  <c r="K37" i="4"/>
  <c r="J38" i="4"/>
  <c r="F115" i="4"/>
  <c r="L23" i="15"/>
  <c r="L91" i="15" s="1"/>
  <c r="M22" i="15"/>
  <c r="J24" i="15"/>
  <c r="J92" i="15" s="1"/>
  <c r="L20" i="4" l="1"/>
  <c r="L114" i="4"/>
  <c r="L121" i="4"/>
  <c r="L166" i="4" s="1"/>
  <c r="L22" i="4"/>
  <c r="K171" i="4"/>
  <c r="F52" i="4"/>
  <c r="G51" i="4" s="1"/>
  <c r="L36" i="4"/>
  <c r="M17" i="4"/>
  <c r="L37" i="4"/>
  <c r="L33" i="4"/>
  <c r="L34" i="4"/>
  <c r="K38" i="4"/>
  <c r="M23" i="15"/>
  <c r="M91" i="15" s="1"/>
  <c r="N22" i="15"/>
  <c r="K24" i="15"/>
  <c r="K92" i="15" s="1"/>
  <c r="M20" i="4" l="1"/>
  <c r="M114" i="4"/>
  <c r="M121" i="4"/>
  <c r="M166" i="4" s="1"/>
  <c r="M22" i="4"/>
  <c r="L171" i="4"/>
  <c r="F122" i="4"/>
  <c r="L38" i="4"/>
  <c r="M36" i="4"/>
  <c r="M33" i="4"/>
  <c r="M37" i="4"/>
  <c r="N17" i="4"/>
  <c r="M34" i="4"/>
  <c r="G115" i="4"/>
  <c r="O22" i="15"/>
  <c r="N23" i="15"/>
  <c r="N91" i="15" s="1"/>
  <c r="L24" i="15"/>
  <c r="L92" i="15" s="1"/>
  <c r="N121" i="4" l="1"/>
  <c r="N114" i="4"/>
  <c r="N20" i="4"/>
  <c r="N22" i="4"/>
  <c r="G122" i="4"/>
  <c r="M171" i="4"/>
  <c r="E59" i="4"/>
  <c r="F58" i="4" s="1"/>
  <c r="N23" i="4"/>
  <c r="N33" i="4"/>
  <c r="N36" i="4"/>
  <c r="N37" i="4"/>
  <c r="N34" i="4"/>
  <c r="O17" i="4"/>
  <c r="M38" i="4"/>
  <c r="M24" i="15"/>
  <c r="M92" i="15" s="1"/>
  <c r="O23" i="15"/>
  <c r="O91" i="15" s="1"/>
  <c r="P22" i="15"/>
  <c r="O114" i="4" l="1"/>
  <c r="O121" i="4"/>
  <c r="O20" i="4"/>
  <c r="O22" i="4"/>
  <c r="G52" i="4"/>
  <c r="H51" i="4" s="1"/>
  <c r="N27" i="4"/>
  <c r="O23" i="4"/>
  <c r="O33" i="4"/>
  <c r="O37" i="4"/>
  <c r="O36" i="4"/>
  <c r="O34" i="4"/>
  <c r="P17" i="4"/>
  <c r="N38" i="4"/>
  <c r="P23" i="15"/>
  <c r="P91" i="15" s="1"/>
  <c r="Q22" i="15"/>
  <c r="N24" i="15"/>
  <c r="N92" i="15" s="1"/>
  <c r="P114" i="4" l="1"/>
  <c r="P121" i="4"/>
  <c r="F59" i="4"/>
  <c r="G58" i="4" s="1"/>
  <c r="P20" i="4"/>
  <c r="P22" i="4"/>
  <c r="O27" i="4"/>
  <c r="P23" i="4"/>
  <c r="P37" i="4"/>
  <c r="Q17" i="4"/>
  <c r="P34" i="4"/>
  <c r="P33" i="4"/>
  <c r="P36" i="4"/>
  <c r="O38" i="4"/>
  <c r="G59" i="4"/>
  <c r="H58" i="4" s="1"/>
  <c r="H115" i="4"/>
  <c r="O24" i="15"/>
  <c r="O92" i="15" s="1"/>
  <c r="R22" i="15"/>
  <c r="Q23" i="15"/>
  <c r="Q91" i="15" s="1"/>
  <c r="Q114" i="4" l="1"/>
  <c r="Q121" i="4"/>
  <c r="P27" i="4"/>
  <c r="H122" i="4"/>
  <c r="Q20" i="4"/>
  <c r="Q22" i="4"/>
  <c r="Q23" i="4"/>
  <c r="P38" i="4"/>
  <c r="Q37" i="4"/>
  <c r="R17" i="4"/>
  <c r="Q33" i="4"/>
  <c r="Q34" i="4"/>
  <c r="Q36" i="4"/>
  <c r="P24" i="15"/>
  <c r="P92" i="15" s="1"/>
  <c r="S22" i="15"/>
  <c r="R23" i="15"/>
  <c r="R91" i="15" s="1"/>
  <c r="R121" i="4" l="1"/>
  <c r="R114" i="4"/>
  <c r="Q27" i="4"/>
  <c r="R20" i="4"/>
  <c r="R22" i="4"/>
  <c r="H52" i="4"/>
  <c r="I51" i="4" s="1"/>
  <c r="R23" i="4"/>
  <c r="S17" i="4"/>
  <c r="R36" i="4"/>
  <c r="R34" i="4"/>
  <c r="R33" i="4"/>
  <c r="R37" i="4"/>
  <c r="Q38" i="4"/>
  <c r="S23" i="15"/>
  <c r="S91" i="15" s="1"/>
  <c r="T22" i="15"/>
  <c r="Q24" i="15"/>
  <c r="Q92" i="15" s="1"/>
  <c r="R27" i="4" l="1"/>
  <c r="S114" i="4"/>
  <c r="S121" i="4"/>
  <c r="S20" i="4"/>
  <c r="S22" i="4"/>
  <c r="S23" i="4"/>
  <c r="R38" i="4"/>
  <c r="S34" i="4"/>
  <c r="S33" i="4"/>
  <c r="S37" i="4"/>
  <c r="S36" i="4"/>
  <c r="T17" i="4"/>
  <c r="I122" i="4"/>
  <c r="I115" i="4"/>
  <c r="R24" i="15"/>
  <c r="R92" i="15" s="1"/>
  <c r="U22" i="15"/>
  <c r="T23" i="15"/>
  <c r="T91" i="15" s="1"/>
  <c r="T114" i="4" l="1"/>
  <c r="T121" i="4"/>
  <c r="T20" i="4"/>
  <c r="T22" i="4"/>
  <c r="S27" i="4"/>
  <c r="T23" i="4"/>
  <c r="S38" i="4"/>
  <c r="T37" i="4"/>
  <c r="T36" i="4"/>
  <c r="U17" i="4"/>
  <c r="T33" i="4"/>
  <c r="T34" i="4"/>
  <c r="H59" i="4"/>
  <c r="I58" i="4" s="1"/>
  <c r="V22" i="15"/>
  <c r="W22" i="15" s="1"/>
  <c r="U23" i="15"/>
  <c r="U91" i="15" s="1"/>
  <c r="S24" i="15"/>
  <c r="S92" i="15" s="1"/>
  <c r="U114" i="4" l="1"/>
  <c r="U121" i="4"/>
  <c r="U20" i="4"/>
  <c r="U22" i="4"/>
  <c r="W23" i="15"/>
  <c r="W91" i="15" s="1"/>
  <c r="X22" i="15"/>
  <c r="I52" i="4"/>
  <c r="J51" i="4" s="1"/>
  <c r="T27" i="4"/>
  <c r="U23" i="4"/>
  <c r="U33" i="4"/>
  <c r="U34" i="4"/>
  <c r="U37" i="4"/>
  <c r="V17" i="4"/>
  <c r="U36" i="4"/>
  <c r="T38" i="4"/>
  <c r="T24" i="15"/>
  <c r="T92" i="15" s="1"/>
  <c r="V23" i="15"/>
  <c r="V91" i="15" s="1"/>
  <c r="V22" i="4" l="1"/>
  <c r="V121" i="4"/>
  <c r="V114" i="4"/>
  <c r="U27" i="4"/>
  <c r="V20" i="4"/>
  <c r="W17" i="4"/>
  <c r="X23" i="15"/>
  <c r="X91" i="15" s="1"/>
  <c r="Y22" i="15"/>
  <c r="V23" i="4"/>
  <c r="V33" i="4"/>
  <c r="V34" i="4"/>
  <c r="V36" i="4"/>
  <c r="V37" i="4"/>
  <c r="U38" i="4"/>
  <c r="J122" i="4"/>
  <c r="J46" i="4" s="1"/>
  <c r="J22" i="16" s="1"/>
  <c r="J115" i="4"/>
  <c r="J45" i="4" s="1"/>
  <c r="U24" i="15"/>
  <c r="U92" i="15" s="1"/>
  <c r="W22" i="4" l="1"/>
  <c r="W114" i="4"/>
  <c r="W121" i="4"/>
  <c r="W20" i="4"/>
  <c r="W23" i="4"/>
  <c r="W33" i="4"/>
  <c r="W34" i="4"/>
  <c r="D149" i="4" s="1"/>
  <c r="P17" i="1" s="1"/>
  <c r="P19" i="1" s="1"/>
  <c r="X17" i="4"/>
  <c r="W37" i="4"/>
  <c r="W36" i="4"/>
  <c r="Y23" i="15"/>
  <c r="Y91" i="15" s="1"/>
  <c r="Z22" i="15"/>
  <c r="I59" i="4"/>
  <c r="J58" i="4" s="1"/>
  <c r="V27" i="4"/>
  <c r="V38" i="4"/>
  <c r="Z51" i="1"/>
  <c r="V24" i="15"/>
  <c r="V92" i="15" s="1"/>
  <c r="X22" i="4" l="1"/>
  <c r="X114" i="4"/>
  <c r="X121" i="4"/>
  <c r="X98" i="4"/>
  <c r="W27" i="4"/>
  <c r="X20" i="4"/>
  <c r="X23" i="4"/>
  <c r="X33" i="4"/>
  <c r="X34" i="4"/>
  <c r="Y17" i="4"/>
  <c r="X37" i="4"/>
  <c r="X36" i="4"/>
  <c r="W38" i="4"/>
  <c r="AA22" i="15"/>
  <c r="Z23" i="15"/>
  <c r="Z91" i="15" s="1"/>
  <c r="J52" i="4"/>
  <c r="K51" i="4" s="1"/>
  <c r="Z52" i="1"/>
  <c r="Y22" i="4" l="1"/>
  <c r="Y114" i="4"/>
  <c r="Y121" i="4"/>
  <c r="Y98" i="4"/>
  <c r="X27" i="4"/>
  <c r="X38" i="4"/>
  <c r="Y37" i="4"/>
  <c r="Y20" i="4"/>
  <c r="Y23" i="4"/>
  <c r="Y33" i="4"/>
  <c r="Y34" i="4"/>
  <c r="Z17" i="4"/>
  <c r="Y36" i="4"/>
  <c r="AB22" i="15"/>
  <c r="AA23" i="15"/>
  <c r="AA91" i="15" s="1"/>
  <c r="J59" i="4"/>
  <c r="K58" i="4" s="1"/>
  <c r="K115" i="4"/>
  <c r="K45" i="4" s="1"/>
  <c r="Z22" i="4" l="1"/>
  <c r="Z121" i="4"/>
  <c r="Z114" i="4"/>
  <c r="Z98" i="4"/>
  <c r="Y38" i="4"/>
  <c r="Y27" i="4"/>
  <c r="AA17" i="4"/>
  <c r="Z37" i="4"/>
  <c r="Z20" i="4"/>
  <c r="Z23" i="4"/>
  <c r="Z33" i="4"/>
  <c r="Z34" i="4"/>
  <c r="Z36" i="4"/>
  <c r="AB23" i="15"/>
  <c r="AB91" i="15" s="1"/>
  <c r="AA22" i="4" l="1"/>
  <c r="AA114" i="4"/>
  <c r="AA121" i="4"/>
  <c r="AA98" i="4"/>
  <c r="K122" i="4"/>
  <c r="K46" i="4" s="1"/>
  <c r="K22" i="16" s="1"/>
  <c r="Z27" i="4"/>
  <c r="Z38" i="4"/>
  <c r="AA20" i="4"/>
  <c r="AB17" i="4"/>
  <c r="AA23" i="4"/>
  <c r="AA34" i="4"/>
  <c r="AA33" i="4"/>
  <c r="AA37" i="4"/>
  <c r="AA36" i="4"/>
  <c r="K52" i="4"/>
  <c r="L51" i="4" s="1"/>
  <c r="AB22" i="4" l="1"/>
  <c r="AB114" i="4"/>
  <c r="AB121" i="4"/>
  <c r="AB98" i="4"/>
  <c r="AA27" i="4"/>
  <c r="AB37" i="4"/>
  <c r="AB20" i="4"/>
  <c r="AB33" i="4"/>
  <c r="AB23" i="4"/>
  <c r="AB34" i="4"/>
  <c r="AB36" i="4"/>
  <c r="AA38" i="4"/>
  <c r="K59" i="4"/>
  <c r="L58" i="4" s="1"/>
  <c r="L115" i="4"/>
  <c r="L45" i="4" s="1"/>
  <c r="AB38" i="4" l="1"/>
  <c r="V52" i="15" s="1"/>
  <c r="AB27" i="4"/>
  <c r="L122" i="4" l="1"/>
  <c r="L46" i="4" s="1"/>
  <c r="L22" i="16" s="1"/>
  <c r="AA52" i="15"/>
  <c r="AB52" i="15"/>
  <c r="C52" i="15"/>
  <c r="D52" i="15"/>
  <c r="D53" i="15" s="1"/>
  <c r="E52" i="15"/>
  <c r="G52" i="15"/>
  <c r="F52" i="15"/>
  <c r="H52" i="15"/>
  <c r="J52" i="15"/>
  <c r="I52" i="15"/>
  <c r="K52" i="15"/>
  <c r="L52" i="15"/>
  <c r="M52" i="15"/>
  <c r="O52" i="15"/>
  <c r="N52" i="15"/>
  <c r="Q52" i="15"/>
  <c r="P52" i="15"/>
  <c r="S52" i="15"/>
  <c r="R52" i="15"/>
  <c r="T52" i="15"/>
  <c r="Y52" i="15"/>
  <c r="Z52" i="15"/>
  <c r="U52" i="15"/>
  <c r="X52" i="15"/>
  <c r="W52" i="15"/>
  <c r="L52" i="4"/>
  <c r="M51" i="4" s="1"/>
  <c r="M115" i="4" l="1"/>
  <c r="M45" i="4" s="1"/>
  <c r="L59" i="4" l="1"/>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C82" i="1" l="1"/>
  <c r="E28" i="1"/>
  <c r="P66" i="1" l="1"/>
  <c r="P37" i="1"/>
  <c r="E39" i="1"/>
  <c r="E29" i="1"/>
  <c r="D21" i="4"/>
  <c r="C83" i="1"/>
  <c r="D18" i="15"/>
  <c r="E98" i="4" l="1"/>
  <c r="C101" i="4"/>
  <c r="D99" i="4" s="1"/>
  <c r="D98" i="4"/>
  <c r="C92" i="1"/>
  <c r="D134" i="4"/>
  <c r="F98" i="4"/>
  <c r="H98" i="4"/>
  <c r="G98" i="4"/>
  <c r="I98" i="4"/>
  <c r="J98" i="4"/>
  <c r="K98" i="4"/>
  <c r="L98" i="4"/>
  <c r="M98" i="4"/>
  <c r="N98" i="4"/>
  <c r="O98" i="4"/>
  <c r="P98" i="4"/>
  <c r="Q98" i="4"/>
  <c r="R98" i="4"/>
  <c r="S98" i="4"/>
  <c r="T98" i="4"/>
  <c r="U98" i="4"/>
  <c r="V98" i="4"/>
  <c r="W98" i="4"/>
  <c r="E21" i="4"/>
  <c r="D26" i="4"/>
  <c r="D21" i="15"/>
  <c r="D19" i="15" s="1"/>
  <c r="D23" i="4"/>
  <c r="D27" i="4" s="1"/>
  <c r="E18" i="15"/>
  <c r="H23" i="1"/>
  <c r="E73" i="1"/>
  <c r="D73" i="1"/>
  <c r="C73" i="1"/>
  <c r="D100" i="4" l="1"/>
  <c r="D101" i="4" s="1"/>
  <c r="D75" i="4"/>
  <c r="D161" i="4"/>
  <c r="D42" i="4"/>
  <c r="D160" i="4"/>
  <c r="D94" i="15"/>
  <c r="Y55" i="1"/>
  <c r="E26" i="4"/>
  <c r="E23" i="4"/>
  <c r="E27" i="4" s="1"/>
  <c r="F21" i="4"/>
  <c r="E21" i="15"/>
  <c r="E19" i="15" s="1"/>
  <c r="E94" i="15" s="1"/>
  <c r="F18" i="15"/>
  <c r="D26" i="15"/>
  <c r="Y56" i="1"/>
  <c r="D95" i="15"/>
  <c r="D25" i="15"/>
  <c r="D28" i="4"/>
  <c r="D29" i="4" s="1"/>
  <c r="D30" i="4" s="1"/>
  <c r="E51" i="1"/>
  <c r="P22" i="1"/>
  <c r="C97" i="1"/>
  <c r="H24" i="1"/>
  <c r="C69" i="16"/>
  <c r="C56" i="16"/>
  <c r="H49" i="1"/>
  <c r="H50" i="1" s="1"/>
  <c r="P38" i="1"/>
  <c r="P39" i="1" s="1"/>
  <c r="P67" i="1"/>
  <c r="P68" i="1" s="1"/>
  <c r="Y60" i="1"/>
  <c r="Z65" i="1" s="1"/>
  <c r="E99" i="4" l="1"/>
  <c r="D76" i="4"/>
  <c r="E76" i="4" s="1"/>
  <c r="F76" i="4" s="1"/>
  <c r="G76" i="4" s="1"/>
  <c r="D58" i="4"/>
  <c r="E28" i="4"/>
  <c r="E29" i="4" s="1"/>
  <c r="E30" i="4" s="1"/>
  <c r="E40" i="4" s="1"/>
  <c r="E167" i="4" s="1"/>
  <c r="E172" i="4" s="1"/>
  <c r="C87" i="4"/>
  <c r="D133" i="4"/>
  <c r="C80" i="4"/>
  <c r="H37" i="16"/>
  <c r="D37" i="16"/>
  <c r="F37" i="16"/>
  <c r="H32" i="1"/>
  <c r="P23" i="1" s="1"/>
  <c r="P24" i="1" s="1"/>
  <c r="G37" i="16"/>
  <c r="E37" i="16"/>
  <c r="G18" i="15"/>
  <c r="D66" i="15"/>
  <c r="D67" i="15" s="1"/>
  <c r="D27" i="15"/>
  <c r="F23" i="4"/>
  <c r="F27" i="4" s="1"/>
  <c r="F21" i="15"/>
  <c r="G21" i="4"/>
  <c r="F26" i="4"/>
  <c r="D40" i="4"/>
  <c r="D167" i="4" s="1"/>
  <c r="D172" i="4" s="1"/>
  <c r="D113" i="4"/>
  <c r="D103" i="4"/>
  <c r="D104" i="4" s="1"/>
  <c r="D105" i="4" s="1"/>
  <c r="C93" i="16"/>
  <c r="C71" i="16"/>
  <c r="O50" i="1"/>
  <c r="E25" i="15"/>
  <c r="E95" i="15"/>
  <c r="E26" i="15"/>
  <c r="E51" i="15" s="1"/>
  <c r="E53" i="15" s="1"/>
  <c r="E59" i="1"/>
  <c r="I114" i="4" s="1"/>
  <c r="I45" i="4" s="1"/>
  <c r="E55" i="1"/>
  <c r="E114" i="4" s="1"/>
  <c r="E45" i="4" s="1"/>
  <c r="E58" i="1"/>
  <c r="H114" i="4" s="1"/>
  <c r="H45" i="4" s="1"/>
  <c r="H55" i="1"/>
  <c r="D51" i="4" s="1"/>
  <c r="E57" i="1"/>
  <c r="G114" i="4" s="1"/>
  <c r="G45" i="4" s="1"/>
  <c r="D58" i="1"/>
  <c r="H121" i="4" s="1"/>
  <c r="E54" i="1"/>
  <c r="D59" i="1"/>
  <c r="I121" i="4" s="1"/>
  <c r="D56" i="1"/>
  <c r="F121" i="4" s="1"/>
  <c r="D55" i="1"/>
  <c r="E121" i="4" s="1"/>
  <c r="D54" i="1"/>
  <c r="D57" i="1"/>
  <c r="G121" i="4" s="1"/>
  <c r="E56" i="1"/>
  <c r="F114" i="4" s="1"/>
  <c r="F45" i="4" s="1"/>
  <c r="C92" i="16"/>
  <c r="C58" i="16"/>
  <c r="P50" i="1"/>
  <c r="E100" i="4" l="1"/>
  <c r="E42" i="4"/>
  <c r="E49" i="4" s="1"/>
  <c r="E50" i="4" s="1"/>
  <c r="E53" i="4" s="1"/>
  <c r="E120" i="4" s="1"/>
  <c r="E123" i="4" s="1"/>
  <c r="E160" i="4"/>
  <c r="E103" i="4"/>
  <c r="E104" i="4" s="1"/>
  <c r="E105" i="4" s="1"/>
  <c r="E113" i="4"/>
  <c r="E117" i="4" s="1"/>
  <c r="E72" i="4" s="1"/>
  <c r="F28" i="4"/>
  <c r="F29" i="4" s="1"/>
  <c r="F30" i="4" s="1"/>
  <c r="C97" i="16"/>
  <c r="C60" i="16"/>
  <c r="C81" i="4"/>
  <c r="C24" i="16"/>
  <c r="C49" i="15"/>
  <c r="C53" i="15" s="1"/>
  <c r="E60" i="1"/>
  <c r="D114" i="4"/>
  <c r="D45" i="4" s="1"/>
  <c r="D49" i="4" s="1"/>
  <c r="D50" i="4" s="1"/>
  <c r="D53" i="4" s="1"/>
  <c r="D120" i="4" s="1"/>
  <c r="H18" i="15"/>
  <c r="H166" i="4"/>
  <c r="H46" i="4"/>
  <c r="H22" i="16" s="1"/>
  <c r="G23" i="4"/>
  <c r="G27" i="4" s="1"/>
  <c r="H21" i="4"/>
  <c r="G26" i="4"/>
  <c r="G21" i="15"/>
  <c r="G19" i="15" s="1"/>
  <c r="G94" i="15" s="1"/>
  <c r="G166" i="4"/>
  <c r="G46" i="4"/>
  <c r="G22" i="16" s="1"/>
  <c r="E166" i="4"/>
  <c r="E46" i="4"/>
  <c r="D80" i="15"/>
  <c r="C68" i="15"/>
  <c r="C88" i="4"/>
  <c r="H76" i="4"/>
  <c r="E27" i="15"/>
  <c r="E80" i="15" s="1"/>
  <c r="E66" i="15"/>
  <c r="E67" i="15" s="1"/>
  <c r="F95" i="15"/>
  <c r="F26" i="15"/>
  <c r="F25" i="15"/>
  <c r="F46" i="4"/>
  <c r="F22" i="16" s="1"/>
  <c r="F166" i="4"/>
  <c r="D60" i="1"/>
  <c r="D121" i="4"/>
  <c r="C98" i="16"/>
  <c r="C73" i="16"/>
  <c r="I46" i="4"/>
  <c r="I22" i="16" s="1"/>
  <c r="I166" i="4"/>
  <c r="F19" i="15"/>
  <c r="F94" i="15" s="1"/>
  <c r="E75" i="4" l="1"/>
  <c r="E161" i="4"/>
  <c r="E101" i="4"/>
  <c r="E116" i="4"/>
  <c r="E124" i="4"/>
  <c r="E70" i="4" s="1"/>
  <c r="E29" i="16" s="1"/>
  <c r="F40" i="4"/>
  <c r="F167" i="4" s="1"/>
  <c r="F172" i="4" s="1"/>
  <c r="F103" i="4"/>
  <c r="F104" i="4" s="1"/>
  <c r="F105" i="4" s="1"/>
  <c r="D116" i="4"/>
  <c r="D117" i="4"/>
  <c r="D72" i="4" s="1"/>
  <c r="D155" i="4" s="1"/>
  <c r="D52" i="4"/>
  <c r="D71" i="4" s="1"/>
  <c r="D27" i="16" s="1"/>
  <c r="F51" i="15"/>
  <c r="F53" i="15" s="1"/>
  <c r="G171" i="4"/>
  <c r="G95" i="15"/>
  <c r="G26" i="15"/>
  <c r="G25" i="15"/>
  <c r="I18" i="15"/>
  <c r="C88" i="16"/>
  <c r="D46" i="4"/>
  <c r="D166" i="4"/>
  <c r="C69" i="15"/>
  <c r="G28" i="4"/>
  <c r="G29" i="4" s="1"/>
  <c r="G30" i="4" s="1"/>
  <c r="D123" i="4"/>
  <c r="D124" i="4"/>
  <c r="D70" i="4" s="1"/>
  <c r="C89" i="16"/>
  <c r="H23" i="4"/>
  <c r="H27" i="4" s="1"/>
  <c r="H21" i="15"/>
  <c r="H26" i="4"/>
  <c r="I21" i="4"/>
  <c r="I171" i="4"/>
  <c r="I76" i="4"/>
  <c r="F171" i="4"/>
  <c r="E22" i="16"/>
  <c r="E56" i="4"/>
  <c r="E57" i="4" s="1"/>
  <c r="E60" i="4" s="1"/>
  <c r="E62" i="4" s="1"/>
  <c r="E171" i="4"/>
  <c r="E173" i="4"/>
  <c r="E168" i="4"/>
  <c r="E155" i="4"/>
  <c r="E28" i="16"/>
  <c r="F66" i="15"/>
  <c r="F67" i="15" s="1"/>
  <c r="F27" i="15"/>
  <c r="F80" i="15" s="1"/>
  <c r="H171" i="4"/>
  <c r="F99" i="4" l="1"/>
  <c r="E73" i="4"/>
  <c r="E154" i="4"/>
  <c r="F168" i="4"/>
  <c r="F173" i="4"/>
  <c r="D28" i="16"/>
  <c r="H28" i="4"/>
  <c r="H29" i="4" s="1"/>
  <c r="H30" i="4" s="1"/>
  <c r="H40" i="4" s="1"/>
  <c r="H167" i="4" s="1"/>
  <c r="E87" i="4"/>
  <c r="E68" i="15" s="1"/>
  <c r="E69" i="15" s="1"/>
  <c r="D22" i="16"/>
  <c r="D56" i="4"/>
  <c r="D57" i="4" s="1"/>
  <c r="G51" i="15"/>
  <c r="G53" i="15" s="1"/>
  <c r="E21" i="16"/>
  <c r="E24" i="16" s="1"/>
  <c r="E36" i="16" s="1"/>
  <c r="E38" i="16" s="1"/>
  <c r="E40" i="16" s="1"/>
  <c r="E41" i="16" s="1"/>
  <c r="E43" i="16" s="1"/>
  <c r="E80" i="4"/>
  <c r="G66" i="15"/>
  <c r="G67" i="15" s="1"/>
  <c r="G27" i="15"/>
  <c r="E31" i="16"/>
  <c r="E57" i="16" s="1"/>
  <c r="E70" i="16" s="1"/>
  <c r="J76" i="4"/>
  <c r="I23" i="4"/>
  <c r="I27" i="4" s="1"/>
  <c r="J21" i="4"/>
  <c r="I26" i="4"/>
  <c r="I21" i="15"/>
  <c r="I19" i="15" s="1"/>
  <c r="I94" i="15" s="1"/>
  <c r="D171" i="4"/>
  <c r="D168" i="4"/>
  <c r="D173" i="4"/>
  <c r="D174" i="4" s="1"/>
  <c r="E174" i="4" s="1"/>
  <c r="F174" i="4" s="1"/>
  <c r="D154" i="4"/>
  <c r="D29" i="16"/>
  <c r="H95" i="15"/>
  <c r="H26" i="15"/>
  <c r="H51" i="15" s="1"/>
  <c r="H53" i="15" s="1"/>
  <c r="H25" i="15"/>
  <c r="G40" i="4"/>
  <c r="G167" i="4" s="1"/>
  <c r="G103" i="4"/>
  <c r="G104" i="4" s="1"/>
  <c r="G105" i="4" s="1"/>
  <c r="H19" i="15"/>
  <c r="H94" i="15" s="1"/>
  <c r="J18" i="15"/>
  <c r="F42" i="4" l="1"/>
  <c r="F160" i="4"/>
  <c r="F100" i="4"/>
  <c r="H103" i="4"/>
  <c r="H104" i="4" s="1"/>
  <c r="H105" i="4" s="1"/>
  <c r="I28" i="4"/>
  <c r="I29" i="4" s="1"/>
  <c r="I30" i="4" s="1"/>
  <c r="K18" i="15"/>
  <c r="J23" i="4"/>
  <c r="J27" i="4" s="1"/>
  <c r="J21" i="15"/>
  <c r="J19" i="15" s="1"/>
  <c r="J94" i="15" s="1"/>
  <c r="K21" i="4"/>
  <c r="J26" i="4"/>
  <c r="I26" i="15"/>
  <c r="I95" i="15"/>
  <c r="I25" i="15"/>
  <c r="E44" i="16"/>
  <c r="E48" i="16" s="1"/>
  <c r="H172" i="4"/>
  <c r="H168" i="4"/>
  <c r="H173" i="4"/>
  <c r="G80" i="15"/>
  <c r="G172" i="4"/>
  <c r="G174" i="4" s="1"/>
  <c r="G173" i="4"/>
  <c r="G168" i="4"/>
  <c r="H27" i="15"/>
  <c r="H80" i="15" s="1"/>
  <c r="H66" i="15"/>
  <c r="H67" i="15" s="1"/>
  <c r="K76" i="4"/>
  <c r="E152" i="4"/>
  <c r="E159" i="4" s="1"/>
  <c r="E84" i="4"/>
  <c r="D59" i="4"/>
  <c r="D69" i="4" s="1"/>
  <c r="D60" i="4"/>
  <c r="D62" i="4" s="1"/>
  <c r="F75" i="4" l="1"/>
  <c r="F161" i="4"/>
  <c r="F101" i="4"/>
  <c r="F49" i="4"/>
  <c r="F50" i="4" s="1"/>
  <c r="F53" i="4" s="1"/>
  <c r="F120" i="4" s="1"/>
  <c r="F113" i="4"/>
  <c r="I40" i="4"/>
  <c r="I167" i="4" s="1"/>
  <c r="I168" i="4" s="1"/>
  <c r="I103" i="4"/>
  <c r="I104" i="4" s="1"/>
  <c r="I105" i="4" s="1"/>
  <c r="H174" i="4"/>
  <c r="E45" i="16"/>
  <c r="E49" i="16" s="1"/>
  <c r="E69" i="16" s="1"/>
  <c r="E71" i="16" s="1"/>
  <c r="E98" i="16" s="1"/>
  <c r="E56" i="16"/>
  <c r="E58" i="16" s="1"/>
  <c r="E97" i="16" s="1"/>
  <c r="L18" i="15"/>
  <c r="L76" i="4"/>
  <c r="M76" i="4" s="1"/>
  <c r="D80" i="4"/>
  <c r="D21" i="16"/>
  <c r="D24" i="16" s="1"/>
  <c r="D36" i="16" s="1"/>
  <c r="D38" i="16" s="1"/>
  <c r="D40" i="16" s="1"/>
  <c r="D41" i="16" s="1"/>
  <c r="D43" i="16" s="1"/>
  <c r="D30" i="16"/>
  <c r="D31" i="16" s="1"/>
  <c r="D57" i="16" s="1"/>
  <c r="D70" i="16" s="1"/>
  <c r="D153" i="4"/>
  <c r="E138" i="4" s="1"/>
  <c r="D73" i="4"/>
  <c r="D87" i="4" s="1"/>
  <c r="J28" i="4"/>
  <c r="J29" i="4" s="1"/>
  <c r="J30" i="4" s="1"/>
  <c r="I27" i="15"/>
  <c r="I66" i="15"/>
  <c r="I67" i="15" s="1"/>
  <c r="L21" i="4"/>
  <c r="K23" i="4"/>
  <c r="K27" i="4" s="1"/>
  <c r="K26" i="4"/>
  <c r="K21" i="15"/>
  <c r="K19" i="15" s="1"/>
  <c r="K94" i="15" s="1"/>
  <c r="I51" i="15"/>
  <c r="I53" i="15" s="1"/>
  <c r="J26" i="15"/>
  <c r="J51" i="15" s="1"/>
  <c r="J25" i="15"/>
  <c r="J95" i="15"/>
  <c r="F56" i="4" l="1"/>
  <c r="F57" i="4" s="1"/>
  <c r="F60" i="4" s="1"/>
  <c r="F62" i="4" s="1"/>
  <c r="F21" i="16" s="1"/>
  <c r="F24" i="16" s="1"/>
  <c r="F36" i="16" s="1"/>
  <c r="F38" i="16" s="1"/>
  <c r="F40" i="16" s="1"/>
  <c r="F41" i="16" s="1"/>
  <c r="F43" i="16" s="1"/>
  <c r="I173" i="4"/>
  <c r="I172" i="4"/>
  <c r="I174" i="4" s="1"/>
  <c r="F123" i="4"/>
  <c r="F124" i="4"/>
  <c r="F70" i="4" s="1"/>
  <c r="F116" i="4"/>
  <c r="F117" i="4"/>
  <c r="F72" i="4" s="1"/>
  <c r="G99" i="4"/>
  <c r="E50" i="16"/>
  <c r="K28" i="4"/>
  <c r="K29" i="4" s="1"/>
  <c r="K30" i="4" s="1"/>
  <c r="J27" i="15"/>
  <c r="J80" i="15" s="1"/>
  <c r="J66" i="15"/>
  <c r="J67" i="15" s="1"/>
  <c r="L23" i="4"/>
  <c r="L27" i="4" s="1"/>
  <c r="M21" i="4"/>
  <c r="L21" i="15"/>
  <c r="L19" i="15" s="1"/>
  <c r="L94" i="15" s="1"/>
  <c r="L26" i="4"/>
  <c r="D44" i="16"/>
  <c r="D48" i="16" s="1"/>
  <c r="K95" i="15"/>
  <c r="K25" i="15"/>
  <c r="K26" i="15"/>
  <c r="K51" i="15" s="1"/>
  <c r="D68" i="15"/>
  <c r="D88" i="4"/>
  <c r="E88" i="4" s="1"/>
  <c r="N76" i="4"/>
  <c r="O76" i="4" s="1"/>
  <c r="P76" i="4" s="1"/>
  <c r="D152" i="4"/>
  <c r="D84" i="4"/>
  <c r="D81" i="4"/>
  <c r="E81" i="4" s="1"/>
  <c r="I80" i="15"/>
  <c r="M18" i="15"/>
  <c r="J40" i="4"/>
  <c r="J167" i="4" s="1"/>
  <c r="J103" i="4"/>
  <c r="J104" i="4" s="1"/>
  <c r="J105" i="4" s="1"/>
  <c r="F80" i="4" l="1"/>
  <c r="F81" i="4" s="1"/>
  <c r="F29" i="16"/>
  <c r="F154" i="4"/>
  <c r="G160" i="4"/>
  <c r="G42" i="4"/>
  <c r="G100" i="4"/>
  <c r="F84" i="4"/>
  <c r="F152" i="4"/>
  <c r="F159" i="4" s="1"/>
  <c r="F73" i="4"/>
  <c r="F87" i="4" s="1"/>
  <c r="F68" i="15" s="1"/>
  <c r="F69" i="15" s="1"/>
  <c r="F28" i="16"/>
  <c r="F155" i="4"/>
  <c r="F44" i="16"/>
  <c r="F48" i="16" s="1"/>
  <c r="K103" i="4"/>
  <c r="K104" i="4" s="1"/>
  <c r="K105" i="4" s="1"/>
  <c r="K40" i="4"/>
  <c r="K167" i="4" s="1"/>
  <c r="K173" i="4" s="1"/>
  <c r="D45" i="16"/>
  <c r="D49" i="16" s="1"/>
  <c r="D69" i="16" s="1"/>
  <c r="D71" i="16" s="1"/>
  <c r="Q76" i="4"/>
  <c r="R76" i="4" s="1"/>
  <c r="S76" i="4" s="1"/>
  <c r="T76" i="4" s="1"/>
  <c r="U76" i="4" s="1"/>
  <c r="V76" i="4" s="1"/>
  <c r="W76" i="4" s="1"/>
  <c r="X76" i="4" s="1"/>
  <c r="Y76" i="4" s="1"/>
  <c r="Z76" i="4" s="1"/>
  <c r="AA76" i="4" s="1"/>
  <c r="AB76" i="4" s="1"/>
  <c r="L28" i="4"/>
  <c r="L29" i="4" s="1"/>
  <c r="L30" i="4" s="1"/>
  <c r="L40" i="4" s="1"/>
  <c r="L167" i="4" s="1"/>
  <c r="K27" i="15"/>
  <c r="K66" i="15"/>
  <c r="K67" i="15" s="1"/>
  <c r="J173" i="4"/>
  <c r="J172" i="4"/>
  <c r="J174" i="4" s="1"/>
  <c r="J168" i="4"/>
  <c r="N18" i="15"/>
  <c r="L25" i="15"/>
  <c r="L95" i="15"/>
  <c r="L26" i="15"/>
  <c r="L51" i="15" s="1"/>
  <c r="D69" i="15"/>
  <c r="D56" i="16"/>
  <c r="M23" i="4"/>
  <c r="M27" i="4" s="1"/>
  <c r="N21" i="4"/>
  <c r="M26" i="4"/>
  <c r="M21" i="15"/>
  <c r="D159" i="4"/>
  <c r="F88" i="4" l="1"/>
  <c r="F31" i="16"/>
  <c r="F57" i="16" s="1"/>
  <c r="F70" i="16" s="1"/>
  <c r="F45" i="16"/>
  <c r="F49" i="16" s="1"/>
  <c r="F69" i="16" s="1"/>
  <c r="G75" i="4"/>
  <c r="G161" i="4"/>
  <c r="G101" i="4"/>
  <c r="G113" i="4"/>
  <c r="G49" i="4"/>
  <c r="G50" i="4" s="1"/>
  <c r="G53" i="4" s="1"/>
  <c r="G56" i="4" s="1"/>
  <c r="G57" i="4" s="1"/>
  <c r="G60" i="4" s="1"/>
  <c r="G62" i="4" s="1"/>
  <c r="F56" i="16"/>
  <c r="L103" i="4"/>
  <c r="L104" i="4" s="1"/>
  <c r="L105" i="4" s="1"/>
  <c r="K172" i="4"/>
  <c r="K174" i="4" s="1"/>
  <c r="K168" i="4"/>
  <c r="D50" i="16"/>
  <c r="M28" i="4"/>
  <c r="M29" i="4" s="1"/>
  <c r="M30" i="4" s="1"/>
  <c r="M103" i="4" s="1"/>
  <c r="M104" i="4" s="1"/>
  <c r="D58" i="16"/>
  <c r="M26" i="15"/>
  <c r="M51" i="15" s="1"/>
  <c r="M95" i="15"/>
  <c r="M25" i="15"/>
  <c r="O21" i="4"/>
  <c r="N26" i="4"/>
  <c r="N28" i="4" s="1"/>
  <c r="N29" i="4" s="1"/>
  <c r="N30" i="4" s="1"/>
  <c r="N21" i="15"/>
  <c r="M19" i="15"/>
  <c r="M94" i="15" s="1"/>
  <c r="O18" i="15"/>
  <c r="L173" i="4"/>
  <c r="L172" i="4"/>
  <c r="L168" i="4"/>
  <c r="L27" i="15"/>
  <c r="L80" i="15" s="1"/>
  <c r="L66" i="15"/>
  <c r="L67" i="15" s="1"/>
  <c r="D98" i="16"/>
  <c r="D72" i="16"/>
  <c r="E72" i="16"/>
  <c r="D73" i="16"/>
  <c r="K80" i="15"/>
  <c r="F58" i="16" l="1"/>
  <c r="F97" i="16" s="1"/>
  <c r="F71" i="16"/>
  <c r="F50" i="16"/>
  <c r="G120" i="4"/>
  <c r="G124" i="4" s="1"/>
  <c r="G70" i="4" s="1"/>
  <c r="H99" i="4"/>
  <c r="G80" i="4"/>
  <c r="G21" i="16"/>
  <c r="G24" i="16" s="1"/>
  <c r="G36" i="16" s="1"/>
  <c r="G38" i="16" s="1"/>
  <c r="G40" i="16" s="1"/>
  <c r="G41" i="16" s="1"/>
  <c r="G43" i="16" s="1"/>
  <c r="G117" i="4"/>
  <c r="G72" i="4" s="1"/>
  <c r="G116" i="4"/>
  <c r="M105" i="4"/>
  <c r="M40" i="4"/>
  <c r="M167" i="4" s="1"/>
  <c r="M168" i="4" s="1"/>
  <c r="M27" i="15"/>
  <c r="M80" i="15" s="1"/>
  <c r="M66" i="15"/>
  <c r="M67" i="15" s="1"/>
  <c r="D97" i="16"/>
  <c r="F59" i="16"/>
  <c r="E59" i="16"/>
  <c r="D59" i="16"/>
  <c r="D60" i="16"/>
  <c r="N26" i="15"/>
  <c r="N51" i="15" s="1"/>
  <c r="N95" i="15"/>
  <c r="N25" i="15"/>
  <c r="N40" i="4"/>
  <c r="N103" i="4"/>
  <c r="N104" i="4" s="1"/>
  <c r="P21" i="4"/>
  <c r="O26" i="4"/>
  <c r="O28" i="4" s="1"/>
  <c r="O29" i="4" s="1"/>
  <c r="O30" i="4" s="1"/>
  <c r="O21" i="15"/>
  <c r="O19" i="15" s="1"/>
  <c r="O94" i="15" s="1"/>
  <c r="D89" i="16"/>
  <c r="E73" i="16"/>
  <c r="N19" i="15"/>
  <c r="N94" i="15" s="1"/>
  <c r="P18" i="15"/>
  <c r="L174" i="4"/>
  <c r="G123" i="4" l="1"/>
  <c r="F98" i="16"/>
  <c r="F72" i="16"/>
  <c r="G152" i="4"/>
  <c r="G159" i="4" s="1"/>
  <c r="G84" i="4"/>
  <c r="G81" i="4"/>
  <c r="G28" i="16"/>
  <c r="G155" i="4"/>
  <c r="H42" i="4"/>
  <c r="H160" i="4"/>
  <c r="H100" i="4"/>
  <c r="G29" i="16"/>
  <c r="G154" i="4"/>
  <c r="G73" i="4"/>
  <c r="G87" i="4" s="1"/>
  <c r="G44" i="16"/>
  <c r="G48" i="16" s="1"/>
  <c r="N105" i="4"/>
  <c r="M172" i="4"/>
  <c r="M174" i="4" s="1"/>
  <c r="M173" i="4"/>
  <c r="O40" i="4"/>
  <c r="O103" i="4"/>
  <c r="O104" i="4" s="1"/>
  <c r="D88" i="16"/>
  <c r="E60" i="16"/>
  <c r="N27" i="15"/>
  <c r="N80" i="15" s="1"/>
  <c r="N66" i="15"/>
  <c r="N67" i="15" s="1"/>
  <c r="P21" i="15"/>
  <c r="P19" i="15" s="1"/>
  <c r="P94" i="15" s="1"/>
  <c r="Q21" i="4"/>
  <c r="P26" i="4"/>
  <c r="P28" i="4" s="1"/>
  <c r="P29" i="4" s="1"/>
  <c r="P30" i="4" s="1"/>
  <c r="Q18" i="15"/>
  <c r="E89" i="16"/>
  <c r="F73" i="16"/>
  <c r="O26" i="15"/>
  <c r="O51" i="15" s="1"/>
  <c r="O25" i="15"/>
  <c r="O95" i="15"/>
  <c r="G45" i="16" l="1"/>
  <c r="G49" i="16" s="1"/>
  <c r="G69" i="16" s="1"/>
  <c r="G31" i="16"/>
  <c r="G57" i="16" s="1"/>
  <c r="G70" i="16" s="1"/>
  <c r="H75" i="4"/>
  <c r="H161" i="4"/>
  <c r="H101" i="4"/>
  <c r="G56" i="16"/>
  <c r="O105" i="4"/>
  <c r="G68" i="15"/>
  <c r="G69" i="15" s="1"/>
  <c r="G88" i="4"/>
  <c r="H49" i="4"/>
  <c r="H50" i="4" s="1"/>
  <c r="H53" i="4" s="1"/>
  <c r="H120" i="4" s="1"/>
  <c r="H113" i="4"/>
  <c r="P40" i="4"/>
  <c r="P103" i="4"/>
  <c r="P104" i="4" s="1"/>
  <c r="E88" i="16"/>
  <c r="F60" i="16"/>
  <c r="R18" i="15"/>
  <c r="R21" i="4"/>
  <c r="Q21" i="15"/>
  <c r="Q26" i="4"/>
  <c r="Q28" i="4" s="1"/>
  <c r="Q29" i="4" s="1"/>
  <c r="Q30" i="4" s="1"/>
  <c r="P25" i="15"/>
  <c r="P95" i="15"/>
  <c r="P26" i="15"/>
  <c r="P51" i="15" s="1"/>
  <c r="F89" i="16"/>
  <c r="O66" i="15"/>
  <c r="O67" i="15" s="1"/>
  <c r="O27" i="15"/>
  <c r="O80" i="15" s="1"/>
  <c r="G58" i="16" l="1"/>
  <c r="G60" i="16" s="1"/>
  <c r="G50" i="16"/>
  <c r="H56" i="4"/>
  <c r="H57" i="4" s="1"/>
  <c r="H60" i="4" s="1"/>
  <c r="H62" i="4" s="1"/>
  <c r="H21" i="16" s="1"/>
  <c r="H24" i="16" s="1"/>
  <c r="H36" i="16" s="1"/>
  <c r="H38" i="16" s="1"/>
  <c r="H40" i="16" s="1"/>
  <c r="H41" i="16" s="1"/>
  <c r="H43" i="16" s="1"/>
  <c r="P105" i="4"/>
  <c r="G71" i="16"/>
  <c r="H124" i="4"/>
  <c r="H70" i="4" s="1"/>
  <c r="H123" i="4"/>
  <c r="I99" i="4"/>
  <c r="H116" i="4"/>
  <c r="H117" i="4"/>
  <c r="H72" i="4" s="1"/>
  <c r="Q40" i="4"/>
  <c r="Q103" i="4"/>
  <c r="Q104" i="4" s="1"/>
  <c r="Q95" i="15"/>
  <c r="Q26" i="15"/>
  <c r="Q51" i="15" s="1"/>
  <c r="Q25" i="15"/>
  <c r="F88" i="16"/>
  <c r="R26" i="4"/>
  <c r="R28" i="4" s="1"/>
  <c r="R29" i="4" s="1"/>
  <c r="R30" i="4" s="1"/>
  <c r="R21" i="15"/>
  <c r="S21" i="4"/>
  <c r="S18" i="15"/>
  <c r="Q19" i="15"/>
  <c r="Q94" i="15" s="1"/>
  <c r="P66" i="15"/>
  <c r="P67" i="15" s="1"/>
  <c r="P27" i="15"/>
  <c r="P80" i="15" s="1"/>
  <c r="Q105" i="4" l="1"/>
  <c r="G59" i="16"/>
  <c r="G97" i="16"/>
  <c r="H80" i="4"/>
  <c r="H152" i="4" s="1"/>
  <c r="H159" i="4" s="1"/>
  <c r="G73" i="16"/>
  <c r="G89" i="16" s="1"/>
  <c r="G72" i="16"/>
  <c r="G98" i="16"/>
  <c r="I160" i="4"/>
  <c r="I42" i="4"/>
  <c r="I100" i="4"/>
  <c r="H154" i="4"/>
  <c r="H29" i="16"/>
  <c r="H73" i="4"/>
  <c r="H87" i="4" s="1"/>
  <c r="H155" i="4"/>
  <c r="H28" i="16"/>
  <c r="H44" i="16"/>
  <c r="H48" i="16" s="1"/>
  <c r="R26" i="15"/>
  <c r="R51" i="15" s="1"/>
  <c r="R25" i="15"/>
  <c r="R95" i="15"/>
  <c r="Q27" i="15"/>
  <c r="Q80" i="15" s="1"/>
  <c r="Q66" i="15"/>
  <c r="Q67" i="15" s="1"/>
  <c r="R19" i="15"/>
  <c r="R94" i="15" s="1"/>
  <c r="R40" i="4"/>
  <c r="R103" i="4"/>
  <c r="R104" i="4" s="1"/>
  <c r="R105" i="4" s="1"/>
  <c r="T18" i="15"/>
  <c r="G88" i="16"/>
  <c r="S21" i="15"/>
  <c r="S19" i="15" s="1"/>
  <c r="S94" i="15" s="1"/>
  <c r="S26" i="4"/>
  <c r="S28" i="4" s="1"/>
  <c r="S29" i="4" s="1"/>
  <c r="S30" i="4" s="1"/>
  <c r="T21" i="4"/>
  <c r="H81" i="4" l="1"/>
  <c r="H84" i="4"/>
  <c r="H45" i="16"/>
  <c r="H49" i="16" s="1"/>
  <c r="H69" i="16" s="1"/>
  <c r="H31" i="16"/>
  <c r="H57" i="16" s="1"/>
  <c r="H70" i="16" s="1"/>
  <c r="I75" i="4"/>
  <c r="I161" i="4"/>
  <c r="I101" i="4"/>
  <c r="H56" i="16"/>
  <c r="I113" i="4"/>
  <c r="I49" i="4"/>
  <c r="I50" i="4" s="1"/>
  <c r="I53" i="4" s="1"/>
  <c r="I120" i="4" s="1"/>
  <c r="H68" i="15"/>
  <c r="H69" i="15" s="1"/>
  <c r="H88" i="4"/>
  <c r="T21" i="15"/>
  <c r="U21" i="4"/>
  <c r="T26" i="4"/>
  <c r="T28" i="4" s="1"/>
  <c r="T29" i="4" s="1"/>
  <c r="T30" i="4" s="1"/>
  <c r="U18" i="15"/>
  <c r="S40" i="4"/>
  <c r="S103" i="4"/>
  <c r="S104" i="4" s="1"/>
  <c r="S105" i="4" s="1"/>
  <c r="S26" i="15"/>
  <c r="S51" i="15" s="1"/>
  <c r="S95" i="15"/>
  <c r="S25" i="15"/>
  <c r="R27" i="15"/>
  <c r="R80" i="15" s="1"/>
  <c r="R66" i="15"/>
  <c r="R67" i="15" s="1"/>
  <c r="H58" i="16" l="1"/>
  <c r="H60" i="16" s="1"/>
  <c r="H50" i="16"/>
  <c r="I56" i="4"/>
  <c r="I57" i="4" s="1"/>
  <c r="I60" i="4" s="1"/>
  <c r="I62" i="4" s="1"/>
  <c r="I80" i="4" s="1"/>
  <c r="I116" i="4"/>
  <c r="I117" i="4"/>
  <c r="I72" i="4" s="1"/>
  <c r="J99" i="4"/>
  <c r="I124" i="4"/>
  <c r="I70" i="4" s="1"/>
  <c r="I123" i="4"/>
  <c r="H71" i="16"/>
  <c r="T95" i="15"/>
  <c r="T25" i="15"/>
  <c r="T26" i="15"/>
  <c r="T51" i="15" s="1"/>
  <c r="S66" i="15"/>
  <c r="S67" i="15" s="1"/>
  <c r="S27" i="15"/>
  <c r="S80" i="15" s="1"/>
  <c r="T19" i="15"/>
  <c r="T94" i="15" s="1"/>
  <c r="T40" i="4"/>
  <c r="T103" i="4"/>
  <c r="T104" i="4" s="1"/>
  <c r="T105" i="4" s="1"/>
  <c r="V18" i="15"/>
  <c r="U21" i="15"/>
  <c r="U19" i="15" s="1"/>
  <c r="U94" i="15" s="1"/>
  <c r="V21" i="4"/>
  <c r="U26" i="4"/>
  <c r="U28" i="4" s="1"/>
  <c r="U29" i="4" s="1"/>
  <c r="U30" i="4" s="1"/>
  <c r="H59" i="16" l="1"/>
  <c r="H97" i="16"/>
  <c r="I21" i="16"/>
  <c r="I24" i="16" s="1"/>
  <c r="I36" i="16" s="1"/>
  <c r="I38" i="16" s="1"/>
  <c r="I41" i="16" s="1"/>
  <c r="I43" i="16" s="1"/>
  <c r="I44" i="16" s="1"/>
  <c r="I48" i="16" s="1"/>
  <c r="J42" i="4"/>
  <c r="J160" i="4"/>
  <c r="J100" i="4"/>
  <c r="H88" i="16"/>
  <c r="H98" i="16"/>
  <c r="H72" i="16"/>
  <c r="H73" i="16"/>
  <c r="I155" i="4"/>
  <c r="I28" i="16"/>
  <c r="I81" i="4"/>
  <c r="I84" i="4"/>
  <c r="I152" i="4"/>
  <c r="I159" i="4" s="1"/>
  <c r="I73" i="4"/>
  <c r="I87" i="4" s="1"/>
  <c r="I29" i="16"/>
  <c r="I154" i="4"/>
  <c r="W18" i="15"/>
  <c r="T66" i="15"/>
  <c r="T67" i="15" s="1"/>
  <c r="T27" i="15"/>
  <c r="T80" i="15" s="1"/>
  <c r="U40" i="4"/>
  <c r="U103" i="4"/>
  <c r="U104" i="4" s="1"/>
  <c r="U105" i="4" s="1"/>
  <c r="W21" i="4"/>
  <c r="V21" i="15"/>
  <c r="V26" i="4"/>
  <c r="V28" i="4" s="1"/>
  <c r="V29" i="4" s="1"/>
  <c r="V30" i="4" s="1"/>
  <c r="U26" i="15"/>
  <c r="U51" i="15" s="1"/>
  <c r="U95" i="15"/>
  <c r="U25" i="15"/>
  <c r="I45" i="16" l="1"/>
  <c r="I49" i="16" s="1"/>
  <c r="I69" i="16" s="1"/>
  <c r="I68" i="15"/>
  <c r="I69" i="15" s="1"/>
  <c r="I88" i="4"/>
  <c r="I56" i="16"/>
  <c r="H89" i="16"/>
  <c r="J75" i="4"/>
  <c r="J161" i="4"/>
  <c r="J101" i="4"/>
  <c r="I31" i="16"/>
  <c r="I57" i="16" s="1"/>
  <c r="I70" i="16" s="1"/>
  <c r="J49" i="4"/>
  <c r="J50" i="4" s="1"/>
  <c r="J53" i="4" s="1"/>
  <c r="J56" i="4" s="1"/>
  <c r="J57" i="4" s="1"/>
  <c r="J60" i="4" s="1"/>
  <c r="J62" i="4" s="1"/>
  <c r="J113" i="4"/>
  <c r="X18" i="15"/>
  <c r="U66" i="15"/>
  <c r="U67" i="15" s="1"/>
  <c r="U27" i="15"/>
  <c r="U80" i="15" s="1"/>
  <c r="V40" i="4"/>
  <c r="V103" i="4"/>
  <c r="V104" i="4" s="1"/>
  <c r="V105" i="4" s="1"/>
  <c r="V25" i="15"/>
  <c r="V95" i="15"/>
  <c r="V26" i="15"/>
  <c r="V51" i="15" s="1"/>
  <c r="W21" i="15"/>
  <c r="X21" i="4"/>
  <c r="W26" i="4"/>
  <c r="W28" i="4" s="1"/>
  <c r="W29" i="4" s="1"/>
  <c r="W30" i="4" s="1"/>
  <c r="V19" i="15"/>
  <c r="V94" i="15" s="1"/>
  <c r="I50" i="16" l="1"/>
  <c r="I71" i="16"/>
  <c r="I73" i="16" s="1"/>
  <c r="J120" i="4"/>
  <c r="J123" i="4" s="1"/>
  <c r="I98" i="16"/>
  <c r="I72" i="16"/>
  <c r="J80" i="4"/>
  <c r="J21" i="16"/>
  <c r="J24" i="16" s="1"/>
  <c r="J36" i="16" s="1"/>
  <c r="J38" i="16" s="1"/>
  <c r="J41" i="16" s="1"/>
  <c r="J43" i="16" s="1"/>
  <c r="I58" i="16"/>
  <c r="K99" i="4"/>
  <c r="J116" i="4"/>
  <c r="J117" i="4"/>
  <c r="J72" i="4" s="1"/>
  <c r="X21" i="15"/>
  <c r="X19" i="15" s="1"/>
  <c r="X94" i="15" s="1"/>
  <c r="X26" i="4"/>
  <c r="X28" i="4" s="1"/>
  <c r="X29" i="4" s="1"/>
  <c r="X30" i="4" s="1"/>
  <c r="Y21" i="4"/>
  <c r="W95" i="15"/>
  <c r="W26" i="15"/>
  <c r="W51" i="15" s="1"/>
  <c r="W25" i="15"/>
  <c r="Z56" i="1"/>
  <c r="V66" i="15"/>
  <c r="V67" i="15" s="1"/>
  <c r="V27" i="15"/>
  <c r="V80" i="15" s="1"/>
  <c r="W19" i="15"/>
  <c r="W40" i="4"/>
  <c r="W103" i="4"/>
  <c r="W104" i="4" s="1"/>
  <c r="W105" i="4" s="1"/>
  <c r="C105" i="4" s="1"/>
  <c r="P32" i="1" s="1"/>
  <c r="Y18" i="15"/>
  <c r="J124" i="4" l="1"/>
  <c r="J70" i="4" s="1"/>
  <c r="J154" i="4" s="1"/>
  <c r="K42" i="4"/>
  <c r="K160" i="4"/>
  <c r="K100" i="4"/>
  <c r="J155" i="4"/>
  <c r="J28" i="16"/>
  <c r="J44" i="16"/>
  <c r="J48" i="16" s="1"/>
  <c r="J152" i="4"/>
  <c r="J159" i="4" s="1"/>
  <c r="J84" i="4"/>
  <c r="J81" i="4"/>
  <c r="I89" i="16"/>
  <c r="I97" i="16"/>
  <c r="I59" i="16"/>
  <c r="C66" i="16" s="1"/>
  <c r="I60" i="16"/>
  <c r="W94" i="15"/>
  <c r="Z55" i="1"/>
  <c r="X25" i="15"/>
  <c r="X26" i="15"/>
  <c r="X51" i="15" s="1"/>
  <c r="X95" i="15"/>
  <c r="W27" i="15"/>
  <c r="W80" i="15" s="1"/>
  <c r="W66" i="15"/>
  <c r="W67" i="15" s="1"/>
  <c r="Z18" i="15"/>
  <c r="Y21" i="15"/>
  <c r="Y19" i="15" s="1"/>
  <c r="Y94" i="15" s="1"/>
  <c r="Z21" i="4"/>
  <c r="Y26" i="4"/>
  <c r="Y28" i="4" s="1"/>
  <c r="Y29" i="4" s="1"/>
  <c r="Y30" i="4" s="1"/>
  <c r="X103" i="4"/>
  <c r="X104" i="4" s="1"/>
  <c r="X105" i="4" s="1"/>
  <c r="X40" i="4"/>
  <c r="J73" i="4" l="1"/>
  <c r="J87" i="4" s="1"/>
  <c r="J29" i="16"/>
  <c r="J31" i="16" s="1"/>
  <c r="J57" i="16" s="1"/>
  <c r="J68" i="15"/>
  <c r="J69" i="15" s="1"/>
  <c r="J88" i="4"/>
  <c r="K75" i="4"/>
  <c r="K161" i="4"/>
  <c r="K101" i="4"/>
  <c r="J56" i="16"/>
  <c r="J45" i="16"/>
  <c r="J49" i="16" s="1"/>
  <c r="J69" i="16" s="1"/>
  <c r="I88" i="16"/>
  <c r="K113" i="4"/>
  <c r="K49" i="4"/>
  <c r="K50" i="4" s="1"/>
  <c r="K53" i="4" s="1"/>
  <c r="K120" i="4" s="1"/>
  <c r="Y40" i="4"/>
  <c r="Y103" i="4"/>
  <c r="Y104" i="4" s="1"/>
  <c r="Y105" i="4" s="1"/>
  <c r="Z21" i="15"/>
  <c r="Z26" i="4"/>
  <c r="Z28" i="4" s="1"/>
  <c r="Z29" i="4" s="1"/>
  <c r="Z30" i="4" s="1"/>
  <c r="AA21" i="4"/>
  <c r="Y26" i="15"/>
  <c r="Y51" i="15" s="1"/>
  <c r="Y95" i="15"/>
  <c r="Y25" i="15"/>
  <c r="AA18" i="15"/>
  <c r="X27" i="15"/>
  <c r="X80" i="15" s="1"/>
  <c r="X66" i="15"/>
  <c r="X67" i="15" s="1"/>
  <c r="J50" i="16" l="1"/>
  <c r="J58" i="16"/>
  <c r="J60" i="16" s="1"/>
  <c r="K56" i="4"/>
  <c r="K57" i="4" s="1"/>
  <c r="K60" i="4" s="1"/>
  <c r="K62" i="4" s="1"/>
  <c r="K21" i="16" s="1"/>
  <c r="K24" i="16" s="1"/>
  <c r="K36" i="16" s="1"/>
  <c r="K38" i="16" s="1"/>
  <c r="K41" i="16" s="1"/>
  <c r="K43" i="16" s="1"/>
  <c r="J88" i="16"/>
  <c r="K123" i="4"/>
  <c r="K124" i="4"/>
  <c r="K70" i="4" s="1"/>
  <c r="L99" i="4"/>
  <c r="K117" i="4"/>
  <c r="K72" i="4" s="1"/>
  <c r="K116" i="4"/>
  <c r="J70" i="16"/>
  <c r="J71" i="16" s="1"/>
  <c r="Z40" i="4"/>
  <c r="Z103" i="4"/>
  <c r="Z104" i="4" s="1"/>
  <c r="Z105" i="4" s="1"/>
  <c r="Z25" i="15"/>
  <c r="Z95" i="15"/>
  <c r="Z26" i="15"/>
  <c r="Z51" i="15" s="1"/>
  <c r="Z19" i="15"/>
  <c r="Z94" i="15" s="1"/>
  <c r="Y27" i="15"/>
  <c r="Y80" i="15" s="1"/>
  <c r="Y66" i="15"/>
  <c r="Y67" i="15" s="1"/>
  <c r="AB18" i="15"/>
  <c r="AA21" i="15"/>
  <c r="AA26" i="4"/>
  <c r="AA28" i="4" s="1"/>
  <c r="AA29" i="4" s="1"/>
  <c r="AA30" i="4" s="1"/>
  <c r="AB21" i="4"/>
  <c r="J97" i="16" l="1"/>
  <c r="J59" i="16"/>
  <c r="K80" i="4"/>
  <c r="K152" i="4" s="1"/>
  <c r="K159" i="4" s="1"/>
  <c r="K155" i="4"/>
  <c r="K28" i="16"/>
  <c r="K73" i="4"/>
  <c r="K87" i="4" s="1"/>
  <c r="K29" i="16"/>
  <c r="K154" i="4"/>
  <c r="K44" i="16"/>
  <c r="K48" i="16" s="1"/>
  <c r="J98" i="16"/>
  <c r="J72" i="16"/>
  <c r="J73" i="16"/>
  <c r="L42" i="4"/>
  <c r="L160" i="4"/>
  <c r="L100" i="4"/>
  <c r="Z66" i="15"/>
  <c r="Z67" i="15" s="1"/>
  <c r="Z27" i="15"/>
  <c r="Z80" i="15" s="1"/>
  <c r="AB21" i="15"/>
  <c r="AB19" i="15" s="1"/>
  <c r="AB94" i="15" s="1"/>
  <c r="AB26" i="4"/>
  <c r="AB28" i="4" s="1"/>
  <c r="AB29" i="4" s="1"/>
  <c r="AB30" i="4" s="1"/>
  <c r="AA103" i="4"/>
  <c r="AA104" i="4" s="1"/>
  <c r="AA105" i="4" s="1"/>
  <c r="AA40" i="4"/>
  <c r="AA25" i="15"/>
  <c r="AA95" i="15"/>
  <c r="AA26" i="15"/>
  <c r="AA51" i="15" s="1"/>
  <c r="AA19" i="15"/>
  <c r="AA94" i="15" s="1"/>
  <c r="K81" i="4" l="1"/>
  <c r="K84" i="4"/>
  <c r="K31" i="16"/>
  <c r="L75" i="4"/>
  <c r="L161" i="4"/>
  <c r="L101" i="4"/>
  <c r="L113" i="4"/>
  <c r="L49" i="4"/>
  <c r="L50" i="4" s="1"/>
  <c r="L53" i="4" s="1"/>
  <c r="L56" i="4" s="1"/>
  <c r="L57" i="4" s="1"/>
  <c r="L60" i="4" s="1"/>
  <c r="L62" i="4" s="1"/>
  <c r="J89" i="16"/>
  <c r="K45" i="16"/>
  <c r="K49" i="16" s="1"/>
  <c r="K69" i="16" s="1"/>
  <c r="K57" i="16"/>
  <c r="K70" i="16" s="1"/>
  <c r="K68" i="15"/>
  <c r="K69" i="15" s="1"/>
  <c r="K88" i="4"/>
  <c r="K56" i="16"/>
  <c r="AA27" i="15"/>
  <c r="AA80" i="15" s="1"/>
  <c r="AA66" i="15"/>
  <c r="AA67" i="15" s="1"/>
  <c r="AB25" i="15"/>
  <c r="AB95" i="15"/>
  <c r="AB26" i="15"/>
  <c r="D38" i="15"/>
  <c r="D43" i="15"/>
  <c r="C56" i="15" s="1"/>
  <c r="AB40" i="4"/>
  <c r="AB103" i="4"/>
  <c r="AB104" i="4" s="1"/>
  <c r="AB105" i="4" s="1"/>
  <c r="K50" i="16" l="1"/>
  <c r="L120" i="4"/>
  <c r="L124" i="4" s="1"/>
  <c r="L70" i="4" s="1"/>
  <c r="K71" i="16"/>
  <c r="K98" i="16" s="1"/>
  <c r="L80" i="4"/>
  <c r="L21" i="16"/>
  <c r="L24" i="16" s="1"/>
  <c r="L36" i="16" s="1"/>
  <c r="L38" i="16" s="1"/>
  <c r="L41" i="16" s="1"/>
  <c r="L43" i="16" s="1"/>
  <c r="L117" i="4"/>
  <c r="L72" i="4" s="1"/>
  <c r="L116" i="4"/>
  <c r="K58" i="16"/>
  <c r="M99" i="4"/>
  <c r="D44" i="15"/>
  <c r="D45" i="15" s="1"/>
  <c r="AB51" i="15"/>
  <c r="Y62" i="1"/>
  <c r="C84" i="15"/>
  <c r="AB66" i="15"/>
  <c r="AB67" i="15" s="1"/>
  <c r="AB27" i="15"/>
  <c r="D39" i="15"/>
  <c r="D40" i="15" s="1"/>
  <c r="L123" i="4" l="1"/>
  <c r="K73" i="16"/>
  <c r="K72" i="16"/>
  <c r="M42" i="4"/>
  <c r="M160" i="4"/>
  <c r="M100" i="4"/>
  <c r="K89" i="16"/>
  <c r="L154" i="4"/>
  <c r="L29" i="16"/>
  <c r="L73" i="4"/>
  <c r="L87" i="4" s="1"/>
  <c r="K97" i="16"/>
  <c r="K60" i="16"/>
  <c r="K59" i="16"/>
  <c r="L155" i="4"/>
  <c r="L28" i="16"/>
  <c r="L44" i="16"/>
  <c r="L48" i="16" s="1"/>
  <c r="L152" i="4"/>
  <c r="L159" i="4" s="1"/>
  <c r="L84" i="4"/>
  <c r="L81" i="4"/>
  <c r="AB80" i="15"/>
  <c r="D28" i="15"/>
  <c r="L68" i="15" l="1"/>
  <c r="L69" i="15" s="1"/>
  <c r="L88" i="4"/>
  <c r="M75" i="4"/>
  <c r="M161" i="4"/>
  <c r="M101" i="4"/>
  <c r="L31" i="16"/>
  <c r="L57" i="16" s="1"/>
  <c r="L70" i="16" s="1"/>
  <c r="L45" i="16"/>
  <c r="L49" i="16" s="1"/>
  <c r="L69" i="16" s="1"/>
  <c r="K88" i="16"/>
  <c r="L56" i="16"/>
  <c r="M113" i="4"/>
  <c r="M49" i="4"/>
  <c r="M50" i="4" s="1"/>
  <c r="M53" i="4" s="1"/>
  <c r="M120" i="4" s="1"/>
  <c r="D81" i="15"/>
  <c r="L71" i="16" l="1"/>
  <c r="M56" i="4"/>
  <c r="M57" i="4" s="1"/>
  <c r="M60" i="4" s="1"/>
  <c r="M62" i="4" s="1"/>
  <c r="M21" i="16" s="1"/>
  <c r="M24" i="16" s="1"/>
  <c r="M36" i="16" s="1"/>
  <c r="M38" i="16" s="1"/>
  <c r="M41" i="16" s="1"/>
  <c r="M43" i="16" s="1"/>
  <c r="L98" i="16"/>
  <c r="L72" i="16"/>
  <c r="L73" i="16"/>
  <c r="L50" i="16"/>
  <c r="L58" i="16"/>
  <c r="N99" i="4"/>
  <c r="M124" i="4"/>
  <c r="M70" i="4" s="1"/>
  <c r="M123" i="4"/>
  <c r="M116" i="4"/>
  <c r="M117" i="4"/>
  <c r="M72" i="4" s="1"/>
  <c r="M80" i="4" l="1"/>
  <c r="M154" i="4"/>
  <c r="M29" i="16"/>
  <c r="M73" i="4"/>
  <c r="M87" i="4" s="1"/>
  <c r="L89" i="16"/>
  <c r="M84" i="4"/>
  <c r="M152" i="4"/>
  <c r="M81" i="4"/>
  <c r="N42" i="4"/>
  <c r="N160" i="4"/>
  <c r="N100" i="4"/>
  <c r="M44" i="16"/>
  <c r="M48" i="16" s="1"/>
  <c r="M155" i="4"/>
  <c r="M28" i="16"/>
  <c r="M31" i="16" s="1"/>
  <c r="M57" i="16" s="1"/>
  <c r="M70" i="16" s="1"/>
  <c r="L97" i="16"/>
  <c r="L59" i="16"/>
  <c r="L60" i="16"/>
  <c r="M45" i="16" l="1"/>
  <c r="M49" i="16" s="1"/>
  <c r="M69" i="16" s="1"/>
  <c r="M71" i="16" s="1"/>
  <c r="M73" i="16" s="1"/>
  <c r="M89" i="16" s="1"/>
  <c r="N75" i="4"/>
  <c r="N161" i="4"/>
  <c r="N101" i="4"/>
  <c r="N49" i="4"/>
  <c r="N50" i="4" s="1"/>
  <c r="N53" i="4" s="1"/>
  <c r="N120" i="4" s="1"/>
  <c r="N113" i="4"/>
  <c r="M68" i="15"/>
  <c r="M88" i="4"/>
  <c r="L88" i="16"/>
  <c r="M159" i="4"/>
  <c r="M56" i="16"/>
  <c r="M58" i="16" s="1"/>
  <c r="M50" i="16" l="1"/>
  <c r="M98" i="16"/>
  <c r="M72" i="16"/>
  <c r="N56" i="4"/>
  <c r="N57" i="4" s="1"/>
  <c r="N60" i="4" s="1"/>
  <c r="N62" i="4" s="1"/>
  <c r="N21" i="16" s="1"/>
  <c r="N24" i="16" s="1"/>
  <c r="N36" i="16" s="1"/>
  <c r="N38" i="16" s="1"/>
  <c r="N41" i="16" s="1"/>
  <c r="N43" i="16" s="1"/>
  <c r="N124" i="4"/>
  <c r="N70" i="4" s="1"/>
  <c r="N123" i="4"/>
  <c r="M97" i="16"/>
  <c r="M59" i="16"/>
  <c r="O99" i="4"/>
  <c r="N116" i="4"/>
  <c r="N117" i="4"/>
  <c r="N72" i="4" s="1"/>
  <c r="M60" i="16"/>
  <c r="M69" i="15"/>
  <c r="N80" i="4" l="1"/>
  <c r="N152" i="4" s="1"/>
  <c r="N154" i="4"/>
  <c r="N29" i="16"/>
  <c r="N73" i="4"/>
  <c r="N87" i="4" s="1"/>
  <c r="M88" i="16"/>
  <c r="O42" i="4"/>
  <c r="O160" i="4"/>
  <c r="O100" i="4"/>
  <c r="N155" i="4"/>
  <c r="N28" i="16"/>
  <c r="N44" i="16"/>
  <c r="N48" i="16" s="1"/>
  <c r="N31" i="16" l="1"/>
  <c r="N57" i="16" s="1"/>
  <c r="N70" i="16" s="1"/>
  <c r="N84" i="4"/>
  <c r="N81" i="4"/>
  <c r="N56" i="16"/>
  <c r="O75" i="4"/>
  <c r="O161" i="4"/>
  <c r="O101" i="4"/>
  <c r="N68" i="15"/>
  <c r="N88" i="4"/>
  <c r="N159" i="4"/>
  <c r="O113" i="4"/>
  <c r="O49" i="4"/>
  <c r="O50" i="4" s="1"/>
  <c r="O53" i="4" s="1"/>
  <c r="O56" i="4" s="1"/>
  <c r="O57" i="4" s="1"/>
  <c r="O60" i="4" s="1"/>
  <c r="O62" i="4" s="1"/>
  <c r="N45" i="16"/>
  <c r="N49" i="16" s="1"/>
  <c r="N69" i="16" s="1"/>
  <c r="P99" i="4" l="1"/>
  <c r="N71" i="16"/>
  <c r="O21" i="16"/>
  <c r="O24" i="16" s="1"/>
  <c r="O36" i="16" s="1"/>
  <c r="O38" i="16" s="1"/>
  <c r="O41" i="16" s="1"/>
  <c r="O43" i="16" s="1"/>
  <c r="O80" i="4"/>
  <c r="N50" i="16"/>
  <c r="N69" i="15"/>
  <c r="O120" i="4"/>
  <c r="O117" i="4"/>
  <c r="O72" i="4" s="1"/>
  <c r="O116" i="4"/>
  <c r="N58" i="16"/>
  <c r="O84" i="4" l="1"/>
  <c r="O152" i="4"/>
  <c r="O81" i="4"/>
  <c r="N97" i="16"/>
  <c r="N59" i="16"/>
  <c r="N60" i="16"/>
  <c r="O155" i="4"/>
  <c r="O28" i="16"/>
  <c r="O124" i="4"/>
  <c r="O70" i="4" s="1"/>
  <c r="O123" i="4"/>
  <c r="O44" i="16"/>
  <c r="O48" i="16" s="1"/>
  <c r="N98" i="16"/>
  <c r="N72" i="16"/>
  <c r="N73" i="16"/>
  <c r="P42" i="4"/>
  <c r="P160" i="4"/>
  <c r="P100" i="4"/>
  <c r="N88" i="16" l="1"/>
  <c r="O73" i="4"/>
  <c r="O87" i="4" s="1"/>
  <c r="O29" i="16"/>
  <c r="O31" i="16" s="1"/>
  <c r="O57" i="16" s="1"/>
  <c r="O70" i="16" s="1"/>
  <c r="O154" i="4"/>
  <c r="P49" i="4"/>
  <c r="P50" i="4" s="1"/>
  <c r="P53" i="4" s="1"/>
  <c r="P120" i="4" s="1"/>
  <c r="P113" i="4"/>
  <c r="N89" i="16"/>
  <c r="O45" i="16"/>
  <c r="O49" i="16" s="1"/>
  <c r="O69" i="16" s="1"/>
  <c r="O159" i="4"/>
  <c r="P75" i="4"/>
  <c r="P161" i="4"/>
  <c r="P101" i="4"/>
  <c r="O56" i="16"/>
  <c r="O71" i="16" l="1"/>
  <c r="O73" i="16" s="1"/>
  <c r="P117" i="4"/>
  <c r="P72" i="4" s="1"/>
  <c r="P116" i="4"/>
  <c r="O98" i="16"/>
  <c r="O72" i="16"/>
  <c r="P124" i="4"/>
  <c r="P70" i="4" s="1"/>
  <c r="P123" i="4"/>
  <c r="O68" i="15"/>
  <c r="O88" i="4"/>
  <c r="O50" i="16"/>
  <c r="O58" i="16"/>
  <c r="Q99" i="4"/>
  <c r="P56" i="4"/>
  <c r="P57" i="4" s="1"/>
  <c r="P60" i="4" s="1"/>
  <c r="P62" i="4" s="1"/>
  <c r="P73" i="4" l="1"/>
  <c r="P87" i="4" s="1"/>
  <c r="P88" i="4" s="1"/>
  <c r="P154" i="4"/>
  <c r="P29" i="16"/>
  <c r="P21" i="16"/>
  <c r="P24" i="16" s="1"/>
  <c r="P36" i="16" s="1"/>
  <c r="P38" i="16" s="1"/>
  <c r="P41" i="16" s="1"/>
  <c r="P43" i="16" s="1"/>
  <c r="P80" i="4"/>
  <c r="O97" i="16"/>
  <c r="O59" i="16"/>
  <c r="O60" i="16"/>
  <c r="O69" i="15"/>
  <c r="Q42" i="4"/>
  <c r="Q160" i="4"/>
  <c r="Q100" i="4"/>
  <c r="O89" i="16"/>
  <c r="P28" i="16"/>
  <c r="P31" i="16" s="1"/>
  <c r="P57" i="16" s="1"/>
  <c r="P70" i="16" s="1"/>
  <c r="P155" i="4"/>
  <c r="Q49" i="4" l="1"/>
  <c r="Q50" i="4" s="1"/>
  <c r="Q53" i="4" s="1"/>
  <c r="Q120" i="4" s="1"/>
  <c r="Q113" i="4"/>
  <c r="P44" i="16"/>
  <c r="P48" i="16" s="1"/>
  <c r="O88" i="16"/>
  <c r="Q75" i="4"/>
  <c r="Q161" i="4"/>
  <c r="Q101" i="4"/>
  <c r="P84" i="4"/>
  <c r="P152" i="4"/>
  <c r="P81" i="4"/>
  <c r="P68" i="15"/>
  <c r="P45" i="16" l="1"/>
  <c r="P49" i="16" s="1"/>
  <c r="P69" i="16" s="1"/>
  <c r="P71" i="16" s="1"/>
  <c r="P56" i="16"/>
  <c r="P159" i="4"/>
  <c r="R99" i="4"/>
  <c r="Q56" i="4"/>
  <c r="Q57" i="4" s="1"/>
  <c r="Q60" i="4" s="1"/>
  <c r="Q62" i="4" s="1"/>
  <c r="Q117" i="4"/>
  <c r="Q72" i="4" s="1"/>
  <c r="Q116" i="4"/>
  <c r="P69" i="15"/>
  <c r="Q123" i="4"/>
  <c r="Q124" i="4"/>
  <c r="Q70" i="4" s="1"/>
  <c r="P50" i="16" l="1"/>
  <c r="Q21" i="16"/>
  <c r="Q24" i="16" s="1"/>
  <c r="Q36" i="16" s="1"/>
  <c r="Q38" i="16" s="1"/>
  <c r="Q41" i="16" s="1"/>
  <c r="Q43" i="16" s="1"/>
  <c r="Q80" i="4"/>
  <c r="R42" i="4"/>
  <c r="R160" i="4"/>
  <c r="R100" i="4"/>
  <c r="Q155" i="4"/>
  <c r="Q28" i="16"/>
  <c r="P58" i="16"/>
  <c r="Q154" i="4"/>
  <c r="Q29" i="16"/>
  <c r="Q73" i="4"/>
  <c r="Q87" i="4" s="1"/>
  <c r="P98" i="16"/>
  <c r="P72" i="16"/>
  <c r="P73" i="16"/>
  <c r="Q31" i="16" l="1"/>
  <c r="Q57" i="16" s="1"/>
  <c r="Q70" i="16" s="1"/>
  <c r="P97" i="16"/>
  <c r="P59" i="16"/>
  <c r="P60" i="16"/>
  <c r="P89" i="16"/>
  <c r="R75" i="4"/>
  <c r="R161" i="4"/>
  <c r="R101" i="4"/>
  <c r="R49" i="4"/>
  <c r="R50" i="4" s="1"/>
  <c r="R53" i="4" s="1"/>
  <c r="R56" i="4" s="1"/>
  <c r="R57" i="4" s="1"/>
  <c r="R60" i="4" s="1"/>
  <c r="R62" i="4" s="1"/>
  <c r="R113" i="4"/>
  <c r="Q68" i="15"/>
  <c r="Q88" i="4"/>
  <c r="Q84" i="4"/>
  <c r="Q152" i="4"/>
  <c r="Q81" i="4"/>
  <c r="Q44" i="16"/>
  <c r="Q48" i="16" s="1"/>
  <c r="Q45" i="16" l="1"/>
  <c r="Q49" i="16" s="1"/>
  <c r="Q69" i="16" s="1"/>
  <c r="Q71" i="16" s="1"/>
  <c r="Q159" i="4"/>
  <c r="S99" i="4"/>
  <c r="R80" i="4"/>
  <c r="R21" i="16"/>
  <c r="R24" i="16" s="1"/>
  <c r="R36" i="16" s="1"/>
  <c r="R38" i="16" s="1"/>
  <c r="R41" i="16" s="1"/>
  <c r="R43" i="16" s="1"/>
  <c r="Q69" i="15"/>
  <c r="R116" i="4"/>
  <c r="R117" i="4"/>
  <c r="R72" i="4" s="1"/>
  <c r="Q56" i="16"/>
  <c r="R120" i="4"/>
  <c r="P88" i="16"/>
  <c r="Q50" i="16" l="1"/>
  <c r="R155" i="4"/>
  <c r="R28" i="16"/>
  <c r="Q72" i="16"/>
  <c r="Q98" i="16"/>
  <c r="Q73" i="16"/>
  <c r="Q58" i="16"/>
  <c r="S42" i="4"/>
  <c r="S160" i="4"/>
  <c r="S100" i="4"/>
  <c r="R152" i="4"/>
  <c r="R159" i="4" s="1"/>
  <c r="R84" i="4"/>
  <c r="R124" i="4"/>
  <c r="R70" i="4" s="1"/>
  <c r="R123" i="4"/>
  <c r="R81" i="4"/>
  <c r="R44" i="16"/>
  <c r="R48" i="16" s="1"/>
  <c r="R45" i="16" l="1"/>
  <c r="R49" i="16" s="1"/>
  <c r="R69" i="16" s="1"/>
  <c r="S75" i="4"/>
  <c r="S161" i="4"/>
  <c r="S101" i="4"/>
  <c r="R56" i="16"/>
  <c r="R50" i="16"/>
  <c r="R73" i="4"/>
  <c r="R87" i="4" s="1"/>
  <c r="R29" i="16"/>
  <c r="R31" i="16" s="1"/>
  <c r="R154" i="4"/>
  <c r="Q97" i="16"/>
  <c r="Q59" i="16"/>
  <c r="Q60" i="16"/>
  <c r="Q89" i="16"/>
  <c r="S113" i="4"/>
  <c r="S49" i="4"/>
  <c r="S50" i="4" s="1"/>
  <c r="S53" i="4" s="1"/>
  <c r="S120" i="4" s="1"/>
  <c r="R57" i="16" l="1"/>
  <c r="R58" i="16" s="1"/>
  <c r="R60" i="16" s="1"/>
  <c r="Q88" i="16"/>
  <c r="S56" i="4"/>
  <c r="S57" i="4" s="1"/>
  <c r="S60" i="4" s="1"/>
  <c r="S62" i="4" s="1"/>
  <c r="R68" i="15"/>
  <c r="R69" i="15" s="1"/>
  <c r="R88" i="4"/>
  <c r="S123" i="4"/>
  <c r="S124" i="4"/>
  <c r="S70" i="4" s="1"/>
  <c r="S117" i="4"/>
  <c r="S72" i="4" s="1"/>
  <c r="S116" i="4"/>
  <c r="T99" i="4"/>
  <c r="S21" i="16" l="1"/>
  <c r="S24" i="16" s="1"/>
  <c r="S36" i="16" s="1"/>
  <c r="S38" i="16" s="1"/>
  <c r="S41" i="16" s="1"/>
  <c r="S43" i="16" s="1"/>
  <c r="S80" i="4"/>
  <c r="R88" i="16"/>
  <c r="S155" i="4"/>
  <c r="S28" i="16"/>
  <c r="S154" i="4"/>
  <c r="S29" i="16"/>
  <c r="S73" i="4"/>
  <c r="S87" i="4" s="1"/>
  <c r="S88" i="4" s="1"/>
  <c r="R70" i="16"/>
  <c r="R71" i="16" s="1"/>
  <c r="T42" i="4"/>
  <c r="T160" i="4"/>
  <c r="T100" i="4"/>
  <c r="R97" i="16"/>
  <c r="R59" i="16"/>
  <c r="S31" i="16" l="1"/>
  <c r="S57" i="16" s="1"/>
  <c r="S70" i="16" s="1"/>
  <c r="T75" i="4"/>
  <c r="T161" i="4"/>
  <c r="T101" i="4"/>
  <c r="T49" i="4"/>
  <c r="T50" i="4" s="1"/>
  <c r="T53" i="4" s="1"/>
  <c r="T120" i="4" s="1"/>
  <c r="T113" i="4"/>
  <c r="R72" i="16"/>
  <c r="R98" i="16"/>
  <c r="R73" i="16"/>
  <c r="S68" i="15"/>
  <c r="S69" i="15" s="1"/>
  <c r="S152" i="4"/>
  <c r="S159" i="4" s="1"/>
  <c r="S84" i="4"/>
  <c r="S81" i="4"/>
  <c r="S44" i="16"/>
  <c r="S48" i="16" s="1"/>
  <c r="S45" i="16" l="1"/>
  <c r="S49" i="16" s="1"/>
  <c r="S69" i="16" s="1"/>
  <c r="S71" i="16" s="1"/>
  <c r="T117" i="4"/>
  <c r="T72" i="4" s="1"/>
  <c r="T116" i="4"/>
  <c r="R89" i="16"/>
  <c r="T124" i="4"/>
  <c r="T70" i="4" s="1"/>
  <c r="T123" i="4"/>
  <c r="U99" i="4"/>
  <c r="S56" i="16"/>
  <c r="S58" i="16" s="1"/>
  <c r="T56" i="4"/>
  <c r="T57" i="4" s="1"/>
  <c r="T60" i="4" s="1"/>
  <c r="T62" i="4" s="1"/>
  <c r="S50" i="16" l="1"/>
  <c r="S97" i="16"/>
  <c r="S59" i="16"/>
  <c r="S60" i="16"/>
  <c r="U42" i="4"/>
  <c r="U160" i="4"/>
  <c r="U100" i="4"/>
  <c r="S98" i="16"/>
  <c r="S72" i="16"/>
  <c r="T154" i="4"/>
  <c r="T73" i="4"/>
  <c r="T87" i="4" s="1"/>
  <c r="T29" i="16"/>
  <c r="T21" i="16"/>
  <c r="T24" i="16" s="1"/>
  <c r="T36" i="16" s="1"/>
  <c r="T38" i="16" s="1"/>
  <c r="T41" i="16" s="1"/>
  <c r="T43" i="16" s="1"/>
  <c r="T80" i="4"/>
  <c r="S73" i="16"/>
  <c r="T28" i="16"/>
  <c r="T155" i="4"/>
  <c r="T31" i="16" l="1"/>
  <c r="T57" i="16" s="1"/>
  <c r="T70" i="16" s="1"/>
  <c r="T44" i="16"/>
  <c r="T48" i="16" s="1"/>
  <c r="S89" i="16"/>
  <c r="U75" i="4"/>
  <c r="U161" i="4"/>
  <c r="U101" i="4"/>
  <c r="T152" i="4"/>
  <c r="T159" i="4" s="1"/>
  <c r="T84" i="4"/>
  <c r="T81" i="4"/>
  <c r="U49" i="4"/>
  <c r="U50" i="4" s="1"/>
  <c r="U53" i="4" s="1"/>
  <c r="U120" i="4" s="1"/>
  <c r="U113" i="4"/>
  <c r="S88" i="16"/>
  <c r="T68" i="15"/>
  <c r="T69" i="15" s="1"/>
  <c r="T88" i="4"/>
  <c r="U56" i="4" l="1"/>
  <c r="U57" i="4" s="1"/>
  <c r="U60" i="4" s="1"/>
  <c r="U62" i="4" s="1"/>
  <c r="U80" i="4" s="1"/>
  <c r="U81" i="4" s="1"/>
  <c r="T45" i="16"/>
  <c r="T49" i="16" s="1"/>
  <c r="T69" i="16" s="1"/>
  <c r="T71" i="16" s="1"/>
  <c r="T73" i="16" s="1"/>
  <c r="T89" i="16" s="1"/>
  <c r="V99" i="4"/>
  <c r="U116" i="4"/>
  <c r="U117" i="4"/>
  <c r="U72" i="4" s="1"/>
  <c r="U123" i="4"/>
  <c r="U124" i="4"/>
  <c r="U70" i="4" s="1"/>
  <c r="T56" i="16"/>
  <c r="T58" i="16" s="1"/>
  <c r="U21" i="16" l="1"/>
  <c r="U24" i="16" s="1"/>
  <c r="U36" i="16" s="1"/>
  <c r="U38" i="16" s="1"/>
  <c r="U41" i="16" s="1"/>
  <c r="U43" i="16" s="1"/>
  <c r="U44" i="16" s="1"/>
  <c r="U48" i="16" s="1"/>
  <c r="T50" i="16"/>
  <c r="T72" i="16"/>
  <c r="T98" i="16"/>
  <c r="U154" i="4"/>
  <c r="U29" i="16"/>
  <c r="U73" i="4"/>
  <c r="U87" i="4" s="1"/>
  <c r="U152" i="4"/>
  <c r="U159" i="4" s="1"/>
  <c r="U84" i="4"/>
  <c r="V42" i="4"/>
  <c r="V160" i="4"/>
  <c r="V100" i="4"/>
  <c r="T59" i="16"/>
  <c r="T97" i="16"/>
  <c r="T60" i="16"/>
  <c r="U155" i="4"/>
  <c r="U28" i="16"/>
  <c r="U31" i="16" l="1"/>
  <c r="U57" i="16" s="1"/>
  <c r="U70" i="16" s="1"/>
  <c r="T88" i="16"/>
  <c r="U56" i="16"/>
  <c r="V113" i="4"/>
  <c r="V49" i="4"/>
  <c r="V50" i="4" s="1"/>
  <c r="V53" i="4" s="1"/>
  <c r="V120" i="4" s="1"/>
  <c r="U45" i="16"/>
  <c r="U49" i="16" s="1"/>
  <c r="U69" i="16" s="1"/>
  <c r="U88" i="4"/>
  <c r="U68" i="15"/>
  <c r="U69" i="15" s="1"/>
  <c r="V75" i="4"/>
  <c r="V161" i="4"/>
  <c r="V101" i="4"/>
  <c r="U71" i="16" l="1"/>
  <c r="U58" i="16"/>
  <c r="U97" i="16" s="1"/>
  <c r="U98" i="16"/>
  <c r="U72" i="16"/>
  <c r="U73" i="16"/>
  <c r="V56" i="4"/>
  <c r="V57" i="4" s="1"/>
  <c r="V60" i="4" s="1"/>
  <c r="V62" i="4" s="1"/>
  <c r="V116" i="4"/>
  <c r="V117" i="4"/>
  <c r="V72" i="4" s="1"/>
  <c r="W99" i="4"/>
  <c r="V123" i="4"/>
  <c r="V124" i="4"/>
  <c r="V70" i="4" s="1"/>
  <c r="U50" i="16"/>
  <c r="U60" i="16"/>
  <c r="U59" i="16" l="1"/>
  <c r="V155" i="4"/>
  <c r="V28" i="16"/>
  <c r="U88" i="16"/>
  <c r="U89" i="16"/>
  <c r="V21" i="16"/>
  <c r="V24" i="16" s="1"/>
  <c r="V36" i="16" s="1"/>
  <c r="V38" i="16" s="1"/>
  <c r="V41" i="16" s="1"/>
  <c r="V43" i="16" s="1"/>
  <c r="V80" i="4"/>
  <c r="V154" i="4"/>
  <c r="V29" i="16"/>
  <c r="V73" i="4"/>
  <c r="V87" i="4" s="1"/>
  <c r="W42" i="4"/>
  <c r="W160" i="4"/>
  <c r="W100" i="4"/>
  <c r="W75" i="4" l="1"/>
  <c r="W161" i="4"/>
  <c r="W101" i="4"/>
  <c r="W113" i="4"/>
  <c r="W49" i="4"/>
  <c r="W50" i="4" s="1"/>
  <c r="W53" i="4" s="1"/>
  <c r="W120" i="4" s="1"/>
  <c r="V44" i="16"/>
  <c r="V48" i="16" s="1"/>
  <c r="V152" i="4"/>
  <c r="V159" i="4" s="1"/>
  <c r="V84" i="4"/>
  <c r="V81" i="4"/>
  <c r="V68" i="15"/>
  <c r="V69" i="15" s="1"/>
  <c r="V88" i="4"/>
  <c r="V31" i="16"/>
  <c r="V57" i="16" s="1"/>
  <c r="V70" i="16" s="1"/>
  <c r="V45" i="16" l="1"/>
  <c r="V49" i="16" s="1"/>
  <c r="V69" i="16" s="1"/>
  <c r="V71" i="16" s="1"/>
  <c r="W123" i="4"/>
  <c r="W124" i="4"/>
  <c r="W70" i="4" s="1"/>
  <c r="W116" i="4"/>
  <c r="W117" i="4"/>
  <c r="W72" i="4" s="1"/>
  <c r="C106" i="4"/>
  <c r="P31" i="1" s="1"/>
  <c r="X99" i="4"/>
  <c r="V56" i="16"/>
  <c r="V58" i="16" s="1"/>
  <c r="W56" i="4"/>
  <c r="W57" i="4" s="1"/>
  <c r="W60" i="4" s="1"/>
  <c r="W62" i="4" s="1"/>
  <c r="V50" i="16" l="1"/>
  <c r="V72" i="16"/>
  <c r="V98" i="16"/>
  <c r="V73" i="16"/>
  <c r="V89" i="16" s="1"/>
  <c r="W21" i="16"/>
  <c r="W24" i="16" s="1"/>
  <c r="W36" i="16" s="1"/>
  <c r="W38" i="16" s="1"/>
  <c r="W41" i="16" s="1"/>
  <c r="W43" i="16" s="1"/>
  <c r="W80" i="4"/>
  <c r="W73" i="4"/>
  <c r="W87" i="4" s="1"/>
  <c r="W154" i="4"/>
  <c r="W29" i="16"/>
  <c r="V97" i="16"/>
  <c r="V59" i="16"/>
  <c r="V60" i="16"/>
  <c r="W155" i="4"/>
  <c r="W28" i="16"/>
  <c r="X42" i="4"/>
  <c r="X100" i="4"/>
  <c r="X160" i="4"/>
  <c r="X49" i="4" l="1"/>
  <c r="X50" i="4" s="1"/>
  <c r="X53" i="4" s="1"/>
  <c r="X120" i="4" s="1"/>
  <c r="X113" i="4"/>
  <c r="W68" i="15"/>
  <c r="W69" i="15" s="1"/>
  <c r="W88" i="4"/>
  <c r="X75" i="4"/>
  <c r="X161" i="4"/>
  <c r="X101" i="4"/>
  <c r="W31" i="16"/>
  <c r="W57" i="16" s="1"/>
  <c r="W70" i="16" s="1"/>
  <c r="W84" i="4"/>
  <c r="W152" i="4"/>
  <c r="W159" i="4" s="1"/>
  <c r="W81" i="4"/>
  <c r="V88" i="16"/>
  <c r="W44" i="16"/>
  <c r="W48" i="16" s="1"/>
  <c r="X56" i="4" l="1"/>
  <c r="X57" i="4" s="1"/>
  <c r="X60" i="4" s="1"/>
  <c r="X62" i="4" s="1"/>
  <c r="X80" i="4" s="1"/>
  <c r="W45" i="16"/>
  <c r="W49" i="16" s="1"/>
  <c r="W69" i="16" s="1"/>
  <c r="W71" i="16" s="1"/>
  <c r="Y99" i="4"/>
  <c r="X117" i="4"/>
  <c r="X72" i="4" s="1"/>
  <c r="X116" i="4"/>
  <c r="W56" i="16"/>
  <c r="W58" i="16" s="1"/>
  <c r="X124" i="4"/>
  <c r="X70" i="4" s="1"/>
  <c r="X123" i="4"/>
  <c r="X21" i="16" l="1"/>
  <c r="X24" i="16" s="1"/>
  <c r="X36" i="16" s="1"/>
  <c r="X38" i="16" s="1"/>
  <c r="X41" i="16" s="1"/>
  <c r="X43" i="16" s="1"/>
  <c r="X44" i="16" s="1"/>
  <c r="X48" i="16" s="1"/>
  <c r="W50" i="16"/>
  <c r="X28" i="16"/>
  <c r="X155" i="4"/>
  <c r="X73" i="4"/>
  <c r="X87" i="4" s="1"/>
  <c r="X29" i="16"/>
  <c r="X154" i="4"/>
  <c r="Y42" i="4"/>
  <c r="Y100" i="4"/>
  <c r="Y160" i="4"/>
  <c r="X152" i="4"/>
  <c r="X159" i="4" s="1"/>
  <c r="X84" i="4"/>
  <c r="X81" i="4"/>
  <c r="W97" i="16"/>
  <c r="W59" i="16"/>
  <c r="W60" i="16"/>
  <c r="W98" i="16"/>
  <c r="W72" i="16"/>
  <c r="W73" i="16"/>
  <c r="W88" i="16" l="1"/>
  <c r="Y113" i="4"/>
  <c r="Y49" i="4"/>
  <c r="Y50" i="4" s="1"/>
  <c r="Y53" i="4" s="1"/>
  <c r="Y56" i="4" s="1"/>
  <c r="Y57" i="4" s="1"/>
  <c r="Y60" i="4" s="1"/>
  <c r="Y62" i="4" s="1"/>
  <c r="W89" i="16"/>
  <c r="X68" i="15"/>
  <c r="X69" i="15" s="1"/>
  <c r="X88" i="4"/>
  <c r="X45" i="16"/>
  <c r="X49" i="16" s="1"/>
  <c r="X69" i="16" s="1"/>
  <c r="Y75" i="4"/>
  <c r="Y161" i="4"/>
  <c r="Y101" i="4"/>
  <c r="X56" i="16"/>
  <c r="X31" i="16"/>
  <c r="X57" i="16" s="1"/>
  <c r="X70" i="16" s="1"/>
  <c r="X71" i="16" l="1"/>
  <c r="X98" i="16" s="1"/>
  <c r="Y120" i="4"/>
  <c r="Y124" i="4" s="1"/>
  <c r="Y70" i="4" s="1"/>
  <c r="X72" i="16"/>
  <c r="Y21" i="16"/>
  <c r="Y24" i="16" s="1"/>
  <c r="Y36" i="16" s="1"/>
  <c r="Y38" i="16" s="1"/>
  <c r="Y41" i="16" s="1"/>
  <c r="Y43" i="16" s="1"/>
  <c r="Y80" i="4"/>
  <c r="Y117" i="4"/>
  <c r="Y72" i="4" s="1"/>
  <c r="Y116" i="4"/>
  <c r="X73" i="16"/>
  <c r="X50" i="16"/>
  <c r="Z99" i="4"/>
  <c r="X58" i="16"/>
  <c r="Y123" i="4" l="1"/>
  <c r="Y28" i="16"/>
  <c r="Y155" i="4"/>
  <c r="Y84" i="4"/>
  <c r="Y152" i="4"/>
  <c r="Y159" i="4" s="1"/>
  <c r="Y81" i="4"/>
  <c r="X89" i="16"/>
  <c r="X97" i="16"/>
  <c r="X59" i="16"/>
  <c r="X60" i="16"/>
  <c r="Y44" i="16"/>
  <c r="Y48" i="16" s="1"/>
  <c r="Y29" i="16"/>
  <c r="Y154" i="4"/>
  <c r="Y73" i="4"/>
  <c r="Y87" i="4" s="1"/>
  <c r="Z42" i="4"/>
  <c r="Z100" i="4"/>
  <c r="Z160" i="4"/>
  <c r="Y68" i="15" l="1"/>
  <c r="Y69" i="15" s="1"/>
  <c r="Y88" i="4"/>
  <c r="Y45" i="16"/>
  <c r="Y49" i="16" s="1"/>
  <c r="Y69" i="16" s="1"/>
  <c r="Z113" i="4"/>
  <c r="Z49" i="4"/>
  <c r="Z50" i="4" s="1"/>
  <c r="Z53" i="4" s="1"/>
  <c r="Z120" i="4" s="1"/>
  <c r="Z75" i="4"/>
  <c r="Z161" i="4"/>
  <c r="Z101" i="4"/>
  <c r="Y56" i="16"/>
  <c r="X88" i="16"/>
  <c r="Y31" i="16"/>
  <c r="Y50" i="16" l="1"/>
  <c r="AA99" i="4"/>
  <c r="Y57" i="16"/>
  <c r="Y58" i="16" s="1"/>
  <c r="Z124" i="4"/>
  <c r="Z70" i="4" s="1"/>
  <c r="Z123" i="4"/>
  <c r="Z56" i="4"/>
  <c r="Z57" i="4" s="1"/>
  <c r="Z60" i="4" s="1"/>
  <c r="Z62" i="4" s="1"/>
  <c r="Z117" i="4"/>
  <c r="Z72" i="4" s="1"/>
  <c r="Z116" i="4"/>
  <c r="Y70" i="16" l="1"/>
  <c r="Y71" i="16" s="1"/>
  <c r="Y73" i="16" s="1"/>
  <c r="Z29" i="16"/>
  <c r="Z154" i="4"/>
  <c r="Z73" i="4"/>
  <c r="Z87" i="4" s="1"/>
  <c r="Y98" i="16"/>
  <c r="Y72" i="16"/>
  <c r="Y97" i="16"/>
  <c r="Y59" i="16"/>
  <c r="Y60" i="16"/>
  <c r="Z28" i="16"/>
  <c r="Z155" i="4"/>
  <c r="AA42" i="4"/>
  <c r="AA160" i="4"/>
  <c r="AA100" i="4"/>
  <c r="Z80" i="4"/>
  <c r="Z21" i="16"/>
  <c r="Z24" i="16" s="1"/>
  <c r="Z36" i="16" s="1"/>
  <c r="Z38" i="16" s="1"/>
  <c r="Z41" i="16" s="1"/>
  <c r="Z43" i="16" s="1"/>
  <c r="Z31" i="16" l="1"/>
  <c r="AA113" i="4"/>
  <c r="AA49" i="4"/>
  <c r="AA50" i="4" s="1"/>
  <c r="AA53" i="4" s="1"/>
  <c r="AA120" i="4" s="1"/>
  <c r="Z44" i="16"/>
  <c r="Z48" i="16" s="1"/>
  <c r="Z152" i="4"/>
  <c r="Z159" i="4" s="1"/>
  <c r="Z84" i="4"/>
  <c r="Z81" i="4"/>
  <c r="AA75" i="4"/>
  <c r="AA161" i="4"/>
  <c r="AA101" i="4"/>
  <c r="Z68" i="15"/>
  <c r="Z69" i="15" s="1"/>
  <c r="Z88" i="4"/>
  <c r="Y89" i="16"/>
  <c r="Z57" i="16"/>
  <c r="Z70" i="16" s="1"/>
  <c r="Y88" i="16"/>
  <c r="Z45" i="16" l="1"/>
  <c r="Z49" i="16" s="1"/>
  <c r="Z69" i="16" s="1"/>
  <c r="Z56" i="16"/>
  <c r="Z58" i="16" s="1"/>
  <c r="AB99" i="4"/>
  <c r="AA56" i="4"/>
  <c r="AA57" i="4" s="1"/>
  <c r="AA60" i="4" s="1"/>
  <c r="AA62" i="4" s="1"/>
  <c r="Z71" i="16"/>
  <c r="AA124" i="4"/>
  <c r="AA70" i="4" s="1"/>
  <c r="AA123" i="4"/>
  <c r="AA116" i="4"/>
  <c r="AA117" i="4"/>
  <c r="AA72" i="4" s="1"/>
  <c r="Z50" i="16" l="1"/>
  <c r="Z97" i="16"/>
  <c r="Z59" i="16"/>
  <c r="Z60" i="16"/>
  <c r="AA21" i="16"/>
  <c r="AA24" i="16" s="1"/>
  <c r="AA36" i="16" s="1"/>
  <c r="AA38" i="16" s="1"/>
  <c r="AA41" i="16" s="1"/>
  <c r="AA43" i="16" s="1"/>
  <c r="AA80" i="4"/>
  <c r="AB42" i="4"/>
  <c r="AB160" i="4"/>
  <c r="AB100" i="4"/>
  <c r="AA29" i="16"/>
  <c r="AA73" i="4"/>
  <c r="AA87" i="4" s="1"/>
  <c r="AA154" i="4"/>
  <c r="Z98" i="16"/>
  <c r="Z72" i="16"/>
  <c r="Z73" i="16"/>
  <c r="AA155" i="4"/>
  <c r="AA28" i="16"/>
  <c r="AA31" i="16" l="1"/>
  <c r="AA57" i="16" s="1"/>
  <c r="AA70" i="16" s="1"/>
  <c r="AB75" i="4"/>
  <c r="AB161" i="4"/>
  <c r="AB101" i="4"/>
  <c r="AA81" i="4"/>
  <c r="AA84" i="4"/>
  <c r="AA152" i="4"/>
  <c r="AA159" i="4" s="1"/>
  <c r="Z88" i="16"/>
  <c r="AB49" i="4"/>
  <c r="AB50" i="4" s="1"/>
  <c r="AB53" i="4" s="1"/>
  <c r="AB120" i="4" s="1"/>
  <c r="AB113" i="4"/>
  <c r="AA44" i="16"/>
  <c r="AA48" i="16" s="1"/>
  <c r="AA68" i="15"/>
  <c r="AA69" i="15" s="1"/>
  <c r="AA88" i="4"/>
  <c r="Z89" i="16"/>
  <c r="AA45" i="16" l="1"/>
  <c r="AA49" i="16" s="1"/>
  <c r="AA69" i="16" s="1"/>
  <c r="AA71" i="16" s="1"/>
  <c r="AA73" i="16" s="1"/>
  <c r="AA89" i="16" s="1"/>
  <c r="AA56" i="16"/>
  <c r="AA58" i="16" s="1"/>
  <c r="AB56" i="4"/>
  <c r="AB57" i="4" s="1"/>
  <c r="AB60" i="4" s="1"/>
  <c r="AB62" i="4" s="1"/>
  <c r="AB116" i="4"/>
  <c r="AB117" i="4"/>
  <c r="AB72" i="4" s="1"/>
  <c r="AB123" i="4"/>
  <c r="AB124" i="4"/>
  <c r="AB70" i="4" s="1"/>
  <c r="AA72" i="16" l="1"/>
  <c r="AA98" i="16"/>
  <c r="AA50" i="16"/>
  <c r="AB80" i="4"/>
  <c r="AB21" i="16"/>
  <c r="AA97" i="16"/>
  <c r="AA59" i="16"/>
  <c r="AA60" i="16"/>
  <c r="AB73" i="4"/>
  <c r="AB87" i="4" s="1"/>
  <c r="AB29" i="16"/>
  <c r="AB154" i="4"/>
  <c r="E139" i="4" s="1"/>
  <c r="AB155" i="4"/>
  <c r="E140" i="4" s="1"/>
  <c r="AB28" i="16"/>
  <c r="U31" i="15" l="1"/>
  <c r="AA31" i="15"/>
  <c r="AB68" i="15"/>
  <c r="AB31" i="15"/>
  <c r="K31" i="15"/>
  <c r="C90" i="4"/>
  <c r="P26" i="1" s="1"/>
  <c r="L31" i="15"/>
  <c r="C89" i="4"/>
  <c r="P25" i="1" s="1"/>
  <c r="J31" i="15"/>
  <c r="M31" i="15"/>
  <c r="N31" i="15"/>
  <c r="O31" i="15"/>
  <c r="P31" i="15"/>
  <c r="Q31" i="15"/>
  <c r="R31" i="15"/>
  <c r="S31" i="15"/>
  <c r="T31" i="15"/>
  <c r="W31" i="15"/>
  <c r="X31" i="15"/>
  <c r="V31" i="15"/>
  <c r="Y31" i="15"/>
  <c r="Z31" i="15"/>
  <c r="AB88" i="4"/>
  <c r="AA88" i="16"/>
  <c r="AB31" i="16"/>
  <c r="AB57" i="16" s="1"/>
  <c r="AB70" i="16" s="1"/>
  <c r="AB152" i="4"/>
  <c r="AB23" i="16"/>
  <c r="AB24" i="16" s="1"/>
  <c r="AB36" i="16" s="1"/>
  <c r="AB38" i="16" s="1"/>
  <c r="AB41" i="16" s="1"/>
  <c r="AB43" i="16" s="1"/>
  <c r="AB84" i="4"/>
  <c r="C84" i="4" s="1"/>
  <c r="C83" i="4"/>
  <c r="P27" i="1" s="1"/>
  <c r="C82" i="4"/>
  <c r="AB81" i="4"/>
  <c r="P41" i="1" l="1"/>
  <c r="S50" i="15"/>
  <c r="S53" i="15" s="1"/>
  <c r="S34" i="15"/>
  <c r="L34" i="15"/>
  <c r="L50" i="15"/>
  <c r="L53" i="15" s="1"/>
  <c r="Z34" i="15"/>
  <c r="Z50" i="15"/>
  <c r="Z53" i="15" s="1"/>
  <c r="AB159" i="4"/>
  <c r="E137" i="4"/>
  <c r="E141" i="4" s="1"/>
  <c r="K34" i="15"/>
  <c r="K50" i="15"/>
  <c r="K53" i="15" s="1"/>
  <c r="V34" i="15"/>
  <c r="V50" i="15"/>
  <c r="V53" i="15" s="1"/>
  <c r="O50" i="15"/>
  <c r="O53" i="15" s="1"/>
  <c r="O34" i="15"/>
  <c r="AB34" i="15"/>
  <c r="AB50" i="15"/>
  <c r="AB53" i="15" s="1"/>
  <c r="C61" i="15" s="1"/>
  <c r="C89" i="15" s="1"/>
  <c r="P59" i="1"/>
  <c r="P30" i="1"/>
  <c r="AB44" i="16"/>
  <c r="AB48" i="16" s="1"/>
  <c r="Y50" i="15"/>
  <c r="Y53" i="15" s="1"/>
  <c r="Y34" i="15"/>
  <c r="X34" i="15"/>
  <c r="X50" i="15"/>
  <c r="X53" i="15" s="1"/>
  <c r="N50" i="15"/>
  <c r="N53" i="15" s="1"/>
  <c r="N34" i="15"/>
  <c r="AB69" i="15"/>
  <c r="C71" i="15" s="1"/>
  <c r="Z67" i="1" s="1"/>
  <c r="C70" i="15"/>
  <c r="R34" i="15"/>
  <c r="R50" i="15"/>
  <c r="R53" i="15" s="1"/>
  <c r="C59" i="15" s="1"/>
  <c r="C87" i="15" s="1"/>
  <c r="Q50" i="15"/>
  <c r="Q53" i="15" s="1"/>
  <c r="Q34" i="15"/>
  <c r="P34" i="15"/>
  <c r="P50" i="15"/>
  <c r="P53" i="15" s="1"/>
  <c r="W34" i="15"/>
  <c r="W50" i="15"/>
  <c r="W53" i="15" s="1"/>
  <c r="C60" i="15" s="1"/>
  <c r="C88" i="15" s="1"/>
  <c r="M50" i="15"/>
  <c r="M53" i="15" s="1"/>
  <c r="C58" i="15" s="1"/>
  <c r="M34" i="15"/>
  <c r="AA60" i="1" s="1"/>
  <c r="AA34" i="15"/>
  <c r="AA50" i="15"/>
  <c r="AA53" i="15" s="1"/>
  <c r="T34" i="15"/>
  <c r="T50" i="15"/>
  <c r="T53" i="15" s="1"/>
  <c r="J34" i="15"/>
  <c r="Z60" i="1" s="1"/>
  <c r="J50" i="15"/>
  <c r="J53" i="15" s="1"/>
  <c r="C57" i="15" s="1"/>
  <c r="U50" i="15"/>
  <c r="U53" i="15" s="1"/>
  <c r="U34" i="15"/>
  <c r="C93" i="1" l="1"/>
  <c r="Z66" i="1"/>
  <c r="AA62" i="1"/>
  <c r="C86" i="15"/>
  <c r="Z62" i="1"/>
  <c r="C85" i="15"/>
  <c r="AB45" i="16"/>
  <c r="AB49" i="16" s="1"/>
  <c r="AB69" i="16" s="1"/>
  <c r="AB56" i="16"/>
  <c r="D137" i="4"/>
  <c r="D138" i="4"/>
  <c r="D139" i="4"/>
  <c r="D140" i="4"/>
  <c r="D141" i="4" l="1"/>
  <c r="AB50" i="16"/>
  <c r="AB58" i="16"/>
  <c r="C64" i="16"/>
  <c r="P53" i="1" s="1"/>
  <c r="C63" i="16"/>
  <c r="AB71" i="16"/>
  <c r="C77" i="16"/>
  <c r="O53" i="1" s="1"/>
  <c r="C76" i="16"/>
  <c r="AB98" i="16" l="1"/>
  <c r="C75" i="16"/>
  <c r="O51" i="1" s="1"/>
  <c r="C74" i="16"/>
  <c r="O52" i="1" s="1"/>
  <c r="AB72" i="16"/>
  <c r="AB73" i="16"/>
  <c r="AB89" i="16" s="1"/>
  <c r="AB97" i="16"/>
  <c r="C62" i="16"/>
  <c r="P51" i="1" s="1"/>
  <c r="P70" i="1" s="1"/>
  <c r="C61" i="16"/>
  <c r="P52" i="1" s="1"/>
  <c r="AB59" i="16"/>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tc={B9D376F6-D4AD-7D4B-BE30-EC6BBF4063D3}</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B9D376F6-D4AD-7D4B-BE30-EC6BBF4063D3}">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<sst xmlns="http://schemas.openxmlformats.org/spreadsheetml/2006/main" count="591" uniqueCount="477">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</sst>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8">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68"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0" xfId="0" applyNumberFormat="1" applyFont="1" applyFill="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2" xfId="0" applyFont="1" applyBorder="1"/>
    <xf numFmtId="0" fontId="36" fillId="0" borderId="84" xfId="0" applyFont="1" applyBorder="1"/>
    <xf numFmtId="0" fontId="36" fillId="0" borderId="81" xfId="0" applyFont="1" applyBorder="1"/>
    <xf numFmtId="0" fontId="34" fillId="0" borderId="8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42" xfId="0" applyFont="1" applyFill="1" applyBorder="1" applyAlignment="1">
      <alignment horizont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9" fillId="4" borderId="5" xfId="0" applyFont="1" applyFill="1" applyBorder="1" applyAlignment="1">
      <alignment horizontal="center" vertical="center"/>
    </xf>
    <xf numFmtId="0" fontId="9" fillId="4" borderId="0" xfId="0" applyFont="1" applyFill="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-682304.23961795389</c:v>
                </c:pt>
                <c:pt idx="1">
                  <c:v>-446879.45126370474</c:v>
                </c:pt>
                <c:pt idx="2">
                  <c:v>-382230.04842110386</c:v>
                </c:pt>
                <c:pt idx="3">
                  <c:v>-332546.60146752477</c:v>
                </c:pt>
                <c:pt idx="4">
                  <c:v>-291626.57153067004</c:v>
                </c:pt>
                <c:pt idx="5">
                  <c:v>-250171.05542992114</c:v>
                </c:pt>
                <c:pt idx="6">
                  <c:v>-215135.79173696099</c:v>
                </c:pt>
                <c:pt idx="7">
                  <c:v>-186509.94457538222</c:v>
                </c:pt>
                <c:pt idx="8">
                  <c:v>-157316.09943776246</c:v>
                </c:pt>
                <c:pt idx="9">
                  <c:v>-127542.98617905381</c:v>
                </c:pt>
                <c:pt idx="10">
                  <c:v>-97179.111036370072</c:v>
                </c:pt>
                <c:pt idx="11">
                  <c:v>-66212.752192108077</c:v>
                </c:pt>
                <c:pt idx="12">
                  <c:v>-34631.955249036604</c:v>
                </c:pt>
                <c:pt idx="13">
                  <c:v>-2424.5286156062029</c:v>
                </c:pt>
                <c:pt idx="14">
                  <c:v>30421.961200301306</c:v>
                </c:pt>
                <c:pt idx="15">
                  <c:v>63920.194391000405</c:v>
                </c:pt>
                <c:pt idx="16">
                  <c:v>98083.102743859083</c:v>
                </c:pt>
                <c:pt idx="17">
                  <c:v>132923.87463327515</c:v>
                </c:pt>
                <c:pt idx="18">
                  <c:v>168455.96011169857</c:v>
                </c:pt>
                <c:pt idx="19">
                  <c:v>204693.07610166498</c:v>
                </c:pt>
                <c:pt idx="20">
                  <c:v>241649.21169084447</c:v>
                </c:pt>
                <c:pt idx="21">
                  <c:v>279338.63353214966</c:v>
                </c:pt>
                <c:pt idx="22">
                  <c:v>317775.89135098737</c:v>
                </c:pt>
                <c:pt idx="23">
                  <c:v>356975.82356177981</c:v>
                </c:pt>
                <c:pt idx="24">
                  <c:v>396953.5629959231</c:v>
                </c:pt>
                <c:pt idx="25">
                  <c:v>540070.17868608772</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682304.23961795389</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5841.4415953765747</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378.71042244974524</c:v>
                </c:pt>
                <c:pt idx="1">
                  <c:v>386.23729209593148</c:v>
                </c:pt>
                <c:pt idx="2">
                  <c:v>393.91375827633601</c:v>
                </c:pt>
                <c:pt idx="3">
                  <c:v>401.74279422208929</c:v>
                </c:pt>
                <c:pt idx="4">
                  <c:v>409.72743225724116</c:v>
                </c:pt>
                <c:pt idx="5">
                  <c:v>417.87076497334783</c:v>
                </c:pt>
                <c:pt idx="6">
                  <c:v>426.17594642719632</c:v>
                </c:pt>
                <c:pt idx="7">
                  <c:v>434.64619336243777</c:v>
                </c:pt>
                <c:pt idx="8">
                  <c:v>443.28478645551513</c:v>
                </c:pt>
                <c:pt idx="9">
                  <c:v>452.09507158632186</c:v>
                </c:pt>
                <c:pt idx="10">
                  <c:v>461.08046113409364</c:v>
                </c:pt>
                <c:pt idx="11">
                  <c:v>470.24443529913697</c:v>
                </c:pt>
                <c:pt idx="12">
                  <c:v>479.59054345070763</c:v>
                </c:pt>
                <c:pt idx="13">
                  <c:v>489.12240550178831</c:v>
                </c:pt>
                <c:pt idx="14">
                  <c:v>498.84371331112925</c:v>
                </c:pt>
                <c:pt idx="15">
                  <c:v>508.75823211319221</c:v>
                </c:pt>
                <c:pt idx="16">
                  <c:v>518.8698019764488</c:v>
                </c:pt>
                <c:pt idx="17">
                  <c:v>529.18233929073176</c:v>
                </c:pt>
                <c:pt idx="18">
                  <c:v>539.69983828413388</c:v>
                </c:pt>
                <c:pt idx="19">
                  <c:v>550.42637257003662</c:v>
                </c:pt>
                <c:pt idx="20">
                  <c:v>561.36609672487248</c:v>
                </c:pt>
                <c:pt idx="21">
                  <c:v>572.52324789727572</c:v>
                </c:pt>
                <c:pt idx="22">
                  <c:v>583.90214744923287</c:v>
                </c:pt>
                <c:pt idx="23">
                  <c:v>595.5072026298003</c:v>
                </c:pt>
                <c:pt idx="24">
                  <c:v>607.34290828205121</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1194182.2365632909</c:v>
                </c:pt>
                <c:pt idx="1">
                  <c:v>1197252.616713291</c:v>
                </c:pt>
                <c:pt idx="2">
                  <c:v>1200307.6449625411</c:v>
                </c:pt>
                <c:pt idx="3">
                  <c:v>1203347.3980705449</c:v>
                </c:pt>
                <c:pt idx="4">
                  <c:v>1206371.9524130085</c:v>
                </c:pt>
                <c:pt idx="5">
                  <c:v>1209381.3839837601</c:v>
                </c:pt>
                <c:pt idx="6">
                  <c:v>1212375.7683966577</c:v>
                </c:pt>
                <c:pt idx="7">
                  <c:v>1215355.180887491</c:v>
                </c:pt>
                <c:pt idx="8">
                  <c:v>1218319.6963158699</c:v>
                </c:pt>
                <c:pt idx="9">
                  <c:v>1221269.3891671072</c:v>
                </c:pt>
                <c:pt idx="10">
                  <c:v>1224204.3335540881</c:v>
                </c:pt>
                <c:pt idx="11">
                  <c:v>1227124.603219134</c:v>
                </c:pt>
                <c:pt idx="12">
                  <c:v>1230030.2715358548</c:v>
                </c:pt>
                <c:pt idx="13">
                  <c:v>1232921.4115109919</c:v>
                </c:pt>
                <c:pt idx="14">
                  <c:v>1235798.0957862535</c:v>
                </c:pt>
                <c:pt idx="15">
                  <c:v>1238660.3966401387</c:v>
                </c:pt>
                <c:pt idx="16">
                  <c:v>1241508.3859897545</c:v>
                </c:pt>
                <c:pt idx="17">
                  <c:v>1244342.1353926221</c:v>
                </c:pt>
                <c:pt idx="18">
                  <c:v>1247161.7160484756</c:v>
                </c:pt>
                <c:pt idx="19">
                  <c:v>1249967.1988010497</c:v>
                </c:pt>
                <c:pt idx="20">
                  <c:v>1252758.654139861</c:v>
                </c:pt>
                <c:pt idx="21">
                  <c:v>1255536.152201978</c:v>
                </c:pt>
                <c:pt idx="22">
                  <c:v>1258299.7627737848</c:v>
                </c:pt>
                <c:pt idx="23">
                  <c:v>1261049.5552927321</c:v>
                </c:pt>
                <c:pt idx="24">
                  <c:v>1263785.5988490852</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614076.03000000154</c:v>
                </c:pt>
                <c:pt idx="1">
                  <c:v>611005.64985000156</c:v>
                </c:pt>
                <c:pt idx="2">
                  <c:v>607950.62160075153</c:v>
                </c:pt>
                <c:pt idx="3">
                  <c:v>604910.86849274777</c:v>
                </c:pt>
                <c:pt idx="4">
                  <c:v>601886.31415028404</c:v>
                </c:pt>
                <c:pt idx="5">
                  <c:v>598876.88257953257</c:v>
                </c:pt>
                <c:pt idx="6">
                  <c:v>595882.49816663493</c:v>
                </c:pt>
                <c:pt idx="7">
                  <c:v>592903.08567580173</c:v>
                </c:pt>
                <c:pt idx="8">
                  <c:v>589938.57024742267</c:v>
                </c:pt>
                <c:pt idx="9">
                  <c:v>586988.87739618553</c:v>
                </c:pt>
                <c:pt idx="10">
                  <c:v>584053.93300920457</c:v>
                </c:pt>
                <c:pt idx="11">
                  <c:v>581133.66334415856</c:v>
                </c:pt>
                <c:pt idx="12">
                  <c:v>578227.99502743781</c:v>
                </c:pt>
                <c:pt idx="13">
                  <c:v>575336.85505230061</c:v>
                </c:pt>
                <c:pt idx="14">
                  <c:v>572460.17077703914</c:v>
                </c:pt>
                <c:pt idx="15">
                  <c:v>569597.86992315389</c:v>
                </c:pt>
                <c:pt idx="16">
                  <c:v>566749.88057353813</c:v>
                </c:pt>
                <c:pt idx="17">
                  <c:v>563916.13117067039</c:v>
                </c:pt>
                <c:pt idx="18">
                  <c:v>561096.55051481701</c:v>
                </c:pt>
                <c:pt idx="19">
                  <c:v>558291.06776224286</c:v>
                </c:pt>
                <c:pt idx="20">
                  <c:v>555499.61242343159</c:v>
                </c:pt>
                <c:pt idx="21">
                  <c:v>552722.11436131445</c:v>
                </c:pt>
                <c:pt idx="22">
                  <c:v>549958.5037895079</c:v>
                </c:pt>
                <c:pt idx="23">
                  <c:v>547208.71127056039</c:v>
                </c:pt>
                <c:pt idx="24">
                  <c:v>544472.66771420755</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1194182.2365632909</c:v>
                </c:pt>
                <c:pt idx="1">
                  <c:v>614076.03000000154</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0.64370594073178034</c:v>
                </c:pt>
                <c:pt idx="1">
                  <c:v>0.26031202759499217</c:v>
                </c:pt>
                <c:pt idx="2">
                  <c:v>8.773112797117652E-2</c:v>
                </c:pt>
                <c:pt idx="3">
                  <c:v>8.250903702051126E-3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33031.544816987036</c:v>
                </c:pt>
                <c:pt idx="1">
                  <c:v>33686.962256224651</c:v>
                </c:pt>
                <c:pt idx="2">
                  <c:v>34355.384426787103</c:v>
                </c:pt>
                <c:pt idx="3">
                  <c:v>35037.069363903895</c:v>
                </c:pt>
                <c:pt idx="4">
                  <c:v>35732.280222578578</c:v>
                </c:pt>
                <c:pt idx="5">
                  <c:v>35035.263692960158</c:v>
                </c:pt>
                <c:pt idx="6">
                  <c:v>28625.847161578786</c:v>
                </c:pt>
                <c:pt idx="7">
                  <c:v>29193.845137619763</c:v>
                </c:pt>
                <c:pt idx="8">
                  <c:v>29773.113258708647</c:v>
                </c:pt>
                <c:pt idx="9">
                  <c:v>30363.875142683733</c:v>
                </c:pt>
                <c:pt idx="10">
                  <c:v>30966.358844261995</c:v>
                </c:pt>
                <c:pt idx="11">
                  <c:v>31580.796943071477</c:v>
                </c:pt>
                <c:pt idx="12">
                  <c:v>32207.426633430401</c:v>
                </c:pt>
                <c:pt idx="13">
                  <c:v>32846.489815907509</c:v>
                </c:pt>
                <c:pt idx="14">
                  <c:v>33498.233190699102</c:v>
                </c:pt>
                <c:pt idx="15">
                  <c:v>34162.908352858678</c:v>
                </c:pt>
                <c:pt idx="16">
                  <c:v>34840.771889416079</c:v>
                </c:pt>
                <c:pt idx="17">
                  <c:v>35532.085478423433</c:v>
                </c:pt>
                <c:pt idx="18">
                  <c:v>36237.11598996642</c:v>
                </c:pt>
                <c:pt idx="19">
                  <c:v>36956.135589179503</c:v>
                </c:pt>
                <c:pt idx="20">
                  <c:v>37689.421841305193</c:v>
                </c:pt>
                <c:pt idx="21">
                  <c:v>38437.257818837708</c:v>
                </c:pt>
                <c:pt idx="22">
                  <c:v>39199.932210792409</c:v>
                </c:pt>
                <c:pt idx="23">
                  <c:v>39977.739434143325</c:v>
                </c:pt>
                <c:pt idx="24">
                  <c:v>143116.61569016465</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-307309.82952392643</c:v>
                </c:pt>
                <c:pt idx="1">
                  <c:v>213330.44951280821</c:v>
                </c:pt>
                <c:pt idx="2">
                  <c:v>43678.840917915717</c:v>
                </c:pt>
                <c:pt idx="3">
                  <c:v>28266.980433812983</c:v>
                </c:pt>
                <c:pt idx="4">
                  <c:v>18983.816308284851</c:v>
                </c:pt>
                <c:pt idx="5">
                  <c:v>18894.514735460943</c:v>
                </c:pt>
                <c:pt idx="6">
                  <c:v>1751.7631846480081</c:v>
                </c:pt>
                <c:pt idx="7">
                  <c:v>1431.2923580789393</c:v>
                </c:pt>
                <c:pt idx="8">
                  <c:v>1459.6922568809882</c:v>
                </c:pt>
                <c:pt idx="9">
                  <c:v>1488.6556629354325</c:v>
                </c:pt>
                <c:pt idx="10">
                  <c:v>1518.1937571341869</c:v>
                </c:pt>
                <c:pt idx="11">
                  <c:v>1548.3179422130997</c:v>
                </c:pt>
                <c:pt idx="12">
                  <c:v>1579.0398471535739</c:v>
                </c:pt>
                <c:pt idx="13">
                  <c:v>1610.3713316715202</c:v>
                </c:pt>
                <c:pt idx="14">
                  <c:v>1642.3244907953756</c:v>
                </c:pt>
                <c:pt idx="15">
                  <c:v>1674.9116595349551</c:v>
                </c:pt>
                <c:pt idx="16">
                  <c:v>1708.145417642934</c:v>
                </c:pt>
                <c:pt idx="17">
                  <c:v>1742.0385944708041</c:v>
                </c:pt>
                <c:pt idx="18">
                  <c:v>1776.6042739211716</c:v>
                </c:pt>
                <c:pt idx="19">
                  <c:v>1811.8557994983212</c:v>
                </c:pt>
                <c:pt idx="20">
                  <c:v>1847.8067794589751</c:v>
                </c:pt>
                <c:pt idx="21">
                  <c:v>1884.4710920652597</c:v>
                </c:pt>
                <c:pt idx="22">
                  <c:v>1921.8628909418856</c:v>
                </c:pt>
                <c:pt idx="23">
                  <c:v>1959.9966105396206</c:v>
                </c:pt>
                <c:pt idx="24">
                  <c:v>1998.8869717071664</c:v>
                </c:pt>
                <c:pt idx="25">
                  <c:v>7155.8307845082327</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-374994.41009402747</c:v>
                </c:pt>
                <c:pt idx="1">
                  <c:v>22094.338841440909</c:v>
                </c:pt>
                <c:pt idx="2">
                  <c:v>20970.561924685153</c:v>
                </c:pt>
                <c:pt idx="3">
                  <c:v>21416.46651976608</c:v>
                </c:pt>
                <c:pt idx="4">
                  <c:v>21936.213628569898</c:v>
                </c:pt>
                <c:pt idx="5">
                  <c:v>22561.001365287982</c:v>
                </c:pt>
                <c:pt idx="6">
                  <c:v>33283.50050831215</c:v>
                </c:pt>
                <c:pt idx="7">
                  <c:v>27194.554803499846</c:v>
                </c:pt>
                <c:pt idx="8">
                  <c:v>27734.152880738773</c:v>
                </c:pt>
                <c:pt idx="9">
                  <c:v>28284.457595773216</c:v>
                </c:pt>
                <c:pt idx="10">
                  <c:v>28845.681385549546</c:v>
                </c:pt>
                <c:pt idx="11">
                  <c:v>29418.040902048895</c:v>
                </c:pt>
                <c:pt idx="12">
                  <c:v>30001.757095917903</c:v>
                </c:pt>
                <c:pt idx="13">
                  <c:v>30597.055301758883</c:v>
                </c:pt>
                <c:pt idx="14">
                  <c:v>31204.165325112135</c:v>
                </c:pt>
                <c:pt idx="15">
                  <c:v>31823.321531164147</c:v>
                </c:pt>
                <c:pt idx="16">
                  <c:v>32454.762935215746</c:v>
                </c:pt>
                <c:pt idx="17">
                  <c:v>33098.733294945276</c:v>
                </c:pt>
                <c:pt idx="18">
                  <c:v>33755.481204502263</c:v>
                </c:pt>
                <c:pt idx="19">
                  <c:v>34425.2601904681</c:v>
                </c:pt>
                <c:pt idx="20">
                  <c:v>35108.32880972053</c:v>
                </c:pt>
                <c:pt idx="21">
                  <c:v>35804.950749239935</c:v>
                </c:pt>
                <c:pt idx="22">
                  <c:v>36515.394927895824</c:v>
                </c:pt>
                <c:pt idx="23">
                  <c:v>37239.935600252786</c:v>
                </c:pt>
                <c:pt idx="24">
                  <c:v>37978.85246243616</c:v>
                </c:pt>
                <c:pt idx="25">
                  <c:v>135960.78490565642</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-307309.82952392643</c:v>
                </c:pt>
                <c:pt idx="1">
                  <c:v>-93979.380011118221</c:v>
                </c:pt>
                <c:pt idx="2">
                  <c:v>-50300.539093202504</c:v>
                </c:pt>
                <c:pt idx="3">
                  <c:v>-22033.55865938952</c:v>
                </c:pt>
                <c:pt idx="4">
                  <c:v>-3049.7423511046691</c:v>
                </c:pt>
                <c:pt idx="5">
                  <c:v>15844.772384356274</c:v>
                </c:pt>
                <c:pt idx="6">
                  <c:v>17596.535569004282</c:v>
                </c:pt>
                <c:pt idx="7">
                  <c:v>19027.827927083221</c:v>
                </c:pt>
                <c:pt idx="8">
                  <c:v>20487.52018396421</c:v>
                </c:pt>
                <c:pt idx="9">
                  <c:v>21976.175846899641</c:v>
                </c:pt>
                <c:pt idx="10">
                  <c:v>23494.369604033829</c:v>
                </c:pt>
                <c:pt idx="11">
                  <c:v>25042.687546246929</c:v>
                </c:pt>
                <c:pt idx="12">
                  <c:v>26621.727393400502</c:v>
                </c:pt>
                <c:pt idx="13">
                  <c:v>28232.098725072021</c:v>
                </c:pt>
                <c:pt idx="14">
                  <c:v>29874.423215867395</c:v>
                </c:pt>
                <c:pt idx="15">
                  <c:v>31549.33487540235</c:v>
                </c:pt>
                <c:pt idx="16">
                  <c:v>33257.480293045286</c:v>
                </c:pt>
                <c:pt idx="17">
                  <c:v>34999.518887516089</c:v>
                </c:pt>
                <c:pt idx="18">
                  <c:v>36776.123161437259</c:v>
                </c:pt>
                <c:pt idx="19">
                  <c:v>38587.978960935579</c:v>
                </c:pt>
                <c:pt idx="20">
                  <c:v>40435.785740394553</c:v>
                </c:pt>
                <c:pt idx="21">
                  <c:v>42320.256832459811</c:v>
                </c:pt>
                <c:pt idx="22">
                  <c:v>44242.119723401695</c:v>
                </c:pt>
                <c:pt idx="23">
                  <c:v>46202.116333941318</c:v>
                </c:pt>
                <c:pt idx="24">
                  <c:v>48201.003305648483</c:v>
                </c:pt>
                <c:pt idx="25">
                  <c:v>55356.834090156714</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-374994.41009402747</c:v>
                </c:pt>
                <c:pt idx="1">
                  <c:v>-352900.07125258655</c:v>
                </c:pt>
                <c:pt idx="2">
                  <c:v>-331929.50932790141</c:v>
                </c:pt>
                <c:pt idx="3">
                  <c:v>-310513.04280813533</c:v>
                </c:pt>
                <c:pt idx="4">
                  <c:v>-288576.82917956542</c:v>
                </c:pt>
                <c:pt idx="5">
                  <c:v>-266015.82781427744</c:v>
                </c:pt>
                <c:pt idx="6">
                  <c:v>-232732.3273059653</c:v>
                </c:pt>
                <c:pt idx="7">
                  <c:v>-205537.77250246546</c:v>
                </c:pt>
                <c:pt idx="8">
                  <c:v>-177803.61962172668</c:v>
                </c:pt>
                <c:pt idx="9">
                  <c:v>-149519.16202595347</c:v>
                </c:pt>
                <c:pt idx="10">
                  <c:v>-120673.48064040393</c:v>
                </c:pt>
                <c:pt idx="11">
                  <c:v>-91255.439738355024</c:v>
                </c:pt>
                <c:pt idx="12">
                  <c:v>-61253.682642437125</c:v>
                </c:pt>
                <c:pt idx="13">
                  <c:v>-30656.627340678242</c:v>
                </c:pt>
                <c:pt idx="14">
                  <c:v>547.53798443389314</c:v>
                </c:pt>
                <c:pt idx="15">
                  <c:v>32370.85951559804</c:v>
                </c:pt>
                <c:pt idx="16">
                  <c:v>64825.622450813782</c:v>
                </c:pt>
                <c:pt idx="17">
                  <c:v>97924.355745759065</c:v>
                </c:pt>
                <c:pt idx="18">
                  <c:v>131679.83695026132</c:v>
                </c:pt>
                <c:pt idx="19">
                  <c:v>166105.09714072943</c:v>
                </c:pt>
                <c:pt idx="20">
                  <c:v>201213.42595044995</c:v>
                </c:pt>
                <c:pt idx="21">
                  <c:v>237018.37669968989</c:v>
                </c:pt>
                <c:pt idx="22">
                  <c:v>273533.77162758569</c:v>
                </c:pt>
                <c:pt idx="23">
                  <c:v>310773.70722783846</c:v>
                </c:pt>
                <c:pt idx="24">
                  <c:v>348752.55969027465</c:v>
                </c:pt>
                <c:pt idx="25">
                  <c:v>484713.34459593106</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307309.82952392643</c:v>
                </c:pt>
                <c:pt idx="1">
                  <c:v>374994.41009402747</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226800.69580975018</c:v>
                </c:pt>
                <c:pt idx="1">
                  <c:v>35375.078278982386</c:v>
                </c:pt>
                <c:pt idx="2">
                  <c:v>21225.046967389429</c:v>
                </c:pt>
                <c:pt idx="3">
                  <c:v>12735.028180433657</c:v>
                </c:pt>
                <c:pt idx="4">
                  <c:v>12735.028180433657</c:v>
                </c:pt>
                <c:pt idx="5">
                  <c:v>6367.5140902168287</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33031.544816987036</c:v>
                </c:pt>
                <c:pt idx="1">
                  <c:v>33686.962256224651</c:v>
                </c:pt>
                <c:pt idx="2">
                  <c:v>34355.38442678711</c:v>
                </c:pt>
                <c:pt idx="3">
                  <c:v>35037.069363903895</c:v>
                </c:pt>
                <c:pt idx="4">
                  <c:v>35732.280222578578</c:v>
                </c:pt>
                <c:pt idx="5">
                  <c:v>36441.285379170746</c:v>
                </c:pt>
                <c:pt idx="6">
                  <c:v>37164.35853499356</c:v>
                </c:pt>
                <c:pt idx="7">
                  <c:v>37901.778821966589</c:v>
                </c:pt>
                <c:pt idx="8">
                  <c:v>38653.830910365003</c:v>
                </c:pt>
                <c:pt idx="9">
                  <c:v>39420.805118706572</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226800.69580975018</c:v>
                </c:pt>
                <c:pt idx="1">
                  <c:v>35375.078278982386</c:v>
                </c:pt>
                <c:pt idx="2">
                  <c:v>21225.046967389429</c:v>
                </c:pt>
                <c:pt idx="3">
                  <c:v>12735.028180433657</c:v>
                </c:pt>
                <c:pt idx="4">
                  <c:v>12735.028180433657</c:v>
                </c:pt>
                <c:pt idx="5">
                  <c:v>6367.5140902168287</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193769.15099276314</c:v>
                </c:pt>
                <c:pt idx="1">
                  <c:v>195457.26701552089</c:v>
                </c:pt>
                <c:pt idx="2">
                  <c:v>182326.92955612321</c:v>
                </c:pt>
                <c:pt idx="3">
                  <c:v>160024.88837265299</c:v>
                </c:pt>
                <c:pt idx="4">
                  <c:v>137027.63633050807</c:v>
                </c:pt>
                <c:pt idx="5">
                  <c:v>106953.86504155416</c:v>
                </c:pt>
                <c:pt idx="6">
                  <c:v>69789.506506560603</c:v>
                </c:pt>
                <c:pt idx="7">
                  <c:v>31887.727684594014</c:v>
                </c:pt>
                <c:pt idx="8">
                  <c:v>0</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5.6431787998759315E-2</c:v>
                </c:pt>
                <c:pt idx="1">
                  <c:v>5.9304217664253478E-2</c:v>
                </c:pt>
                <c:pt idx="2">
                  <c:v>6.8335204700961674E-2</c:v>
                </c:pt>
                <c:pt idx="3">
                  <c:v>8.2803777641542162E-2</c:v>
                </c:pt>
                <c:pt idx="4">
                  <c:v>9.5815808175548925E-2</c:v>
                </c:pt>
                <c:pt idx="5">
                  <c:v>0.10939060920534203</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5841.4415953765747</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378.71042244974524</c:v>
                </c:pt>
                <c:pt idx="1">
                  <c:v>386.23729209593148</c:v>
                </c:pt>
                <c:pt idx="2">
                  <c:v>393.91375827633601</c:v>
                </c:pt>
                <c:pt idx="3">
                  <c:v>401.74279422208929</c:v>
                </c:pt>
                <c:pt idx="4">
                  <c:v>409.72743225724116</c:v>
                </c:pt>
                <c:pt idx="5">
                  <c:v>417.87076497334783</c:v>
                </c:pt>
                <c:pt idx="6">
                  <c:v>426.17594642719632</c:v>
                </c:pt>
                <c:pt idx="7">
                  <c:v>434.64619336243777</c:v>
                </c:pt>
                <c:pt idx="8">
                  <c:v>443.28478645551513</c:v>
                </c:pt>
                <c:pt idx="9">
                  <c:v>452.09507158632186</c:v>
                </c:pt>
                <c:pt idx="10">
                  <c:v>461.08046113409364</c:v>
                </c:pt>
                <c:pt idx="11">
                  <c:v>470.24443529913697</c:v>
                </c:pt>
                <c:pt idx="12">
                  <c:v>479.59054345070763</c:v>
                </c:pt>
                <c:pt idx="13">
                  <c:v>489.12240550178831</c:v>
                </c:pt>
                <c:pt idx="14">
                  <c:v>498.84371331112925</c:v>
                </c:pt>
                <c:pt idx="15">
                  <c:v>508.75823211319221</c:v>
                </c:pt>
                <c:pt idx="16">
                  <c:v>518.8698019764488</c:v>
                </c:pt>
                <c:pt idx="17">
                  <c:v>529.18233929073176</c:v>
                </c:pt>
                <c:pt idx="18">
                  <c:v>539.69983828413388</c:v>
                </c:pt>
                <c:pt idx="19">
                  <c:v>550.42637257003662</c:v>
                </c:pt>
                <c:pt idx="20">
                  <c:v>561.36609672487248</c:v>
                </c:pt>
                <c:pt idx="21">
                  <c:v>572.52324789727572</c:v>
                </c:pt>
                <c:pt idx="22">
                  <c:v>583.90214744923287</c:v>
                </c:pt>
                <c:pt idx="23">
                  <c:v>595.5072026298003</c:v>
                </c:pt>
                <c:pt idx="24">
                  <c:v>607.34290828205121</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1194182.2365632909</c:v>
                </c:pt>
                <c:pt idx="1">
                  <c:v>1197252.616713291</c:v>
                </c:pt>
                <c:pt idx="2">
                  <c:v>1200307.6449625411</c:v>
                </c:pt>
                <c:pt idx="3">
                  <c:v>1203347.3980705449</c:v>
                </c:pt>
                <c:pt idx="4">
                  <c:v>1206371.9524130085</c:v>
                </c:pt>
                <c:pt idx="5">
                  <c:v>1209381.3839837601</c:v>
                </c:pt>
                <c:pt idx="6">
                  <c:v>1212375.7683966577</c:v>
                </c:pt>
                <c:pt idx="7">
                  <c:v>1215355.180887491</c:v>
                </c:pt>
                <c:pt idx="8">
                  <c:v>1218319.6963158699</c:v>
                </c:pt>
                <c:pt idx="9">
                  <c:v>1221269.3891671072</c:v>
                </c:pt>
                <c:pt idx="10">
                  <c:v>1224204.3335540881</c:v>
                </c:pt>
                <c:pt idx="11">
                  <c:v>1227124.603219134</c:v>
                </c:pt>
                <c:pt idx="12">
                  <c:v>1230030.2715358548</c:v>
                </c:pt>
                <c:pt idx="13">
                  <c:v>1232921.4115109919</c:v>
                </c:pt>
                <c:pt idx="14">
                  <c:v>1235798.0957862535</c:v>
                </c:pt>
                <c:pt idx="15">
                  <c:v>1238660.3966401387</c:v>
                </c:pt>
                <c:pt idx="16">
                  <c:v>1241508.3859897545</c:v>
                </c:pt>
                <c:pt idx="17">
                  <c:v>1244342.1353926221</c:v>
                </c:pt>
                <c:pt idx="18">
                  <c:v>1247161.7160484756</c:v>
                </c:pt>
                <c:pt idx="19">
                  <c:v>1249967.1988010497</c:v>
                </c:pt>
                <c:pt idx="20">
                  <c:v>1252758.654139861</c:v>
                </c:pt>
                <c:pt idx="21">
                  <c:v>1255536.152201978</c:v>
                </c:pt>
                <c:pt idx="22">
                  <c:v>1258299.7627737848</c:v>
                </c:pt>
                <c:pt idx="23">
                  <c:v>1261049.5552927321</c:v>
                </c:pt>
                <c:pt idx="24">
                  <c:v>1263785.5988490852</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614076.03000000154</c:v>
                </c:pt>
                <c:pt idx="1">
                  <c:v>611005.64985000156</c:v>
                </c:pt>
                <c:pt idx="2">
                  <c:v>607950.62160075153</c:v>
                </c:pt>
                <c:pt idx="3">
                  <c:v>604910.86849274777</c:v>
                </c:pt>
                <c:pt idx="4">
                  <c:v>601886.31415028404</c:v>
                </c:pt>
                <c:pt idx="5">
                  <c:v>598876.88257953257</c:v>
                </c:pt>
                <c:pt idx="6">
                  <c:v>595882.49816663493</c:v>
                </c:pt>
                <c:pt idx="7">
                  <c:v>592903.08567580173</c:v>
                </c:pt>
                <c:pt idx="8">
                  <c:v>589938.57024742267</c:v>
                </c:pt>
                <c:pt idx="9">
                  <c:v>586988.87739618553</c:v>
                </c:pt>
                <c:pt idx="10">
                  <c:v>584053.93300920457</c:v>
                </c:pt>
                <c:pt idx="11">
                  <c:v>581133.66334415856</c:v>
                </c:pt>
                <c:pt idx="12">
                  <c:v>578227.99502743781</c:v>
                </c:pt>
                <c:pt idx="13">
                  <c:v>575336.85505230061</c:v>
                </c:pt>
                <c:pt idx="14">
                  <c:v>572460.17077703914</c:v>
                </c:pt>
                <c:pt idx="15">
                  <c:v>569597.86992315389</c:v>
                </c:pt>
                <c:pt idx="16">
                  <c:v>566749.88057353813</c:v>
                </c:pt>
                <c:pt idx="17">
                  <c:v>563916.13117067039</c:v>
                </c:pt>
                <c:pt idx="18">
                  <c:v>561096.55051481701</c:v>
                </c:pt>
                <c:pt idx="19">
                  <c:v>558291.06776224286</c:v>
                </c:pt>
                <c:pt idx="20">
                  <c:v>555499.61242343159</c:v>
                </c:pt>
                <c:pt idx="21">
                  <c:v>552722.11436131445</c:v>
                </c:pt>
                <c:pt idx="22">
                  <c:v>549958.5037895079</c:v>
                </c:pt>
                <c:pt idx="23">
                  <c:v>547208.71127056039</c:v>
                </c:pt>
                <c:pt idx="24">
                  <c:v>544472.66771420755</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1194182.2365632909</c:v>
                </c:pt>
                <c:pt idx="1">
                  <c:v>614076.03000000154</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B9D376F6-D4AD-7D4B-BE30-EC6BBF4063D3}">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3" customWidth="1"/>
  </cols>
  <sheetData>
    <row r="2" spans="2:14" ht="56" customHeight="1" x14ac:dyDescent="0.15">
      <c r="D2" s="34"/>
      <c r="E2" s="3"/>
      <c r="F2" s="3"/>
      <c r="G2" s="3"/>
      <c r="H2"/>
      <c r="I2"/>
      <c r="J2"/>
      <c r="K2"/>
      <c r="L2"/>
      <c r="M2"/>
      <c r="N2"/>
    </row>
    <row r="3" spans="2:14" ht="18" x14ac:dyDescent="0.2">
      <c r="D3" s="3"/>
      <c r="F3" s="457" t="s">
        <v>149</v>
      </c>
      <c r="H3"/>
      <c r="I3"/>
      <c r="J3"/>
      <c r="K3"/>
      <c r="L3"/>
      <c r="M3"/>
      <c r="N3"/>
    </row>
    <row r="4" spans="2:14" ht="14" thickBot="1" x14ac:dyDescent="0.2">
      <c r="D4" s="3"/>
      <c r="G4" s="3"/>
      <c r="H4"/>
      <c r="I4"/>
      <c r="J4"/>
      <c r="K4"/>
      <c r="L4"/>
      <c r="M4"/>
      <c r="N4"/>
    </row>
    <row r="5" spans="2:14" ht="20" customHeight="1" x14ac:dyDescent="0.25">
      <c r="D5" s="13"/>
      <c r="F5" s="474" t="s">
        <v>0</v>
      </c>
      <c r="G5" s="475"/>
      <c r="H5" s="475"/>
      <c r="I5" s="475"/>
      <c r="J5" s="476"/>
      <c r="K5"/>
      <c r="L5"/>
      <c r="M5"/>
      <c r="N5"/>
    </row>
    <row r="6" spans="2:14" ht="14" customHeight="1" x14ac:dyDescent="0.15">
      <c r="F6" s="477" t="s">
        <v>463</v>
      </c>
      <c r="G6" s="478"/>
      <c r="H6" s="478"/>
      <c r="I6" s="478"/>
      <c r="J6" s="479"/>
      <c r="K6"/>
      <c r="L6"/>
      <c r="M6"/>
      <c r="N6"/>
    </row>
    <row r="7" spans="2:14" ht="15" customHeight="1" x14ac:dyDescent="0.15">
      <c r="F7" s="477"/>
      <c r="G7" s="478"/>
      <c r="H7" s="478"/>
      <c r="I7" s="478"/>
      <c r="J7" s="479"/>
      <c r="K7"/>
      <c r="L7"/>
      <c r="M7"/>
      <c r="N7"/>
    </row>
    <row r="8" spans="2:14" ht="14" customHeight="1" x14ac:dyDescent="0.15">
      <c r="F8" s="477"/>
      <c r="G8" s="478"/>
      <c r="H8" s="478"/>
      <c r="I8" s="478"/>
      <c r="J8" s="479"/>
      <c r="K8"/>
      <c r="L8"/>
      <c r="M8"/>
      <c r="N8"/>
    </row>
    <row r="9" spans="2:14" ht="14" customHeight="1" x14ac:dyDescent="0.15">
      <c r="D9" s="3"/>
      <c r="F9" s="477"/>
      <c r="G9" s="478"/>
      <c r="H9" s="478"/>
      <c r="I9" s="478"/>
      <c r="J9" s="479"/>
      <c r="K9"/>
      <c r="L9"/>
      <c r="M9"/>
      <c r="N9"/>
    </row>
    <row r="10" spans="2:14" ht="14" customHeight="1" x14ac:dyDescent="0.15">
      <c r="D10" s="3"/>
      <c r="F10" s="477"/>
      <c r="G10" s="478"/>
      <c r="H10" s="478"/>
      <c r="I10" s="478"/>
      <c r="J10" s="479"/>
      <c r="K10"/>
      <c r="L10"/>
      <c r="M10"/>
      <c r="N10"/>
    </row>
    <row r="11" spans="2:14" ht="14" customHeight="1" x14ac:dyDescent="0.15">
      <c r="D11" s="3"/>
      <c r="F11" s="477"/>
      <c r="G11" s="478"/>
      <c r="H11" s="478"/>
      <c r="I11" s="478"/>
      <c r="J11" s="479"/>
      <c r="K11"/>
      <c r="L11"/>
      <c r="M11"/>
      <c r="N11"/>
    </row>
    <row r="12" spans="2:14" ht="14" customHeight="1" x14ac:dyDescent="0.15">
      <c r="D12" s="3"/>
      <c r="F12" s="477"/>
      <c r="G12" s="478"/>
      <c r="H12" s="478"/>
      <c r="I12" s="478"/>
      <c r="J12" s="479"/>
      <c r="K12"/>
      <c r="L12"/>
      <c r="M12"/>
      <c r="N12"/>
    </row>
    <row r="13" spans="2:14" ht="14" customHeight="1" x14ac:dyDescent="0.15">
      <c r="D13" s="3"/>
      <c r="F13" s="477"/>
      <c r="G13" s="478"/>
      <c r="H13" s="478"/>
      <c r="I13" s="478"/>
      <c r="J13" s="479"/>
      <c r="K13"/>
      <c r="L13"/>
      <c r="M13"/>
      <c r="N13"/>
    </row>
    <row r="14" spans="2:14" ht="14" customHeight="1" thickBot="1" x14ac:dyDescent="0.2">
      <c r="D14" s="3"/>
      <c r="F14" s="477"/>
      <c r="G14" s="478"/>
      <c r="H14" s="478"/>
      <c r="I14" s="478"/>
      <c r="J14" s="479"/>
      <c r="K14"/>
      <c r="L14"/>
      <c r="M14"/>
      <c r="N14"/>
    </row>
    <row r="15" spans="2:14" ht="14" customHeight="1" x14ac:dyDescent="0.15">
      <c r="B15" s="37" t="s">
        <v>215</v>
      </c>
      <c r="C15" s="38"/>
      <c r="D15" s="3"/>
      <c r="F15" s="477"/>
      <c r="G15" s="478"/>
      <c r="H15" s="478"/>
      <c r="I15" s="478"/>
      <c r="J15" s="479"/>
      <c r="K15"/>
      <c r="L15"/>
      <c r="M15"/>
      <c r="N15"/>
    </row>
    <row r="16" spans="2:14" ht="14" customHeight="1" thickBot="1" x14ac:dyDescent="0.2">
      <c r="B16" s="39" t="s">
        <v>217</v>
      </c>
      <c r="C16" s="40"/>
      <c r="D16" s="3"/>
      <c r="F16" s="477"/>
      <c r="G16" s="478"/>
      <c r="H16" s="478"/>
      <c r="I16" s="478"/>
      <c r="J16" s="479"/>
      <c r="K16"/>
      <c r="L16"/>
      <c r="M16"/>
      <c r="N16"/>
    </row>
    <row r="17" spans="2:14" ht="14" customHeight="1" x14ac:dyDescent="0.15">
      <c r="D17" s="3"/>
      <c r="E17" s="456"/>
      <c r="F17" s="477"/>
      <c r="G17" s="478"/>
      <c r="H17" s="478"/>
      <c r="I17" s="478"/>
      <c r="J17" s="479"/>
      <c r="K17"/>
      <c r="L17"/>
      <c r="M17"/>
      <c r="N17"/>
    </row>
    <row r="18" spans="2:14" ht="14" customHeight="1" x14ac:dyDescent="0.15">
      <c r="B18" s="473" t="s">
        <v>464</v>
      </c>
      <c r="C18" s="473"/>
      <c r="D18" s="473"/>
      <c r="E18" s="456"/>
      <c r="F18" s="477"/>
      <c r="G18" s="478"/>
      <c r="H18" s="478"/>
      <c r="I18" s="478"/>
      <c r="J18" s="479"/>
      <c r="K18"/>
      <c r="L18"/>
      <c r="M18"/>
      <c r="N18"/>
    </row>
    <row r="19" spans="2:14" ht="14" customHeight="1" thickBot="1" x14ac:dyDescent="0.25">
      <c r="B19" s="473"/>
      <c r="C19" s="473"/>
      <c r="D19" s="473"/>
      <c r="E19" s="31"/>
      <c r="F19" s="480"/>
      <c r="G19" s="481"/>
      <c r="H19" s="481"/>
      <c r="I19" s="481"/>
      <c r="J19" s="482"/>
      <c r="K19"/>
      <c r="L19"/>
      <c r="M19"/>
      <c r="N19"/>
    </row>
    <row r="20" spans="2:14" ht="14" customHeight="1" x14ac:dyDescent="0.15">
      <c r="B20" s="473"/>
      <c r="C20" s="473"/>
      <c r="D20" s="473"/>
      <c r="E20" s="456"/>
      <c r="F20" s="63"/>
      <c r="G20" s="3"/>
      <c r="H20"/>
      <c r="I20"/>
      <c r="J20"/>
      <c r="K20"/>
      <c r="L20"/>
      <c r="M20"/>
      <c r="N20"/>
    </row>
    <row r="21" spans="2:14" ht="14" customHeight="1" x14ac:dyDescent="0.15">
      <c r="B21" s="473"/>
      <c r="C21" s="473"/>
      <c r="D21" s="473"/>
      <c r="E21" s="456"/>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4"/>
      <c r="I24" s="455"/>
      <c r="J24" s="455"/>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3" t="s">
        <v>22</v>
      </c>
      <c r="C30" s="24" t="s">
        <v>86</v>
      </c>
      <c r="E30" s="22" t="s">
        <v>87</v>
      </c>
    </row>
    <row r="31" spans="2:14" ht="17" x14ac:dyDescent="0.2">
      <c r="B31" s="484"/>
      <c r="C31" s="25" t="s">
        <v>205</v>
      </c>
      <c r="E31" s="23" t="s">
        <v>125</v>
      </c>
    </row>
    <row r="32" spans="2:14" ht="17" thickBot="1" x14ac:dyDescent="0.25">
      <c r="B32" s="485"/>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E15" zoomScale="84" zoomScaleNormal="7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6"/>
    </row>
    <row r="2" spans="1:44" ht="20" thickBot="1" x14ac:dyDescent="0.3">
      <c r="H2" s="28" t="s">
        <v>149</v>
      </c>
    </row>
    <row r="3" spans="1:44" ht="21" customHeight="1" x14ac:dyDescent="0.25">
      <c r="H3" s="31" t="s">
        <v>407</v>
      </c>
      <c r="I3" s="31"/>
      <c r="L3" s="29"/>
      <c r="M3" s="29"/>
      <c r="N3" s="29"/>
      <c r="P3" s="490" t="s">
        <v>0</v>
      </c>
      <c r="Q3" s="491"/>
      <c r="R3" s="491"/>
      <c r="S3" s="491"/>
      <c r="T3" s="491"/>
      <c r="U3" s="491"/>
      <c r="V3" s="491"/>
      <c r="W3" s="491"/>
      <c r="X3" s="492"/>
    </row>
    <row r="4" spans="1:44" ht="20" customHeight="1" x14ac:dyDescent="0.25">
      <c r="A4" s="13"/>
      <c r="H4" s="32" t="s">
        <v>27</v>
      </c>
      <c r="I4" s="32"/>
      <c r="P4" s="493" t="s">
        <v>312</v>
      </c>
      <c r="Q4" s="494"/>
      <c r="R4" s="494"/>
      <c r="S4" s="494"/>
      <c r="T4" s="494"/>
      <c r="U4" s="494"/>
      <c r="V4" s="494"/>
      <c r="W4" s="494"/>
      <c r="X4" s="495"/>
    </row>
    <row r="5" spans="1:44" ht="26" customHeight="1" thickBot="1" x14ac:dyDescent="0.3">
      <c r="A5"/>
      <c r="I5" s="174"/>
      <c r="J5"/>
      <c r="K5"/>
      <c r="L5" s="473" t="s">
        <v>462</v>
      </c>
      <c r="M5" s="473"/>
      <c r="N5" s="473"/>
      <c r="P5" s="493"/>
      <c r="Q5" s="494"/>
      <c r="R5" s="494"/>
      <c r="S5" s="494"/>
      <c r="T5" s="494"/>
      <c r="U5" s="494"/>
      <c r="V5" s="494"/>
      <c r="W5" s="494"/>
      <c r="X5" s="495"/>
    </row>
    <row r="6" spans="1:44" ht="16" customHeight="1" x14ac:dyDescent="0.15">
      <c r="A6"/>
      <c r="H6" s="507" t="s">
        <v>199</v>
      </c>
      <c r="I6" s="508"/>
      <c r="J6" s="450" t="s">
        <v>314</v>
      </c>
      <c r="K6"/>
      <c r="L6" s="473"/>
      <c r="M6" s="473"/>
      <c r="N6" s="473"/>
      <c r="P6" s="493"/>
      <c r="Q6" s="494"/>
      <c r="R6" s="494"/>
      <c r="S6" s="494"/>
      <c r="T6" s="494"/>
      <c r="U6" s="494"/>
      <c r="V6" s="494"/>
      <c r="W6" s="494"/>
      <c r="X6" s="495"/>
    </row>
    <row r="7" spans="1:44" ht="15" customHeight="1" x14ac:dyDescent="0.2">
      <c r="A7"/>
      <c r="H7" s="509"/>
      <c r="I7" s="510"/>
      <c r="J7" s="451" t="s">
        <v>245</v>
      </c>
      <c r="K7" s="14"/>
      <c r="L7" s="473"/>
      <c r="M7" s="473"/>
      <c r="N7" s="473"/>
      <c r="P7" s="493"/>
      <c r="Q7" s="494"/>
      <c r="R7" s="494"/>
      <c r="S7" s="494"/>
      <c r="T7" s="494"/>
      <c r="U7" s="494"/>
      <c r="V7" s="494"/>
      <c r="W7" s="494"/>
      <c r="X7" s="495"/>
    </row>
    <row r="8" spans="1:44" ht="13" customHeight="1" thickBot="1" x14ac:dyDescent="0.25">
      <c r="H8" s="511"/>
      <c r="I8" s="512"/>
      <c r="J8" s="452" t="s">
        <v>219</v>
      </c>
      <c r="K8"/>
      <c r="L8" s="473"/>
      <c r="M8" s="473"/>
      <c r="N8" s="473"/>
      <c r="P8" s="493"/>
      <c r="Q8" s="494"/>
      <c r="R8" s="494"/>
      <c r="S8" s="494"/>
      <c r="T8" s="494"/>
      <c r="U8" s="494"/>
      <c r="V8" s="494"/>
      <c r="W8" s="494"/>
      <c r="X8" s="495"/>
    </row>
    <row r="9" spans="1:44" ht="22" customHeight="1" thickBot="1" x14ac:dyDescent="0.25">
      <c r="L9" s="473"/>
      <c r="M9" s="473"/>
      <c r="N9" s="473"/>
      <c r="P9" s="493"/>
      <c r="Q9" s="494"/>
      <c r="R9" s="494"/>
      <c r="S9" s="494"/>
      <c r="T9" s="494"/>
      <c r="U9" s="494"/>
      <c r="V9" s="494"/>
      <c r="W9" s="494"/>
      <c r="X9" s="495"/>
      <c r="Y9" s="2"/>
      <c r="Z9" s="2"/>
      <c r="AA9" s="2"/>
    </row>
    <row r="10" spans="1:44" ht="15" customHeight="1" thickBot="1" x14ac:dyDescent="0.25">
      <c r="H10" s="486" t="s">
        <v>214</v>
      </c>
      <c r="I10" s="487"/>
      <c r="J10" s="458"/>
      <c r="K10"/>
      <c r="L10" s="473"/>
      <c r="M10" s="473"/>
      <c r="N10" s="473"/>
      <c r="P10" s="496"/>
      <c r="Q10" s="497"/>
      <c r="R10" s="497"/>
      <c r="S10" s="497"/>
      <c r="T10" s="497"/>
      <c r="U10" s="497"/>
      <c r="V10" s="497"/>
      <c r="W10" s="497"/>
      <c r="X10" s="498"/>
      <c r="Y10" s="2"/>
      <c r="Z10" s="2"/>
      <c r="AA10" s="2"/>
    </row>
    <row r="11" spans="1:44" customFormat="1" ht="13" customHeight="1" thickBot="1" x14ac:dyDescent="0.25">
      <c r="B11" s="468">
        <v>2</v>
      </c>
      <c r="C11" s="3"/>
      <c r="D11" s="3"/>
      <c r="E11" s="3"/>
      <c r="F11" s="3"/>
      <c r="G11" s="3"/>
      <c r="H11" s="488" t="s">
        <v>216</v>
      </c>
      <c r="I11" s="489"/>
      <c r="J11" s="459"/>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04" t="s">
        <v>259</v>
      </c>
      <c r="O16" s="505"/>
      <c r="P16" s="506"/>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23"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(1.42+0.012133)-D21</f>
        <v>1.2889196999999999</v>
      </c>
      <c r="E18" s="117">
        <f>$D$18*$E$30</f>
        <v>1.5467036399999998</v>
      </c>
      <c r="F18" s="166"/>
      <c r="G18" s="71" t="s">
        <v>228</v>
      </c>
      <c r="H18" s="105">
        <v>3</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357781.98461538466</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3.5000000000000003E-2</v>
      </c>
      <c r="I20" s="161"/>
      <c r="J20" s="78" t="s">
        <v>1</v>
      </c>
      <c r="K20" s="423"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(1.42+0.012133)*0.1</f>
        <v>0.14321329999999999</v>
      </c>
      <c r="E21" s="119">
        <f>$D$21*$E$30</f>
        <v>0.17185595999999997</v>
      </c>
      <c r="F21" s="161"/>
      <c r="G21" s="80" t="s">
        <v>14</v>
      </c>
      <c r="H21" s="110">
        <v>100000</v>
      </c>
      <c r="I21" s="161"/>
      <c r="J21" s="71" t="s">
        <v>102</v>
      </c>
      <c r="K21" s="113">
        <v>110</v>
      </c>
      <c r="L21" s="164"/>
      <c r="M21" s="131"/>
      <c r="N21" s="501" t="s">
        <v>128</v>
      </c>
      <c r="O21" s="502"/>
      <c r="P21" s="503"/>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1.4321329999999999</v>
      </c>
      <c r="E22" s="79">
        <f>SUM(E18:E21)</f>
        <v>1.7185595999999999</v>
      </c>
      <c r="F22" s="161"/>
      <c r="G22" s="65" t="s">
        <v>72</v>
      </c>
      <c r="H22" s="67"/>
      <c r="I22" s="161"/>
      <c r="J22" s="71" t="s">
        <v>251</v>
      </c>
      <c r="K22" s="106">
        <v>1000</v>
      </c>
      <c r="L22" s="164"/>
      <c r="M22" s="131"/>
      <c r="N22" s="281" t="s">
        <v>34</v>
      </c>
      <c r="O22" s="282"/>
      <c r="P22" s="280">
        <f>$H$23</f>
        <v>682304.23961795389</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455200</v>
      </c>
      <c r="E23" s="120">
        <f>Size_of_System_in_W_DC/$E$30</f>
        <v>379333.33333333337</v>
      </c>
      <c r="F23" s="161"/>
      <c r="G23" s="70" t="s">
        <v>144</v>
      </c>
      <c r="H23" s="110">
        <f>Aggregate_Project_Cost</f>
        <v>682304.23961795389</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682304.23961795389</v>
      </c>
      <c r="I24" s="161"/>
      <c r="J24" s="80" t="s">
        <v>101</v>
      </c>
      <c r="K24" s="105">
        <v>10</v>
      </c>
      <c r="L24" s="164"/>
      <c r="M24" s="131"/>
      <c r="N24" s="269" t="s">
        <v>75</v>
      </c>
      <c r="O24" s="264"/>
      <c r="P24" s="280">
        <f>P22-P23</f>
        <v>682304.23961795389</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1349.02467047452</v>
      </c>
      <c r="F25" s="161"/>
      <c r="G25" s="80" t="s">
        <v>374</v>
      </c>
      <c r="H25" s="108">
        <v>6.5000000000000002E-2</v>
      </c>
      <c r="I25" s="161"/>
      <c r="J25" s="75" t="s">
        <v>62</v>
      </c>
      <c r="K25" s="76"/>
      <c r="L25" s="164"/>
      <c r="M25" s="131"/>
      <c r="N25" s="270" t="s">
        <v>148</v>
      </c>
      <c r="O25" s="271"/>
      <c r="P25" s="280">
        <f>Unstructured!C89</f>
        <v>-12131.708985796198</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6.2464243898656457E-2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6">
        <v>0.96</v>
      </c>
      <c r="F27" s="168">
        <v>1</v>
      </c>
      <c r="G27" s="70" t="s">
        <v>39</v>
      </c>
      <c r="H27" s="423" t="s">
        <v>309</v>
      </c>
      <c r="I27" s="161"/>
      <c r="J27" s="71" t="s">
        <v>192</v>
      </c>
      <c r="K27" s="121">
        <f>K34</f>
        <v>250000</v>
      </c>
      <c r="L27" s="164"/>
      <c r="M27" s="131"/>
      <c r="N27" s="272" t="s">
        <v>60</v>
      </c>
      <c r="O27" s="266"/>
      <c r="P27" s="284">
        <f>Unstructured!C83</f>
        <v>2.5004627173283556E-2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437">
        <f>(Size_of_System_in_W_DC/1000)*$E$25</f>
        <v>614076.03000000154</v>
      </c>
      <c r="F28" s="169"/>
      <c r="G28" s="71" t="s">
        <v>40</v>
      </c>
      <c r="H28" s="105">
        <v>20</v>
      </c>
      <c r="I28" s="161"/>
      <c r="J28" s="71" t="s">
        <v>375</v>
      </c>
      <c r="K28" s="326">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589512.98880000145</v>
      </c>
      <c r="F29" s="161"/>
      <c r="G29" s="71" t="s">
        <v>41</v>
      </c>
      <c r="H29" s="108">
        <v>5.5E-2</v>
      </c>
      <c r="I29" s="161"/>
      <c r="J29" s="71" t="s">
        <v>180</v>
      </c>
      <c r="K29" s="327">
        <v>0</v>
      </c>
      <c r="L29" s="164"/>
      <c r="M29" s="131"/>
      <c r="N29" s="504" t="s">
        <v>194</v>
      </c>
      <c r="O29" s="505"/>
      <c r="P29" s="506"/>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272921.69584718155</v>
      </c>
      <c r="I30" s="161"/>
      <c r="J30" s="71" t="s">
        <v>301</v>
      </c>
      <c r="K30" s="328">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13" t="s">
        <v>85</v>
      </c>
      <c r="C31" s="514"/>
      <c r="D31" s="515"/>
      <c r="E31" s="516"/>
      <c r="F31" s="161"/>
      <c r="G31" s="71" t="s">
        <v>136</v>
      </c>
      <c r="H31" s="108">
        <v>1.2</v>
      </c>
      <c r="I31" s="161"/>
      <c r="J31" s="80" t="s">
        <v>302</v>
      </c>
      <c r="K31" s="329">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60" t="s">
        <v>88</v>
      </c>
      <c r="C32" s="461"/>
      <c r="D32" s="463"/>
      <c r="E32" s="121">
        <f>Size_of_System_in_W_DC*$D$18</f>
        <v>586716.24743999995</v>
      </c>
      <c r="F32" s="161"/>
      <c r="G32" s="80" t="s">
        <v>137</v>
      </c>
      <c r="H32" s="322"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23" t="s">
        <v>317</v>
      </c>
      <c r="H33" s="524"/>
      <c r="I33" s="161"/>
      <c r="J33" s="71" t="s">
        <v>10</v>
      </c>
      <c r="K33" s="423"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22" t="s">
        <v>458</v>
      </c>
      <c r="I34" s="161"/>
      <c r="J34" s="71" t="s">
        <v>377</v>
      </c>
      <c r="K34" s="110">
        <v>250000</v>
      </c>
      <c r="L34" s="164"/>
      <c r="M34" s="131"/>
      <c r="N34" s="269" t="s">
        <v>82</v>
      </c>
      <c r="O34" s="264"/>
      <c r="P34" s="288">
        <f>E32</f>
        <v>586716.24743999995</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65190.694159999992</v>
      </c>
      <c r="F35" s="161"/>
      <c r="G35" s="71" t="s">
        <v>235</v>
      </c>
      <c r="H35" s="422" t="s">
        <v>456</v>
      </c>
      <c r="I35" s="161"/>
      <c r="J35" s="71" t="s">
        <v>94</v>
      </c>
      <c r="K35" s="423"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22" t="s">
        <v>373</v>
      </c>
      <c r="I36" s="161"/>
      <c r="J36" s="71" t="s">
        <v>376</v>
      </c>
      <c r="K36" s="423" t="s">
        <v>309</v>
      </c>
      <c r="L36" s="164"/>
      <c r="M36" s="131"/>
      <c r="N36" s="269" t="s">
        <v>58</v>
      </c>
      <c r="O36" s="271"/>
      <c r="P36" s="288">
        <f>E35</f>
        <v>65190.694159999992</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30397.298017953955</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30397.298017953955</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64"/>
      <c r="E39" s="123">
        <f>SUM(E32:E38)</f>
        <v>682304.23961795389</v>
      </c>
      <c r="F39" s="161"/>
      <c r="G39" s="462" t="s">
        <v>437</v>
      </c>
      <c r="H39" s="422" t="s">
        <v>329</v>
      </c>
      <c r="I39" s="161"/>
      <c r="J39" s="71" t="s">
        <v>107</v>
      </c>
      <c r="K39" s="114">
        <v>2.5000000000000001E-2</v>
      </c>
      <c r="L39" s="164"/>
      <c r="M39" s="131"/>
      <c r="N39" s="270" t="s">
        <v>54</v>
      </c>
      <c r="O39" s="264"/>
      <c r="P39" s="288">
        <f>SUM(P34:P38)</f>
        <v>682304.23961795389</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462" t="s">
        <v>438</v>
      </c>
      <c r="H40" s="422"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7" t="s">
        <v>28</v>
      </c>
      <c r="C41" s="518"/>
      <c r="D41" s="519"/>
      <c r="E41" s="520"/>
      <c r="F41" s="166"/>
      <c r="G41" s="71" t="s">
        <v>97</v>
      </c>
      <c r="H41" s="412">
        <f>SUMIF($E$65:$E$68,"Yes",$D$65:$D$68)</f>
        <v>0.3</v>
      </c>
      <c r="I41" s="161"/>
      <c r="J41" s="71" t="s">
        <v>304</v>
      </c>
      <c r="K41" s="115">
        <f>15.21/1000</f>
        <v>1.5210000000000001E-2</v>
      </c>
      <c r="L41" s="164"/>
      <c r="M41" s="131"/>
      <c r="N41" s="272" t="s">
        <v>69</v>
      </c>
      <c r="O41" s="266"/>
      <c r="P41" s="289">
        <f>P26-H25</f>
        <v>-2.5357561013435448E-3</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70" t="s">
        <v>53</v>
      </c>
      <c r="C42" s="471"/>
      <c r="D42" s="472"/>
      <c r="E42" s="341">
        <v>7.3648296020305801E-2</v>
      </c>
      <c r="F42" s="166"/>
      <c r="G42" s="462"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69"/>
      <c r="E43" s="200">
        <v>0</v>
      </c>
      <c r="F43" s="166"/>
      <c r="G43" s="462" t="s">
        <v>439</v>
      </c>
      <c r="H43" s="424">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69"/>
      <c r="E44" s="200">
        <v>2.5000000000000001E-2</v>
      </c>
      <c r="F44" s="151"/>
      <c r="G44" s="462" t="s">
        <v>430</v>
      </c>
      <c r="H44" s="424">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64"/>
      <c r="E45" s="342">
        <v>150688.18888027439</v>
      </c>
      <c r="F45" s="151"/>
      <c r="G45" s="462" t="s">
        <v>431</v>
      </c>
      <c r="H45" s="425">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69"/>
      <c r="E46" s="200">
        <v>0.06</v>
      </c>
      <c r="F46" s="151"/>
      <c r="G46" s="462" t="s">
        <v>432</v>
      </c>
      <c r="H46" s="115">
        <v>26</v>
      </c>
      <c r="I46" s="146"/>
      <c r="J46" s="151"/>
      <c r="K46" s="151"/>
      <c r="L46" s="162"/>
      <c r="M46" s="138"/>
      <c r="N46" s="131"/>
      <c r="O46" s="131"/>
      <c r="P46" s="131"/>
      <c r="Q46" s="128"/>
      <c r="R46" s="540" t="str">
        <f>IF(Project_Debt?="Yes", "Partnership data compromised. Debt should be turned off in cell H27.","")</f>
        <v/>
      </c>
      <c r="S46" s="540"/>
      <c r="T46" s="540"/>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343">
        <v>0.2</v>
      </c>
      <c r="F47" s="154"/>
      <c r="G47" s="462" t="s">
        <v>433</v>
      </c>
      <c r="H47" s="112">
        <v>0.02</v>
      </c>
      <c r="I47" s="146"/>
      <c r="J47" s="154"/>
      <c r="K47" s="154"/>
      <c r="L47" s="163"/>
      <c r="M47" s="131"/>
      <c r="N47" s="131"/>
      <c r="O47" s="131"/>
      <c r="P47" s="131"/>
      <c r="Q47" s="128"/>
      <c r="R47" s="540"/>
      <c r="S47" s="540"/>
      <c r="T47" s="540"/>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62" t="s">
        <v>434</v>
      </c>
      <c r="H48" s="112">
        <v>0.05</v>
      </c>
      <c r="I48" s="146"/>
      <c r="J48" s="146"/>
      <c r="K48" s="148"/>
      <c r="L48" s="150"/>
      <c r="M48" s="128"/>
      <c r="N48" s="526" t="s">
        <v>190</v>
      </c>
      <c r="O48" s="527"/>
      <c r="P48" s="528"/>
      <c r="Q48" s="128"/>
      <c r="R48" s="540"/>
      <c r="S48" s="540"/>
      <c r="T48" s="540"/>
      <c r="U48" s="128"/>
      <c r="V48" s="143"/>
      <c r="W48" s="128"/>
      <c r="X48" s="499" t="s">
        <v>152</v>
      </c>
      <c r="Y48" s="500"/>
      <c r="Z48" s="500"/>
      <c r="AA48" s="500"/>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21" t="s">
        <v>427</v>
      </c>
      <c r="C49" s="522"/>
      <c r="D49" s="522"/>
      <c r="E49" s="522"/>
      <c r="F49" s="146"/>
      <c r="G49" s="462" t="s">
        <v>435</v>
      </c>
      <c r="H49" s="413">
        <f>(1-Additional_ITC_Basis_Reducer_Fine_Tuning)*(Project_Sale_Price-(Site_Purchase_Price+Roof_Upgrade_Cost+Other_Closing_Costs_Fees+IF($E$23&gt;5000000,Interconnection_Costs,0)))</f>
        <v>619311.59451999993</v>
      </c>
      <c r="I49" s="146"/>
      <c r="J49" s="146"/>
      <c r="K49" s="148"/>
      <c r="L49" s="159"/>
      <c r="M49" s="128"/>
      <c r="N49" s="68"/>
      <c r="O49" s="102" t="s">
        <v>262</v>
      </c>
      <c r="P49" s="103" t="s">
        <v>263</v>
      </c>
      <c r="Q49" s="128"/>
      <c r="R49" s="128"/>
      <c r="S49" s="128"/>
      <c r="T49" s="128"/>
      <c r="U49" s="128"/>
      <c r="V49" s="143"/>
      <c r="W49" s="128"/>
      <c r="X49" s="302"/>
      <c r="Y49" s="262"/>
      <c r="Z49" s="262"/>
      <c r="AA49" s="304"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11" t="s">
        <v>436</v>
      </c>
      <c r="H50" s="414">
        <f>H49*Federal_ITC_Rate*IF(AND(Owner_is_Taxpayer_Non_Taxpayer?="Non-Taxpayer", Project_Debt?="Yes"),1-MIN(0.15,Project_Loan_Amount/Project_Sale_Price),1)</f>
        <v>185793.47835599998</v>
      </c>
      <c r="I50" s="146"/>
      <c r="J50" s="146"/>
      <c r="K50" s="148"/>
      <c r="L50" s="159"/>
      <c r="M50" s="128"/>
      <c r="N50" s="270" t="s">
        <v>280</v>
      </c>
      <c r="O50" s="290">
        <f>'Partnership Flip'!C69</f>
        <v>-374994.41009402747</v>
      </c>
      <c r="P50" s="291">
        <f>'Partnership Flip'!C56</f>
        <v>-307309.82952392643</v>
      </c>
      <c r="Q50" s="128"/>
      <c r="R50" s="128"/>
      <c r="S50" s="128"/>
      <c r="T50" s="128"/>
      <c r="U50" s="128"/>
      <c r="V50" s="143"/>
      <c r="W50" s="128"/>
      <c r="X50" s="270" t="s">
        <v>123</v>
      </c>
      <c r="Y50" s="305" t="s">
        <v>173</v>
      </c>
      <c r="Z50" s="305" t="s">
        <v>175</v>
      </c>
      <c r="AA50" s="304"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526414.85534199979</v>
      </c>
      <c r="F51" s="146"/>
      <c r="G51" s="523" t="s">
        <v>318</v>
      </c>
      <c r="H51" s="524"/>
      <c r="I51" s="146"/>
      <c r="J51" s="146"/>
      <c r="K51" s="148"/>
      <c r="L51" s="158"/>
      <c r="M51" s="128"/>
      <c r="N51" s="273" t="s">
        <v>254</v>
      </c>
      <c r="O51" s="323">
        <f>'Partnership Flip'!C75</f>
        <v>6.256869245947505E-2</v>
      </c>
      <c r="P51" s="324">
        <f>'Partnership Flip'!C62</f>
        <v>6.1797997375729663E-2</v>
      </c>
      <c r="Q51" s="128"/>
      <c r="R51" s="128"/>
      <c r="S51" s="128"/>
      <c r="T51" s="128"/>
      <c r="U51" s="128"/>
      <c r="V51" s="143"/>
      <c r="W51" s="128"/>
      <c r="X51" s="269" t="s">
        <v>361</v>
      </c>
      <c r="Y51" s="306">
        <f>'Customer Analysis'!$D$22+'Customer Analysis'!$D$23</f>
        <v>7.3648296020305801E-2</v>
      </c>
      <c r="Z51" s="306">
        <f>'Customer Analysis'!$W$22+'Customer Analysis'!$W$23</f>
        <v>0.11773786210560654</v>
      </c>
      <c r="AA51" s="307">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148"/>
      <c r="L52" s="158"/>
      <c r="M52" s="128"/>
      <c r="N52" s="273" t="s">
        <v>255</v>
      </c>
      <c r="O52" s="292">
        <f>'Partnership Flip'!C74</f>
        <v>-10036.19221275422</v>
      </c>
      <c r="P52" s="293">
        <f>'Partnership Flip'!C61</f>
        <v>-2095.5167730419198</v>
      </c>
      <c r="Q52" s="128"/>
      <c r="R52" s="128"/>
      <c r="S52" s="128"/>
      <c r="T52" s="128"/>
      <c r="U52" s="128"/>
      <c r="V52" s="143"/>
      <c r="W52" s="128"/>
      <c r="X52" s="269" t="s">
        <v>122</v>
      </c>
      <c r="Y52" s="306">
        <f>'Customer Analysis'!$D$24</f>
        <v>7.3031580167629145E-2</v>
      </c>
      <c r="Z52" s="306">
        <f>'Customer Analysis'!$W$24</f>
        <v>0.11675194919323223</v>
      </c>
      <c r="AA52" s="307">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4">
        <f>'Partnership Flip'!C77</f>
        <v>6.2002231658247586E-2</v>
      </c>
      <c r="P53" s="295">
        <f>'Partnership Flip'!C64</f>
        <v>-8.7271898034682827E-2</v>
      </c>
      <c r="Q53" s="128"/>
      <c r="R53" s="128"/>
      <c r="S53" s="128"/>
      <c r="T53" s="128"/>
      <c r="U53" s="128"/>
      <c r="V53" s="143"/>
      <c r="W53" s="128"/>
      <c r="X53" s="269"/>
      <c r="Y53" s="306"/>
      <c r="Z53" s="306"/>
      <c r="AA53" s="308"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105282.97106839996</v>
      </c>
      <c r="E54" s="94">
        <f t="shared" ref="E54:E59" si="0">Depreciation_Basis*C54</f>
        <v>105282.97106839996</v>
      </c>
      <c r="F54" s="146"/>
      <c r="G54" s="71" t="s">
        <v>319</v>
      </c>
      <c r="H54" s="180">
        <v>0</v>
      </c>
      <c r="I54" s="157"/>
      <c r="J54" s="146"/>
      <c r="K54" s="148"/>
      <c r="L54" s="158"/>
      <c r="M54" s="128"/>
      <c r="N54" s="273"/>
      <c r="O54" s="296"/>
      <c r="P54" s="287"/>
      <c r="Q54" s="128"/>
      <c r="R54" s="128"/>
      <c r="S54" s="128"/>
      <c r="T54" s="128"/>
      <c r="U54" s="128"/>
      <c r="V54" s="143"/>
      <c r="W54" s="128"/>
      <c r="X54" s="270" t="s">
        <v>264</v>
      </c>
      <c r="Y54" s="309" t="s">
        <v>173</v>
      </c>
      <c r="Z54" s="309" t="s">
        <v>175</v>
      </c>
      <c r="AA54" s="308"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168452.75370943994</v>
      </c>
      <c r="E55" s="94">
        <f t="shared" si="0"/>
        <v>168452.75370943994</v>
      </c>
      <c r="F55" s="146"/>
      <c r="G55" s="71" t="s">
        <v>320</v>
      </c>
      <c r="H55" s="110">
        <f>Depreciation_Basis</f>
        <v>526414.85534199979</v>
      </c>
      <c r="I55" s="157"/>
      <c r="J55" s="146"/>
      <c r="K55" s="148"/>
      <c r="L55" s="158"/>
      <c r="M55" s="128"/>
      <c r="N55" s="273" t="s">
        <v>65</v>
      </c>
      <c r="O55" s="296"/>
      <c r="P55" s="297">
        <f>'Partnership Flip'!C65</f>
        <v>6</v>
      </c>
      <c r="Q55" s="128"/>
      <c r="R55" s="128"/>
      <c r="S55" s="128"/>
      <c r="T55" s="128"/>
      <c r="U55" s="128"/>
      <c r="V55" s="143"/>
      <c r="W55" s="128"/>
      <c r="X55" s="269" t="s">
        <v>265</v>
      </c>
      <c r="Y55" s="310">
        <f>'Customer Analysis'!$D$19</f>
        <v>1194182.2365632909</v>
      </c>
      <c r="Z55" s="310">
        <f>'Customer Analysis'!$W$19</f>
        <v>1249967.1988010497</v>
      </c>
      <c r="AA55" s="307">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101071.65222566396</v>
      </c>
      <c r="E56" s="94">
        <f t="shared" si="0"/>
        <v>101071.65222566396</v>
      </c>
      <c r="F56" s="146"/>
      <c r="G56" s="80" t="s">
        <v>2</v>
      </c>
      <c r="H56" s="112">
        <v>7.0000000000000007E-2</v>
      </c>
      <c r="I56" s="157"/>
      <c r="J56" s="146"/>
      <c r="K56" s="148"/>
      <c r="L56" s="158"/>
      <c r="M56" s="128"/>
      <c r="N56" s="265" t="s">
        <v>281</v>
      </c>
      <c r="O56" s="298"/>
      <c r="P56" s="299" t="str">
        <f>(100*Dashboard!$H$62) &amp;"%  to " &amp;(100*Dashboard!$H$63)&amp;"% Ratio"</f>
        <v>45.04%  to 54.96% Ratio</v>
      </c>
      <c r="Q56" s="128"/>
      <c r="R56" s="128"/>
      <c r="S56" s="128"/>
      <c r="T56" s="128"/>
      <c r="U56" s="128"/>
      <c r="V56" s="143"/>
      <c r="W56" s="128"/>
      <c r="X56" s="303" t="s">
        <v>221</v>
      </c>
      <c r="Y56" s="311">
        <f>'Customer Analysis'!$D$21</f>
        <v>614076.03000000154</v>
      </c>
      <c r="Z56" s="311">
        <f>'Customer Analysis'!$W$21</f>
        <v>558291.06776224286</v>
      </c>
      <c r="AA56" s="312">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60642.991335398372</v>
      </c>
      <c r="E57" s="94">
        <f t="shared" si="0"/>
        <v>60642.991335398372</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60642.991335398372</v>
      </c>
      <c r="E58" s="94">
        <f t="shared" si="0"/>
        <v>60642.991335398372</v>
      </c>
      <c r="F58" s="146"/>
      <c r="G58" s="71" t="s">
        <v>37</v>
      </c>
      <c r="H58" s="200">
        <v>0.99</v>
      </c>
      <c r="I58" s="157"/>
      <c r="J58" s="146"/>
      <c r="K58" s="148"/>
      <c r="L58" s="158"/>
      <c r="M58" s="128"/>
      <c r="N58" s="517" t="s">
        <v>211</v>
      </c>
      <c r="O58" s="518"/>
      <c r="P58" s="525"/>
      <c r="Q58" s="128"/>
      <c r="R58" s="128"/>
      <c r="S58" s="128"/>
      <c r="T58" s="128"/>
      <c r="U58" s="128"/>
      <c r="V58" s="143"/>
      <c r="W58" s="128"/>
      <c r="X58" s="526" t="s">
        <v>313</v>
      </c>
      <c r="Y58" s="527"/>
      <c r="Z58" s="527"/>
      <c r="AA58" s="528"/>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30321.495667699186</v>
      </c>
      <c r="E59" s="94">
        <f t="shared" si="0"/>
        <v>30321.495667699186</v>
      </c>
      <c r="F59" s="146"/>
      <c r="G59" s="71" t="s">
        <v>38</v>
      </c>
      <c r="H59" s="258">
        <f>1-$H$58</f>
        <v>1.0000000000000009E-2</v>
      </c>
      <c r="I59" s="157"/>
      <c r="J59" s="146"/>
      <c r="K59" s="148"/>
      <c r="L59" s="158"/>
      <c r="M59" s="128"/>
      <c r="N59" s="270" t="s">
        <v>212</v>
      </c>
      <c r="O59" s="271"/>
      <c r="P59" s="300" t="str">
        <f>Unstructured!$C$84</f>
        <v>Pass</v>
      </c>
      <c r="Q59" s="128"/>
      <c r="R59" s="128"/>
      <c r="S59" s="128"/>
      <c r="T59" s="128"/>
      <c r="U59" s="128"/>
      <c r="V59" s="143"/>
      <c r="W59" s="128"/>
      <c r="X59" s="275"/>
      <c r="Y59" s="321" t="s">
        <v>173</v>
      </c>
      <c r="Z59" s="321" t="s">
        <v>153</v>
      </c>
      <c r="AA59" s="304"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526414.85534199979</v>
      </c>
      <c r="E60" s="100">
        <f>SUM(E54:E59)</f>
        <v>526414.85534199979</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3">
        <f>Dashboard!H23</f>
        <v>682304.23961795389</v>
      </c>
      <c r="Z60" s="313">
        <f>'Customer Analysis'!$J$34</f>
        <v>400082.43097280426</v>
      </c>
      <c r="AA60" s="314">
        <f>'Customer Analysis'!$M$34</f>
        <v>381778.99701396108</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301" t="s">
        <v>234</v>
      </c>
      <c r="Q61" s="128"/>
      <c r="R61" s="128"/>
      <c r="S61" s="128"/>
      <c r="T61" s="128"/>
      <c r="U61" s="128"/>
      <c r="V61" s="143"/>
      <c r="W61" s="128"/>
      <c r="X61" s="275"/>
      <c r="Y61" s="313"/>
      <c r="Z61" s="296"/>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8">
        <f>'Customer Analysis'!$C$56</f>
        <v>5.6431787998759315E-2</v>
      </c>
      <c r="Z62" s="398">
        <f>'Customer Analysis'!$C$57</f>
        <v>5.9304217664253478E-2</v>
      </c>
      <c r="AA62" s="399">
        <f>'Customer Analysis'!$C$58</f>
        <v>6.8335204700961674E-2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45" t="s">
        <v>428</v>
      </c>
      <c r="C63" s="546"/>
      <c r="D63" s="546"/>
      <c r="E63" s="547"/>
      <c r="F63" s="146"/>
      <c r="G63" s="71" t="s">
        <v>11</v>
      </c>
      <c r="H63" s="258">
        <f>1-Tax_Equity_Investment_Share</f>
        <v>0.54959999999999998</v>
      </c>
      <c r="I63" s="157"/>
      <c r="J63" s="146"/>
      <c r="K63" s="148"/>
      <c r="L63" s="159"/>
      <c r="M63" s="128"/>
      <c r="N63" s="269" t="s">
        <v>82</v>
      </c>
      <c r="O63" s="264"/>
      <c r="P63" s="288">
        <f>E32</f>
        <v>586716.24743999995</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9" t="s">
        <v>421</v>
      </c>
      <c r="C64" s="409"/>
      <c r="D64" s="410" t="s">
        <v>422</v>
      </c>
      <c r="E64" s="420" t="s">
        <v>429</v>
      </c>
      <c r="F64" s="146"/>
      <c r="G64" s="71" t="s">
        <v>447</v>
      </c>
      <c r="H64" s="434">
        <v>5</v>
      </c>
      <c r="I64" s="146"/>
      <c r="J64" s="146"/>
      <c r="K64" s="148"/>
      <c r="L64" s="159"/>
      <c r="M64" s="128"/>
      <c r="N64" s="269" t="s">
        <v>310</v>
      </c>
      <c r="O64" s="264"/>
      <c r="P64" s="288">
        <f>Roof_Upgrade_Cost</f>
        <v>0</v>
      </c>
      <c r="Q64" s="128"/>
      <c r="R64" s="128"/>
      <c r="S64" s="128"/>
      <c r="T64" s="128"/>
      <c r="U64" s="128"/>
      <c r="V64" s="143"/>
      <c r="W64" s="128"/>
      <c r="X64" s="539" t="s">
        <v>469</v>
      </c>
      <c r="Y64" s="539"/>
      <c r="Z64" s="539"/>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5" t="s">
        <v>423</v>
      </c>
      <c r="D65" s="418">
        <v>0.3</v>
      </c>
      <c r="E65" s="424" t="s">
        <v>419</v>
      </c>
      <c r="F65" s="146"/>
      <c r="G65" s="71" t="s">
        <v>355</v>
      </c>
      <c r="H65" s="258">
        <f>Investor_Discount_Rate</f>
        <v>6.5000000000000002E-2</v>
      </c>
      <c r="I65" s="146"/>
      <c r="J65" s="146"/>
      <c r="K65" s="148"/>
      <c r="L65" s="159"/>
      <c r="M65" s="128"/>
      <c r="N65" s="269" t="s">
        <v>58</v>
      </c>
      <c r="O65" s="271"/>
      <c r="P65" s="288">
        <f>E35</f>
        <v>65190.694159999992</v>
      </c>
      <c r="Q65" s="128"/>
      <c r="R65" s="128"/>
      <c r="S65" s="128"/>
      <c r="T65" s="128"/>
      <c r="U65" s="128"/>
      <c r="V65" s="143"/>
      <c r="W65" s="128"/>
      <c r="X65" s="316" t="s">
        <v>282</v>
      </c>
      <c r="Y65" s="317"/>
      <c r="Z65" s="315">
        <f>Y60</f>
        <v>682304.23961795389</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5" t="s">
        <v>424</v>
      </c>
      <c r="D66" s="418">
        <v>0.1</v>
      </c>
      <c r="E66" s="424" t="s">
        <v>309</v>
      </c>
      <c r="F66" s="146"/>
      <c r="G66" s="71" t="s">
        <v>356</v>
      </c>
      <c r="H66" s="201">
        <v>3.5000000000000003E-2</v>
      </c>
      <c r="I66" s="146"/>
      <c r="J66" s="146"/>
      <c r="K66" s="148"/>
      <c r="L66" s="159"/>
      <c r="M66" s="128"/>
      <c r="N66" s="269" t="s">
        <v>59</v>
      </c>
      <c r="O66" s="264"/>
      <c r="P66" s="288">
        <f>SUM(E36:E38)</f>
        <v>30397.298017953955</v>
      </c>
      <c r="Q66" s="128"/>
      <c r="R66" s="128"/>
      <c r="S66" s="128"/>
      <c r="T66" s="128"/>
      <c r="U66" s="128"/>
      <c r="V66" s="143"/>
      <c r="W66" s="128"/>
      <c r="X66" s="318" t="s">
        <v>283</v>
      </c>
      <c r="Y66" s="319"/>
      <c r="Z66" s="314">
        <f>'Customer Analysis'!$C$70</f>
        <v>11558.465950343054</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5" t="s">
        <v>425</v>
      </c>
      <c r="D67" s="418">
        <v>0.1</v>
      </c>
      <c r="E67" s="424"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20"/>
      <c r="Z67" s="312">
        <f>'Customer Analysis'!$C$71</f>
        <v>9.2927658268719071E-2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6" t="s">
        <v>426</v>
      </c>
      <c r="C68" s="467"/>
      <c r="D68" s="421">
        <v>0.1</v>
      </c>
      <c r="E68" s="424" t="s">
        <v>309</v>
      </c>
      <c r="F68" s="146"/>
      <c r="G68" s="146"/>
      <c r="H68" s="146"/>
      <c r="I68" s="157"/>
      <c r="J68" s="438"/>
      <c r="K68" s="148"/>
      <c r="L68" s="159"/>
      <c r="M68" s="128"/>
      <c r="N68" s="270" t="s">
        <v>54</v>
      </c>
      <c r="O68" s="264"/>
      <c r="P68" s="288">
        <f>SUM(P63:P67)</f>
        <v>682304.23961795389</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533" t="s">
        <v>445</v>
      </c>
      <c r="C70" s="534"/>
      <c r="D70" s="534"/>
      <c r="E70" s="535"/>
      <c r="F70" s="146"/>
      <c r="G70" s="146"/>
      <c r="H70" s="160"/>
      <c r="I70" s="146"/>
      <c r="J70" s="146"/>
      <c r="K70" s="148"/>
      <c r="L70" s="159"/>
      <c r="M70" s="128"/>
      <c r="N70" s="272" t="s">
        <v>69</v>
      </c>
      <c r="O70" s="266"/>
      <c r="P70" s="289">
        <f>P51-H25</f>
        <v>-3.2020026242703392E-3</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536"/>
      <c r="C71" s="537"/>
      <c r="D71" s="537"/>
      <c r="E71" s="538"/>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31" t="s">
        <v>442</v>
      </c>
      <c r="C72" s="432">
        <v>0.12</v>
      </c>
      <c r="D72" s="432">
        <v>0.15</v>
      </c>
      <c r="E72" s="432">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7" t="s">
        <v>443</v>
      </c>
      <c r="C73" s="426">
        <f>Aggregate_Project_Cost*C72</f>
        <v>81876.508754154464</v>
      </c>
      <c r="D73" s="426">
        <f>Aggregate_Project_Cost*D72</f>
        <v>102345.63594269309</v>
      </c>
      <c r="E73" s="427">
        <f>Aggregate_Project_Cost*E72</f>
        <v>122814.7631312317</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8" t="s">
        <v>444</v>
      </c>
      <c r="C74" s="429"/>
      <c r="D74" s="424" t="s">
        <v>311</v>
      </c>
      <c r="E74" s="430">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8"/>
      <c r="B78" s="448"/>
      <c r="C78" s="448"/>
      <c r="D78" s="448"/>
      <c r="E78" s="448"/>
      <c r="F78" s="448"/>
      <c r="G78" s="448"/>
      <c r="H78" s="448"/>
      <c r="I78" s="448"/>
      <c r="J78" s="448"/>
      <c r="K78" s="448"/>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9"/>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7"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43" t="s">
        <v>457</v>
      </c>
      <c r="C81" s="444" t="str">
        <f>"Solar System size is set to "&amp;TEXT(Size_of_System_in_W_DC,"0,0")&amp;" W(dc), with an AC/DC Conversion Ratio of "&amp;TEXT($E$30*100,0)&amp;"%."</f>
        <v>Solar System size is set to 455,200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43" t="s">
        <v>457</v>
      </c>
      <c r="C82" s="444" t="str">
        <f>"Solar Production is based upon a manual entry of "&amp;TEXT(Manual_Entry_Estimated_P50_Production,"0,0")&amp;" kWhs per kW(dc)."</f>
        <v>Solar Production is based upon a manual entry of 1,349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5" t="s">
        <v>457</v>
      </c>
      <c r="C83" s="446" t="str">
        <f>"P50 Solar Production for the 1st Year is estimated to be "&amp;TEXT(P50_Production_1st_Yr,"#,#")&amp;" kWhs."</f>
        <v>P50 Solar Production for the 1st Year is estimated to be 614,076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43" t="s">
        <v>457</v>
      </c>
      <c r="C84" s="446"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43" t="s">
        <v>457</v>
      </c>
      <c r="C85" s="446" t="str">
        <f>"Development Margins are set to $"&amp;TEXT(D21,"0.00")&amp;" per W(dc), for a total Development Margin of $"&amp;TEXT(ROUNDUP(E35,0),"0,0")&amp;"."</f>
        <v>Development Margins are set to $0.14 per W(dc), for a total Development Margin of $65,191.</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43" t="s">
        <v>457</v>
      </c>
      <c r="C86" s="446" t="str">
        <f>"Constsruction Costs are set to $"&amp;TEXT(D18,"0.00")&amp;" per W(dc), for a total build cost of $"&amp;TEXT(ROUNDUP(Aggregate_Construction_Cost,0),"0,0")&amp;", excluding Interconnection Costs and Development Costs."</f>
        <v>Constsruction Costs are set to $1.29 per W(dc), for a total build cost of $586,717,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43" t="s">
        <v>457</v>
      </c>
      <c r="C87" s="446"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43" t="s">
        <v>457</v>
      </c>
      <c r="C88" s="446"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43" t="s">
        <v>457</v>
      </c>
      <c r="C89" s="446"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43" t="s">
        <v>457</v>
      </c>
      <c r="C90" s="446"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43" t="s">
        <v>457</v>
      </c>
      <c r="C91" s="446"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43" t="s">
        <v>457</v>
      </c>
      <c r="C92" s="446"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43" t="s">
        <v>457</v>
      </c>
      <c r="C93" s="446"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43" t="s">
        <v>457</v>
      </c>
      <c r="C94" s="446"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43" t="s">
        <v>457</v>
      </c>
      <c r="C95" s="446"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43" t="s">
        <v>457</v>
      </c>
      <c r="C96" s="446"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43" t="s">
        <v>457</v>
      </c>
      <c r="C97" s="446"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$682,304. That termination value is $102,346.</v>
      </c>
      <c r="D97" s="154"/>
      <c r="E97" s="154"/>
      <c r="F97" s="154"/>
      <c r="G97" s="154"/>
      <c r="H97" s="438"/>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9"/>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40"/>
      <c r="C99" s="438"/>
      <c r="D99" s="438"/>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8"/>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8"/>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8"/>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8"/>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8"/>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8"/>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5"/>
      <c r="N130" s="1"/>
      <c r="O130"/>
      <c r="P130"/>
      <c r="Q130"/>
      <c r="R130"/>
      <c r="S130"/>
      <c r="T130" s="2"/>
      <c r="U130" s="2"/>
      <c r="V130" s="2"/>
      <c r="W130" s="2"/>
      <c r="X130" s="2"/>
      <c r="Y130" s="2"/>
      <c r="Z130" s="2"/>
      <c r="AA130" s="2"/>
      <c r="AB130" s="2"/>
      <c r="AC130" s="2"/>
    </row>
    <row r="131" spans="4:29" ht="14" x14ac:dyDescent="0.2">
      <c r="D131"/>
      <c r="E131"/>
      <c r="F131"/>
      <c r="G131"/>
      <c r="H131"/>
      <c r="I131"/>
      <c r="M131" s="416"/>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541" t="s">
        <v>470</v>
      </c>
      <c r="O140" s="541"/>
      <c r="P140" s="2"/>
      <c r="Q140" s="2"/>
      <c r="R140" s="2"/>
      <c r="S140" s="2"/>
      <c r="T140" s="2"/>
      <c r="U140" s="2"/>
      <c r="V140" s="2"/>
      <c r="W140" s="2"/>
      <c r="X140" s="2"/>
      <c r="Y140" s="2"/>
      <c r="Z140" s="2"/>
      <c r="AA140" s="2"/>
      <c r="AB140" s="2"/>
    </row>
    <row r="141" spans="4:29" ht="16" x14ac:dyDescent="0.2">
      <c r="H141"/>
      <c r="I141"/>
      <c r="J141" s="542" t="s">
        <v>199</v>
      </c>
      <c r="K141" s="442" t="s">
        <v>314</v>
      </c>
      <c r="L141"/>
      <c r="M141"/>
      <c r="N141" s="541"/>
      <c r="O141" s="541"/>
      <c r="P141" s="2"/>
      <c r="Q141" s="2"/>
      <c r="R141" s="2"/>
      <c r="S141" s="2"/>
      <c r="T141" s="2"/>
      <c r="U141" s="2"/>
      <c r="V141" s="2"/>
      <c r="W141" s="2"/>
      <c r="X141" s="2"/>
      <c r="Y141" s="2"/>
      <c r="Z141" s="2"/>
      <c r="AA141" s="2"/>
    </row>
    <row r="142" spans="4:29" ht="16" x14ac:dyDescent="0.2">
      <c r="H142"/>
      <c r="I142"/>
      <c r="J142" s="543"/>
      <c r="K142" s="122" t="s">
        <v>245</v>
      </c>
      <c r="M142" s="14"/>
      <c r="N142" s="541"/>
      <c r="O142" s="541"/>
      <c r="P142" s="2"/>
      <c r="Q142" s="2"/>
      <c r="R142" s="2"/>
      <c r="S142" s="2"/>
      <c r="T142" s="2"/>
      <c r="U142" s="2"/>
      <c r="V142" s="2"/>
      <c r="W142" s="2"/>
      <c r="X142" s="2"/>
      <c r="Y142" s="2"/>
      <c r="Z142" s="2"/>
      <c r="AA142" s="2"/>
    </row>
    <row r="143" spans="4:29" ht="15" thickBot="1" x14ac:dyDescent="0.25">
      <c r="H143"/>
      <c r="I143"/>
      <c r="J143" s="544"/>
      <c r="K143" s="172" t="s">
        <v>219</v>
      </c>
      <c r="M143"/>
      <c r="N143" s="541"/>
      <c r="O143" s="541"/>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529"/>
      <c r="L145" s="530"/>
      <c r="P145" s="2"/>
      <c r="Q145" s="2"/>
      <c r="R145" s="2"/>
      <c r="S145" s="2"/>
      <c r="T145" s="2"/>
      <c r="U145" s="2"/>
      <c r="V145" s="2"/>
      <c r="W145" s="2"/>
      <c r="X145" s="2"/>
      <c r="Y145" s="2"/>
      <c r="Z145" s="2"/>
    </row>
    <row r="146" spans="1:27" ht="17" thickBot="1" x14ac:dyDescent="0.25">
      <c r="H146"/>
      <c r="I146"/>
      <c r="J146" s="176" t="s">
        <v>216</v>
      </c>
      <c r="K146" s="531"/>
      <c r="L146" s="532"/>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K145:L145"/>
    <mergeCell ref="K146:L146"/>
    <mergeCell ref="B70:E71"/>
    <mergeCell ref="X64:Z64"/>
    <mergeCell ref="R46:T48"/>
    <mergeCell ref="N140:O143"/>
    <mergeCell ref="J141:J143"/>
    <mergeCell ref="X58:AA58"/>
    <mergeCell ref="B63:E63"/>
    <mergeCell ref="G51:H51"/>
    <mergeCell ref="B31:E31"/>
    <mergeCell ref="B41:E41"/>
    <mergeCell ref="B49:E49"/>
    <mergeCell ref="G33:H33"/>
    <mergeCell ref="N58:P58"/>
    <mergeCell ref="N48:P48"/>
    <mergeCell ref="H10:I10"/>
    <mergeCell ref="H11:I11"/>
    <mergeCell ref="P3:X3"/>
    <mergeCell ref="P4:X10"/>
    <mergeCell ref="X48:AA48"/>
    <mergeCell ref="N21:P21"/>
    <mergeCell ref="N29:P29"/>
    <mergeCell ref="N16:P16"/>
    <mergeCell ref="H6:I8"/>
    <mergeCell ref="L5:N10"/>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03370FE6-8F2F-5148-83AC-7848A270C986}">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E47 D19:D20 D22"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zoomScaleNormal="100" workbookViewId="0">
      <selection activeCell="M75" sqref="H75:M75"/>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62" t="s">
        <v>0</v>
      </c>
      <c r="P4" s="563"/>
      <c r="Q4" s="563"/>
      <c r="R4" s="563"/>
      <c r="S4" s="563"/>
      <c r="T4" s="563"/>
      <c r="U4" s="563"/>
      <c r="V4" s="563"/>
      <c r="W4" s="563"/>
      <c r="X4" s="563"/>
      <c r="Y4" s="563"/>
      <c r="Z4" s="563"/>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64" t="s">
        <v>134</v>
      </c>
      <c r="P5" s="565"/>
      <c r="Q5" s="565"/>
      <c r="R5" s="565"/>
      <c r="S5" s="565"/>
      <c r="T5" s="565"/>
      <c r="U5" s="565"/>
      <c r="V5" s="565"/>
      <c r="W5" s="565"/>
      <c r="X5" s="565"/>
      <c r="Y5" s="565"/>
      <c r="Z5" s="566"/>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67"/>
      <c r="P6" s="568"/>
      <c r="Q6" s="568"/>
      <c r="R6" s="568"/>
      <c r="S6" s="568"/>
      <c r="T6" s="568"/>
      <c r="U6" s="568"/>
      <c r="V6" s="568"/>
      <c r="W6" s="568"/>
      <c r="X6" s="568"/>
      <c r="Y6" s="568"/>
      <c r="Z6" s="569"/>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3" t="s">
        <v>64</v>
      </c>
      <c r="I7" s="473"/>
      <c r="J7" s="473"/>
      <c r="K7" s="473"/>
      <c r="L7" s="473"/>
      <c r="N7" s="62"/>
      <c r="O7" s="567"/>
      <c r="P7" s="568"/>
      <c r="Q7" s="568"/>
      <c r="R7" s="568"/>
      <c r="S7" s="568"/>
      <c r="T7" s="568"/>
      <c r="U7" s="568"/>
      <c r="V7" s="568"/>
      <c r="W7" s="568"/>
      <c r="X7" s="568"/>
      <c r="Y7" s="568"/>
      <c r="Z7" s="569"/>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3"/>
      <c r="I8" s="473"/>
      <c r="J8" s="473"/>
      <c r="K8" s="473"/>
      <c r="L8" s="473"/>
      <c r="M8" s="3"/>
      <c r="O8" s="567"/>
      <c r="P8" s="568"/>
      <c r="Q8" s="568"/>
      <c r="R8" s="568"/>
      <c r="S8" s="568"/>
      <c r="T8" s="568"/>
      <c r="U8" s="568"/>
      <c r="V8" s="568"/>
      <c r="W8" s="568"/>
      <c r="X8" s="568"/>
      <c r="Y8" s="568"/>
      <c r="Z8" s="569"/>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67"/>
      <c r="P9" s="568"/>
      <c r="Q9" s="568"/>
      <c r="R9" s="568"/>
      <c r="S9" s="568"/>
      <c r="T9" s="568"/>
      <c r="U9" s="568"/>
      <c r="V9" s="568"/>
      <c r="W9" s="568"/>
      <c r="X9" s="568"/>
      <c r="Y9" s="568"/>
      <c r="Z9" s="569"/>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486" t="s">
        <v>214</v>
      </c>
      <c r="I10" s="487"/>
      <c r="J10" s="580"/>
      <c r="K10" s="581"/>
      <c r="L10" s="3"/>
      <c r="M10" s="3"/>
      <c r="O10" s="567"/>
      <c r="P10" s="568"/>
      <c r="Q10" s="568"/>
      <c r="R10" s="568"/>
      <c r="S10" s="568"/>
      <c r="T10" s="568"/>
      <c r="U10" s="568"/>
      <c r="V10" s="568"/>
      <c r="W10" s="568"/>
      <c r="X10" s="568"/>
      <c r="Y10" s="568"/>
      <c r="Z10" s="569"/>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57" t="s">
        <v>216</v>
      </c>
      <c r="I11" s="558"/>
      <c r="J11" s="582"/>
      <c r="K11" s="583"/>
      <c r="L11" s="3"/>
      <c r="O11" s="570"/>
      <c r="P11" s="571"/>
      <c r="Q11" s="571"/>
      <c r="R11" s="571"/>
      <c r="S11" s="571"/>
      <c r="T11" s="571"/>
      <c r="U11" s="571"/>
      <c r="V11" s="571"/>
      <c r="W11" s="571"/>
      <c r="X11" s="571"/>
      <c r="Y11" s="571"/>
      <c r="Z11" s="572"/>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77" t="s">
        <v>284</v>
      </c>
      <c r="C16" s="578"/>
      <c r="D16" s="578"/>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30" t="s">
        <v>32</v>
      </c>
      <c r="C17" s="331">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2" t="s">
        <v>371</v>
      </c>
      <c r="C18" s="192"/>
      <c r="D18" s="333"/>
      <c r="E18" s="333"/>
      <c r="F18" s="333"/>
      <c r="G18" s="333"/>
      <c r="H18" s="333"/>
      <c r="I18" s="333"/>
      <c r="J18" s="333"/>
      <c r="K18" s="333"/>
      <c r="L18" s="333"/>
      <c r="M18" s="333"/>
      <c r="N18" s="333"/>
      <c r="O18" s="333"/>
      <c r="P18" s="333"/>
      <c r="Q18" s="333"/>
      <c r="R18" s="333"/>
      <c r="S18" s="333"/>
      <c r="T18" s="333"/>
      <c r="U18" s="333"/>
      <c r="V18" s="333"/>
      <c r="W18" s="333"/>
      <c r="X18" s="333"/>
      <c r="Y18" s="333"/>
      <c r="Z18" s="333"/>
      <c r="AA18" s="333"/>
      <c r="AB18" s="333"/>
      <c r="AC18" s="333"/>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5">
        <f>IF(AND(SRECs_Applicable?="Yes",D17&lt;=SREC_Term_Yrs),SREC_Price,0)</f>
        <v>0</v>
      </c>
      <c r="E20" s="325">
        <f t="shared" ref="E20:V20" si="4">IF(AND(SRECs_Applicable?="Yes",E17&lt;=SREC_Term_Yrs),D20,0)*(1+SREC_Increase_Decrease)</f>
        <v>0</v>
      </c>
      <c r="F20" s="325">
        <f t="shared" si="4"/>
        <v>0</v>
      </c>
      <c r="G20" s="325">
        <f t="shared" si="4"/>
        <v>0</v>
      </c>
      <c r="H20" s="325">
        <f t="shared" si="4"/>
        <v>0</v>
      </c>
      <c r="I20" s="325">
        <f t="shared" si="4"/>
        <v>0</v>
      </c>
      <c r="J20" s="325">
        <f t="shared" si="4"/>
        <v>0</v>
      </c>
      <c r="K20" s="325">
        <f t="shared" si="4"/>
        <v>0</v>
      </c>
      <c r="L20" s="325">
        <f t="shared" si="4"/>
        <v>0</v>
      </c>
      <c r="M20" s="325">
        <f t="shared" si="4"/>
        <v>0</v>
      </c>
      <c r="N20" s="325">
        <f t="shared" si="4"/>
        <v>0</v>
      </c>
      <c r="O20" s="325">
        <f t="shared" si="4"/>
        <v>0</v>
      </c>
      <c r="P20" s="325">
        <f t="shared" si="4"/>
        <v>0</v>
      </c>
      <c r="Q20" s="325">
        <f t="shared" si="4"/>
        <v>0</v>
      </c>
      <c r="R20" s="325">
        <f t="shared" si="4"/>
        <v>0</v>
      </c>
      <c r="S20" s="325">
        <f t="shared" si="4"/>
        <v>0</v>
      </c>
      <c r="T20" s="325">
        <f t="shared" si="4"/>
        <v>0</v>
      </c>
      <c r="U20" s="325">
        <f t="shared" si="4"/>
        <v>0</v>
      </c>
      <c r="V20" s="325">
        <f t="shared" si="4"/>
        <v>0</v>
      </c>
      <c r="W20" s="325">
        <f t="shared" ref="W20:AB20" si="5">IF(AND(SRECs_Applicable?="Yes",W17&lt;=SREC_Term_Yrs),V20,0)*(1+SREC_Increase_Decrease)</f>
        <v>0</v>
      </c>
      <c r="X20" s="325">
        <f t="shared" si="5"/>
        <v>0</v>
      </c>
      <c r="Y20" s="325">
        <f t="shared" si="5"/>
        <v>0</v>
      </c>
      <c r="Z20" s="325">
        <f t="shared" si="5"/>
        <v>0</v>
      </c>
      <c r="AA20" s="325">
        <f t="shared" si="5"/>
        <v>0</v>
      </c>
      <c r="AB20" s="325">
        <f t="shared" si="5"/>
        <v>0</v>
      </c>
      <c r="AC20" s="325"/>
    </row>
    <row r="21" spans="1:29" ht="14" x14ac:dyDescent="0.2">
      <c r="A21" s="3"/>
      <c r="B21" s="210" t="s">
        <v>241</v>
      </c>
      <c r="C21" s="229"/>
      <c r="D21" s="250">
        <f>P50_Production_1st_Yr</f>
        <v>614076.03000000154</v>
      </c>
      <c r="E21" s="250">
        <f t="shared" ref="E21:V21" si="6">D21*(1-Panel_Degradation_Rate)</f>
        <v>611005.64985000156</v>
      </c>
      <c r="F21" s="250">
        <f t="shared" si="6"/>
        <v>607950.62160075153</v>
      </c>
      <c r="G21" s="250">
        <f t="shared" si="6"/>
        <v>604910.86849274777</v>
      </c>
      <c r="H21" s="250">
        <f t="shared" si="6"/>
        <v>601886.31415028404</v>
      </c>
      <c r="I21" s="250">
        <f t="shared" si="6"/>
        <v>598876.88257953257</v>
      </c>
      <c r="J21" s="250">
        <f t="shared" si="6"/>
        <v>595882.49816663493</v>
      </c>
      <c r="K21" s="250">
        <f t="shared" si="6"/>
        <v>592903.08567580173</v>
      </c>
      <c r="L21" s="250">
        <f t="shared" si="6"/>
        <v>589938.57024742267</v>
      </c>
      <c r="M21" s="250">
        <f t="shared" si="6"/>
        <v>586988.87739618553</v>
      </c>
      <c r="N21" s="250">
        <f t="shared" si="6"/>
        <v>584053.93300920457</v>
      </c>
      <c r="O21" s="250">
        <f t="shared" si="6"/>
        <v>581133.66334415856</v>
      </c>
      <c r="P21" s="250">
        <f t="shared" si="6"/>
        <v>578227.99502743781</v>
      </c>
      <c r="Q21" s="250">
        <f t="shared" si="6"/>
        <v>575336.85505230061</v>
      </c>
      <c r="R21" s="250">
        <f t="shared" si="6"/>
        <v>572460.17077703914</v>
      </c>
      <c r="S21" s="250">
        <f t="shared" si="6"/>
        <v>569597.86992315389</v>
      </c>
      <c r="T21" s="250">
        <f t="shared" si="6"/>
        <v>566749.88057353813</v>
      </c>
      <c r="U21" s="250">
        <f t="shared" si="6"/>
        <v>563916.13117067039</v>
      </c>
      <c r="V21" s="250">
        <f t="shared" si="6"/>
        <v>561096.55051481701</v>
      </c>
      <c r="W21" s="250">
        <f t="shared" ref="W21:AB21" si="7">V21*(1-Panel_Degradation_Rate)</f>
        <v>558291.06776224286</v>
      </c>
      <c r="X21" s="250">
        <f t="shared" si="7"/>
        <v>555499.61242343159</v>
      </c>
      <c r="Y21" s="250">
        <f t="shared" si="7"/>
        <v>552722.11436131445</v>
      </c>
      <c r="Z21" s="250">
        <f t="shared" si="7"/>
        <v>549958.5037895079</v>
      </c>
      <c r="AA21" s="250">
        <f t="shared" si="7"/>
        <v>547208.71127056039</v>
      </c>
      <c r="AB21" s="250">
        <f t="shared" si="7"/>
        <v>544472.66771420755</v>
      </c>
      <c r="AC21" s="250"/>
    </row>
    <row r="22" spans="1:29" ht="14" x14ac:dyDescent="0.2">
      <c r="A22" s="3"/>
      <c r="B22" s="210" t="s">
        <v>455</v>
      </c>
      <c r="C22" s="229"/>
      <c r="D22" s="325">
        <f>PTC_Starting_Rate_Dollars_per_MWh</f>
        <v>26</v>
      </c>
      <c r="E22" s="325">
        <f t="shared" ref="E22:AB22" si="8">IF(E17&lt;=PTC_Term_in_Years,D22*(1+PTC_Annual_Inflator_Rate_Percent),0)</f>
        <v>26.52</v>
      </c>
      <c r="F22" s="325">
        <f t="shared" si="8"/>
        <v>27.0504</v>
      </c>
      <c r="G22" s="325">
        <f t="shared" si="8"/>
        <v>27.591408000000001</v>
      </c>
      <c r="H22" s="325">
        <f t="shared" si="8"/>
        <v>28.143236160000001</v>
      </c>
      <c r="I22" s="325">
        <f t="shared" si="8"/>
        <v>28.706100883200001</v>
      </c>
      <c r="J22" s="325">
        <f t="shared" si="8"/>
        <v>29.280222900864</v>
      </c>
      <c r="K22" s="325">
        <f t="shared" si="8"/>
        <v>29.86582735888128</v>
      </c>
      <c r="L22" s="325">
        <f t="shared" si="8"/>
        <v>30.463143906058907</v>
      </c>
      <c r="M22" s="325">
        <f t="shared" si="8"/>
        <v>31.072406784180085</v>
      </c>
      <c r="N22" s="325">
        <f t="shared" si="8"/>
        <v>0</v>
      </c>
      <c r="O22" s="325">
        <f t="shared" si="8"/>
        <v>0</v>
      </c>
      <c r="P22" s="325">
        <f t="shared" si="8"/>
        <v>0</v>
      </c>
      <c r="Q22" s="325">
        <f t="shared" si="8"/>
        <v>0</v>
      </c>
      <c r="R22" s="325">
        <f t="shared" si="8"/>
        <v>0</v>
      </c>
      <c r="S22" s="325">
        <f t="shared" si="8"/>
        <v>0</v>
      </c>
      <c r="T22" s="325">
        <f t="shared" si="8"/>
        <v>0</v>
      </c>
      <c r="U22" s="325">
        <f t="shared" si="8"/>
        <v>0</v>
      </c>
      <c r="V22" s="325">
        <f t="shared" si="8"/>
        <v>0</v>
      </c>
      <c r="W22" s="325">
        <f t="shared" si="8"/>
        <v>0</v>
      </c>
      <c r="X22" s="325">
        <f t="shared" si="8"/>
        <v>0</v>
      </c>
      <c r="Y22" s="325">
        <f t="shared" si="8"/>
        <v>0</v>
      </c>
      <c r="Z22" s="325">
        <f t="shared" si="8"/>
        <v>0</v>
      </c>
      <c r="AA22" s="325">
        <f t="shared" si="8"/>
        <v>0</v>
      </c>
      <c r="AB22" s="325">
        <f t="shared" si="8"/>
        <v>0</v>
      </c>
      <c r="AC22" s="250"/>
    </row>
    <row r="23" spans="1:29" ht="14" x14ac:dyDescent="0.2">
      <c r="A23" s="3"/>
      <c r="B23" s="210" t="s">
        <v>252</v>
      </c>
      <c r="C23" s="229"/>
      <c r="D23" s="250">
        <f t="shared" ref="D23:AB23" si="9">IF(D17&lt;=SREC_Term_Yrs,D21/SREC_Size_kWh_per_SREC,0)</f>
        <v>614.07603000000154</v>
      </c>
      <c r="E23" s="250">
        <f t="shared" si="9"/>
        <v>611.00564985000153</v>
      </c>
      <c r="F23" s="250">
        <f t="shared" si="9"/>
        <v>607.95062160075156</v>
      </c>
      <c r="G23" s="250">
        <f t="shared" si="9"/>
        <v>604.9108684927478</v>
      </c>
      <c r="H23" s="250">
        <f t="shared" si="9"/>
        <v>601.88631415028408</v>
      </c>
      <c r="I23" s="250">
        <f t="shared" si="9"/>
        <v>598.87688257953255</v>
      </c>
      <c r="J23" s="250">
        <f t="shared" si="9"/>
        <v>595.88249816663495</v>
      </c>
      <c r="K23" s="250">
        <f t="shared" si="9"/>
        <v>592.90308567580178</v>
      </c>
      <c r="L23" s="250">
        <f t="shared" si="9"/>
        <v>589.93857024742272</v>
      </c>
      <c r="M23" s="250">
        <f t="shared" si="9"/>
        <v>586.98887739618556</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44846.942813964553</v>
      </c>
      <c r="E26" s="228">
        <f t="shared" si="10"/>
        <v>45738.275802392098</v>
      </c>
      <c r="F26" s="228">
        <f t="shared" si="10"/>
        <v>46647.324033964636</v>
      </c>
      <c r="G26" s="228">
        <f t="shared" si="10"/>
        <v>47574.439599139674</v>
      </c>
      <c r="H26" s="228">
        <f t="shared" si="10"/>
        <v>48519.98158617258</v>
      </c>
      <c r="I26" s="228">
        <f t="shared" si="10"/>
        <v>49484.316220197754</v>
      </c>
      <c r="J26" s="228">
        <f t="shared" si="10"/>
        <v>50467.817005074176</v>
      </c>
      <c r="K26" s="228">
        <f t="shared" si="10"/>
        <v>51470.864868050019</v>
      </c>
      <c r="L26" s="228">
        <f t="shared" si="10"/>
        <v>52493.848307302505</v>
      </c>
      <c r="M26" s="228">
        <f t="shared" si="10"/>
        <v>53537.163542410133</v>
      </c>
      <c r="N26" s="228">
        <f t="shared" si="10"/>
        <v>54601.214667815526</v>
      </c>
      <c r="O26" s="228">
        <f t="shared" si="10"/>
        <v>55686.413809338352</v>
      </c>
      <c r="P26" s="228">
        <f t="shared" si="10"/>
        <v>56793.181283798949</v>
      </c>
      <c r="Q26" s="228">
        <f t="shared" si="10"/>
        <v>57921.945761814452</v>
      </c>
      <c r="R26" s="228">
        <f t="shared" si="10"/>
        <v>59073.144433830515</v>
      </c>
      <c r="S26" s="228">
        <f t="shared" si="10"/>
        <v>60247.223179452885</v>
      </c>
      <c r="T26" s="228">
        <f t="shared" si="10"/>
        <v>61444.636740144502</v>
      </c>
      <c r="U26" s="228">
        <f t="shared" si="10"/>
        <v>62665.848895354866</v>
      </c>
      <c r="V26" s="228">
        <f t="shared" si="10"/>
        <v>63911.332642150031</v>
      </c>
      <c r="W26" s="228">
        <f t="shared" si="10"/>
        <v>65181.570378412747</v>
      </c>
      <c r="X26" s="228">
        <f t="shared" si="10"/>
        <v>66477.05408968369</v>
      </c>
      <c r="Y26" s="228">
        <f t="shared" si="10"/>
        <v>67798.285539716147</v>
      </c>
      <c r="Z26" s="228">
        <f t="shared" si="10"/>
        <v>69145.776464818002</v>
      </c>
      <c r="AA26" s="228">
        <f t="shared" si="10"/>
        <v>70520.048772056252</v>
      </c>
      <c r="AB26" s="228">
        <f t="shared" si="10"/>
        <v>71921.634741400863</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44846.942813964553</v>
      </c>
      <c r="E28" s="183">
        <f t="shared" ref="E28:V28" si="12">SUM(E26:E27)</f>
        <v>45738.275802392098</v>
      </c>
      <c r="F28" s="183">
        <f t="shared" si="12"/>
        <v>46647.324033964636</v>
      </c>
      <c r="G28" s="183">
        <f t="shared" si="12"/>
        <v>47574.439599139674</v>
      </c>
      <c r="H28" s="183">
        <f t="shared" si="12"/>
        <v>48519.98158617258</v>
      </c>
      <c r="I28" s="183">
        <f t="shared" si="12"/>
        <v>49484.316220197754</v>
      </c>
      <c r="J28" s="183">
        <f t="shared" si="12"/>
        <v>50467.817005074176</v>
      </c>
      <c r="K28" s="183">
        <f t="shared" si="12"/>
        <v>51470.864868050019</v>
      </c>
      <c r="L28" s="183">
        <f t="shared" si="12"/>
        <v>52493.848307302505</v>
      </c>
      <c r="M28" s="183">
        <f t="shared" si="12"/>
        <v>53537.163542410133</v>
      </c>
      <c r="N28" s="183">
        <f t="shared" si="12"/>
        <v>54601.214667815526</v>
      </c>
      <c r="O28" s="183">
        <f t="shared" si="12"/>
        <v>55686.413809338352</v>
      </c>
      <c r="P28" s="183">
        <f t="shared" si="12"/>
        <v>56793.181283798949</v>
      </c>
      <c r="Q28" s="183">
        <f t="shared" si="12"/>
        <v>57921.945761814452</v>
      </c>
      <c r="R28" s="183">
        <f t="shared" si="12"/>
        <v>59073.144433830515</v>
      </c>
      <c r="S28" s="183">
        <f t="shared" si="12"/>
        <v>60247.223179452885</v>
      </c>
      <c r="T28" s="183">
        <f t="shared" si="12"/>
        <v>61444.636740144502</v>
      </c>
      <c r="U28" s="183">
        <f t="shared" si="12"/>
        <v>62665.848895354866</v>
      </c>
      <c r="V28" s="183">
        <f t="shared" si="12"/>
        <v>63911.332642150031</v>
      </c>
      <c r="W28" s="183">
        <f t="shared" ref="W28:AB28" si="13">SUM(W26:W27)</f>
        <v>65181.570378412747</v>
      </c>
      <c r="X28" s="183">
        <f t="shared" si="13"/>
        <v>66477.05408968369</v>
      </c>
      <c r="Y28" s="183">
        <f t="shared" si="13"/>
        <v>67798.285539716147</v>
      </c>
      <c r="Z28" s="183">
        <f t="shared" si="13"/>
        <v>69145.776464818002</v>
      </c>
      <c r="AA28" s="183">
        <f t="shared" si="13"/>
        <v>70520.048772056252</v>
      </c>
      <c r="AB28" s="183">
        <f t="shared" si="13"/>
        <v>71921.634741400863</v>
      </c>
      <c r="AC28" s="183"/>
    </row>
    <row r="29" spans="1:29" ht="15" thickBot="1" x14ac:dyDescent="0.25">
      <c r="A29" s="3"/>
      <c r="B29" s="216" t="s">
        <v>197</v>
      </c>
      <c r="C29" s="253"/>
      <c r="D29" s="247">
        <f>State_Sales_Tax*Unstructured!D28</f>
        <v>3139.2859969775191</v>
      </c>
      <c r="E29" s="247">
        <f>State_Sales_Tax*Unstructured!E28</f>
        <v>3201.6793061674471</v>
      </c>
      <c r="F29" s="247">
        <f>State_Sales_Tax*Unstructured!F28</f>
        <v>3265.3126823775247</v>
      </c>
      <c r="G29" s="247">
        <f>State_Sales_Tax*Unstructured!G28</f>
        <v>3330.2107719397777</v>
      </c>
      <c r="H29" s="247">
        <f>State_Sales_Tax*Unstructured!H28</f>
        <v>3396.3987110320809</v>
      </c>
      <c r="I29" s="247">
        <f>State_Sales_Tax*Unstructured!I28</f>
        <v>3463.9021354138431</v>
      </c>
      <c r="J29" s="247">
        <f>State_Sales_Tax*Unstructured!J28</f>
        <v>3532.7471903551927</v>
      </c>
      <c r="K29" s="247">
        <f>State_Sales_Tax*Unstructured!K28</f>
        <v>3602.9605407635017</v>
      </c>
      <c r="L29" s="247">
        <f>State_Sales_Tax*Unstructured!L28</f>
        <v>3674.5693815111758</v>
      </c>
      <c r="M29" s="247">
        <f>State_Sales_Tax*Unstructured!M28</f>
        <v>3747.6014479687096</v>
      </c>
      <c r="N29" s="247">
        <f>State_Sales_Tax*Unstructured!N28</f>
        <v>3822.0850267470873</v>
      </c>
      <c r="O29" s="247">
        <f>State_Sales_Tax*Unstructured!O28</f>
        <v>3898.0489666536851</v>
      </c>
      <c r="P29" s="247">
        <f>State_Sales_Tax*Unstructured!P28</f>
        <v>3975.5226898659266</v>
      </c>
      <c r="Q29" s="247">
        <f>State_Sales_Tax*Unstructured!Q28</f>
        <v>4054.5362033270121</v>
      </c>
      <c r="R29" s="247">
        <f>State_Sales_Tax*Unstructured!R28</f>
        <v>4135.1201103681369</v>
      </c>
      <c r="S29" s="247">
        <f>State_Sales_Tax*Unstructured!S28</f>
        <v>4217.305622561702</v>
      </c>
      <c r="T29" s="247">
        <f>State_Sales_Tax*Unstructured!T28</f>
        <v>4301.1245718101154</v>
      </c>
      <c r="U29" s="247">
        <f>State_Sales_Tax*Unstructured!U28</f>
        <v>4386.609422674841</v>
      </c>
      <c r="V29" s="247">
        <f>State_Sales_Tax*Unstructured!V28</f>
        <v>4473.7932849505023</v>
      </c>
      <c r="W29" s="247">
        <f>State_Sales_Tax*Unstructured!W28</f>
        <v>4562.709926488893</v>
      </c>
      <c r="X29" s="247">
        <f>State_Sales_Tax*Unstructured!X28</f>
        <v>4653.3937862778585</v>
      </c>
      <c r="Y29" s="247">
        <f>State_Sales_Tax*Unstructured!Y28</f>
        <v>4745.8799877801312</v>
      </c>
      <c r="Z29" s="247">
        <f>State_Sales_Tax*Unstructured!Z28</f>
        <v>4840.204352537261</v>
      </c>
      <c r="AA29" s="247">
        <f>State_Sales_Tax*Unstructured!AA28</f>
        <v>4936.403414043938</v>
      </c>
      <c r="AB29" s="247">
        <f>State_Sales_Tax*Unstructured!AB28</f>
        <v>5034.514431898061</v>
      </c>
      <c r="AC29" s="247"/>
    </row>
    <row r="30" spans="1:29" ht="15" thickTop="1" x14ac:dyDescent="0.2">
      <c r="A30" s="3"/>
      <c r="B30" s="233" t="s">
        <v>143</v>
      </c>
      <c r="C30" s="253"/>
      <c r="D30" s="254">
        <f>SUM(D28-D29)</f>
        <v>41707.656816987037</v>
      </c>
      <c r="E30" s="254">
        <f t="shared" ref="E30:V30" si="14">SUM(E28-E29)</f>
        <v>42536.596496224651</v>
      </c>
      <c r="F30" s="254">
        <f t="shared" si="14"/>
        <v>43382.011351587113</v>
      </c>
      <c r="G30" s="254">
        <f t="shared" si="14"/>
        <v>44244.228827199899</v>
      </c>
      <c r="H30" s="254">
        <f t="shared" si="14"/>
        <v>45123.582875140499</v>
      </c>
      <c r="I30" s="254">
        <f t="shared" si="14"/>
        <v>46020.414084783908</v>
      </c>
      <c r="J30" s="254">
        <f t="shared" si="14"/>
        <v>46935.069814718983</v>
      </c>
      <c r="K30" s="254">
        <f t="shared" si="14"/>
        <v>47867.904327286516</v>
      </c>
      <c r="L30" s="254">
        <f t="shared" si="14"/>
        <v>48819.278925791332</v>
      </c>
      <c r="M30" s="254">
        <f t="shared" si="14"/>
        <v>49789.562094441426</v>
      </c>
      <c r="N30" s="254">
        <f t="shared" si="14"/>
        <v>50779.129641068437</v>
      </c>
      <c r="O30" s="254">
        <f t="shared" si="14"/>
        <v>51788.364842684663</v>
      </c>
      <c r="P30" s="254">
        <f t="shared" si="14"/>
        <v>52817.658593933025</v>
      </c>
      <c r="Q30" s="254">
        <f t="shared" si="14"/>
        <v>53867.409558487438</v>
      </c>
      <c r="R30" s="254">
        <f t="shared" si="14"/>
        <v>54938.024323462378</v>
      </c>
      <c r="S30" s="254">
        <f t="shared" si="14"/>
        <v>56029.917556891181</v>
      </c>
      <c r="T30" s="254">
        <f t="shared" si="14"/>
        <v>57143.51216833439</v>
      </c>
      <c r="U30" s="254">
        <f t="shared" si="14"/>
        <v>58279.239472680027</v>
      </c>
      <c r="V30" s="254">
        <f t="shared" si="14"/>
        <v>59437.53935719953</v>
      </c>
      <c r="W30" s="254">
        <f t="shared" ref="W30:AB30" si="15">SUM(W28-W29)</f>
        <v>60618.860451923858</v>
      </c>
      <c r="X30" s="254">
        <f t="shared" si="15"/>
        <v>61823.660303405835</v>
      </c>
      <c r="Y30" s="254">
        <f t="shared" si="15"/>
        <v>63052.405551936019</v>
      </c>
      <c r="Z30" s="254">
        <f t="shared" si="15"/>
        <v>64305.572112280744</v>
      </c>
      <c r="AA30" s="254">
        <f t="shared" si="15"/>
        <v>65583.64535801232</v>
      </c>
      <c r="AB30" s="254">
        <f t="shared" si="15"/>
        <v>66887.120309502803</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6923.5920000000006</v>
      </c>
      <c r="E33" s="228">
        <f t="shared" ref="E33:AB33" si="16">Size_of_System_in_W_DC*(OandM_Cost_per_W_DC*((1+OandM_Cost_Escalator)^(E17-1)))</f>
        <v>7062.0638400000007</v>
      </c>
      <c r="F33" s="228">
        <f t="shared" si="16"/>
        <v>7203.3051168000002</v>
      </c>
      <c r="G33" s="228">
        <f t="shared" si="16"/>
        <v>7347.371219136</v>
      </c>
      <c r="H33" s="228">
        <f t="shared" si="16"/>
        <v>7494.3186435187208</v>
      </c>
      <c r="I33" s="228">
        <f t="shared" si="16"/>
        <v>7644.2050163890954</v>
      </c>
      <c r="J33" s="228">
        <f t="shared" si="16"/>
        <v>7797.0891167168775</v>
      </c>
      <c r="K33" s="228">
        <f t="shared" si="16"/>
        <v>7953.0308990512131</v>
      </c>
      <c r="L33" s="228">
        <f t="shared" si="16"/>
        <v>8112.0915170322378</v>
      </c>
      <c r="M33" s="228">
        <f t="shared" si="16"/>
        <v>8274.3333473728835</v>
      </c>
      <c r="N33" s="228">
        <f t="shared" si="16"/>
        <v>8439.8200143203412</v>
      </c>
      <c r="O33" s="228">
        <f t="shared" si="16"/>
        <v>8608.6164146067458</v>
      </c>
      <c r="P33" s="228">
        <f t="shared" si="16"/>
        <v>8780.7887428988815</v>
      </c>
      <c r="Q33" s="228">
        <f t="shared" si="16"/>
        <v>8956.4045177568587</v>
      </c>
      <c r="R33" s="228">
        <f t="shared" si="16"/>
        <v>9135.5326081119983</v>
      </c>
      <c r="S33" s="228">
        <f t="shared" si="16"/>
        <v>9318.2432602742356</v>
      </c>
      <c r="T33" s="228">
        <f t="shared" si="16"/>
        <v>9504.6081254797209</v>
      </c>
      <c r="U33" s="228">
        <f t="shared" si="16"/>
        <v>9694.7002879893171</v>
      </c>
      <c r="V33" s="228">
        <f t="shared" si="16"/>
        <v>9888.5942937491018</v>
      </c>
      <c r="W33" s="228">
        <f t="shared" si="16"/>
        <v>10086.366179624085</v>
      </c>
      <c r="X33" s="228">
        <f t="shared" si="16"/>
        <v>10288.093503216567</v>
      </c>
      <c r="Y33" s="228">
        <f t="shared" si="16"/>
        <v>10493.855373280898</v>
      </c>
      <c r="Z33" s="228">
        <f t="shared" si="16"/>
        <v>10703.732480746516</v>
      </c>
      <c r="AA33" s="228">
        <f t="shared" si="16"/>
        <v>10917.807130361443</v>
      </c>
      <c r="AB33" s="228">
        <f t="shared" si="16"/>
        <v>11136.163272968673</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1752.52</v>
      </c>
      <c r="E37" s="247">
        <f t="shared" ref="E37:AB37" si="21">Size_of_System_in_W_DC*((1+Insurance_Cost_Escalator)^(E17-1)*Insurance_Cost_per_Watt_DC)</f>
        <v>1787.5704000000001</v>
      </c>
      <c r="F37" s="247">
        <f t="shared" si="21"/>
        <v>1823.3218080000001</v>
      </c>
      <c r="G37" s="247">
        <f t="shared" si="21"/>
        <v>1859.78824416</v>
      </c>
      <c r="H37" s="247">
        <f t="shared" si="21"/>
        <v>1896.9840090431999</v>
      </c>
      <c r="I37" s="247">
        <f t="shared" si="21"/>
        <v>1934.9236892240642</v>
      </c>
      <c r="J37" s="247">
        <f t="shared" si="21"/>
        <v>1973.6221630085456</v>
      </c>
      <c r="K37" s="247">
        <f t="shared" si="21"/>
        <v>2013.094606268716</v>
      </c>
      <c r="L37" s="247">
        <f t="shared" si="21"/>
        <v>2053.3564983940905</v>
      </c>
      <c r="M37" s="247">
        <f t="shared" si="21"/>
        <v>2094.4236283619721</v>
      </c>
      <c r="N37" s="247">
        <f t="shared" si="21"/>
        <v>2136.3121009292117</v>
      </c>
      <c r="O37" s="247">
        <f t="shared" si="21"/>
        <v>2179.0383429477956</v>
      </c>
      <c r="P37" s="247">
        <f t="shared" si="21"/>
        <v>2222.619109806752</v>
      </c>
      <c r="Q37" s="247">
        <f t="shared" si="21"/>
        <v>2267.0714920028868</v>
      </c>
      <c r="R37" s="247">
        <f t="shared" si="21"/>
        <v>2312.4129218429448</v>
      </c>
      <c r="S37" s="247">
        <f t="shared" si="21"/>
        <v>2358.6611802798034</v>
      </c>
      <c r="T37" s="247">
        <f t="shared" si="21"/>
        <v>2405.8344038853993</v>
      </c>
      <c r="U37" s="247">
        <f t="shared" si="21"/>
        <v>2453.9510919631075</v>
      </c>
      <c r="V37" s="247">
        <f t="shared" si="21"/>
        <v>2503.0301138023697</v>
      </c>
      <c r="W37" s="247">
        <f t="shared" si="21"/>
        <v>2553.0907160784168</v>
      </c>
      <c r="X37" s="247">
        <f t="shared" si="21"/>
        <v>2604.1525303999852</v>
      </c>
      <c r="Y37" s="247">
        <f t="shared" si="21"/>
        <v>2656.2355810079848</v>
      </c>
      <c r="Z37" s="247">
        <f t="shared" si="21"/>
        <v>2709.3602926281446</v>
      </c>
      <c r="AA37" s="247">
        <f t="shared" si="21"/>
        <v>2763.547498480707</v>
      </c>
      <c r="AB37" s="247">
        <f t="shared" si="21"/>
        <v>2818.8184484503217</v>
      </c>
      <c r="AC37" s="247"/>
    </row>
    <row r="38" spans="1:29" ht="15" thickTop="1" x14ac:dyDescent="0.2">
      <c r="A38" s="3"/>
      <c r="B38" s="211" t="s">
        <v>271</v>
      </c>
      <c r="C38" s="253"/>
      <c r="D38" s="228">
        <f>SUM(D33:D37)</f>
        <v>8676.112000000001</v>
      </c>
      <c r="E38" s="228">
        <f>SUM(E33:E37)</f>
        <v>8849.6342400000012</v>
      </c>
      <c r="F38" s="228">
        <f t="shared" ref="F38:V38" si="22">SUM(F33:F37)</f>
        <v>9026.6269248000008</v>
      </c>
      <c r="G38" s="228">
        <f t="shared" si="22"/>
        <v>9207.1594632960005</v>
      </c>
      <c r="H38" s="228">
        <f t="shared" si="22"/>
        <v>9391.3026525619207</v>
      </c>
      <c r="I38" s="228">
        <f t="shared" si="22"/>
        <v>9579.1287056131587</v>
      </c>
      <c r="J38" s="228">
        <f t="shared" si="22"/>
        <v>9770.7112797254231</v>
      </c>
      <c r="K38" s="228">
        <f t="shared" si="22"/>
        <v>9966.1255053199293</v>
      </c>
      <c r="L38" s="228">
        <f t="shared" si="22"/>
        <v>10165.448015426329</v>
      </c>
      <c r="M38" s="228">
        <f t="shared" si="22"/>
        <v>10368.756975734856</v>
      </c>
      <c r="N38" s="228">
        <f t="shared" si="22"/>
        <v>10576.132115249553</v>
      </c>
      <c r="O38" s="228">
        <f t="shared" si="22"/>
        <v>10787.654757554541</v>
      </c>
      <c r="P38" s="228">
        <f t="shared" si="22"/>
        <v>11003.407852705634</v>
      </c>
      <c r="Q38" s="228">
        <f t="shared" si="22"/>
        <v>11223.476009759746</v>
      </c>
      <c r="R38" s="228">
        <f t="shared" si="22"/>
        <v>11447.945529954943</v>
      </c>
      <c r="S38" s="228">
        <f t="shared" si="22"/>
        <v>11676.904440554039</v>
      </c>
      <c r="T38" s="228">
        <f t="shared" si="22"/>
        <v>11910.44252936512</v>
      </c>
      <c r="U38" s="228">
        <f t="shared" si="22"/>
        <v>12148.651379952425</v>
      </c>
      <c r="V38" s="228">
        <f t="shared" si="22"/>
        <v>12391.624407551471</v>
      </c>
      <c r="W38" s="228">
        <f t="shared" ref="W38:AB38" si="23">SUM(W33:W37)</f>
        <v>12639.456895702502</v>
      </c>
      <c r="X38" s="228">
        <f t="shared" si="23"/>
        <v>12892.246033616553</v>
      </c>
      <c r="Y38" s="228">
        <f t="shared" si="23"/>
        <v>13150.090954288882</v>
      </c>
      <c r="Z38" s="228">
        <f t="shared" si="23"/>
        <v>13413.092773374661</v>
      </c>
      <c r="AA38" s="228">
        <f t="shared" si="23"/>
        <v>13681.354628842149</v>
      </c>
      <c r="AB38" s="228">
        <f t="shared" si="23"/>
        <v>13954.981721418995</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33031.544816987036</v>
      </c>
      <c r="E40" s="228">
        <f t="shared" ref="E40:V40" si="24">E30-E38</f>
        <v>33686.962256224651</v>
      </c>
      <c r="F40" s="228">
        <f t="shared" si="24"/>
        <v>34355.38442678711</v>
      </c>
      <c r="G40" s="228">
        <f t="shared" si="24"/>
        <v>35037.069363903895</v>
      </c>
      <c r="H40" s="228">
        <f t="shared" si="24"/>
        <v>35732.280222578578</v>
      </c>
      <c r="I40" s="228">
        <f t="shared" si="24"/>
        <v>36441.285379170746</v>
      </c>
      <c r="J40" s="228">
        <f t="shared" si="24"/>
        <v>37164.35853499356</v>
      </c>
      <c r="K40" s="228">
        <f t="shared" si="24"/>
        <v>37901.778821966589</v>
      </c>
      <c r="L40" s="228">
        <f t="shared" si="24"/>
        <v>38653.830910365003</v>
      </c>
      <c r="M40" s="228">
        <f t="shared" si="24"/>
        <v>39420.805118706572</v>
      </c>
      <c r="N40" s="228">
        <f t="shared" si="24"/>
        <v>40202.997525818886</v>
      </c>
      <c r="O40" s="228">
        <f t="shared" si="24"/>
        <v>41000.710085130122</v>
      </c>
      <c r="P40" s="228">
        <f t="shared" si="24"/>
        <v>41814.250741227392</v>
      </c>
      <c r="Q40" s="228">
        <f t="shared" si="24"/>
        <v>42643.933548727691</v>
      </c>
      <c r="R40" s="228">
        <f t="shared" si="24"/>
        <v>43490.078793507433</v>
      </c>
      <c r="S40" s="228">
        <f t="shared" si="24"/>
        <v>44353.013116337141</v>
      </c>
      <c r="T40" s="228">
        <f t="shared" si="24"/>
        <v>45233.069638969268</v>
      </c>
      <c r="U40" s="228">
        <f t="shared" si="24"/>
        <v>46130.588092727601</v>
      </c>
      <c r="V40" s="228">
        <f t="shared" si="24"/>
        <v>47045.91494964806</v>
      </c>
      <c r="W40" s="228">
        <f t="shared" ref="W40:AB40" si="25">W30-W38</f>
        <v>47979.403556221354</v>
      </c>
      <c r="X40" s="228">
        <f t="shared" si="25"/>
        <v>48931.414269789282</v>
      </c>
      <c r="Y40" s="228">
        <f t="shared" si="25"/>
        <v>49902.314597647135</v>
      </c>
      <c r="Z40" s="228">
        <f t="shared" si="25"/>
        <v>50892.47933890608</v>
      </c>
      <c r="AA40" s="228">
        <f t="shared" si="25"/>
        <v>51902.29072917017</v>
      </c>
      <c r="AB40" s="228">
        <f t="shared" si="25"/>
        <v>52932.138588083806</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105282.97106839996</v>
      </c>
      <c r="E45" s="228">
        <f>IF(OR(Tax_Efficient_Status?="Not Efficient",Tax_Efficient_Status?="Federal Only"),(Unstructured!E114+Unstructured!E115),E114)</f>
        <v>168452.75370943994</v>
      </c>
      <c r="F45" s="228">
        <f>IF(OR(Tax_Efficient_Status?="Not Efficient",Tax_Efficient_Status?="Federal Only"),(Unstructured!F114+Unstructured!F115),F114)</f>
        <v>101071.65222566396</v>
      </c>
      <c r="G45" s="228">
        <f>IF(OR(Tax_Efficient_Status?="Not Efficient",Tax_Efficient_Status?="Federal Only"),(Unstructured!G114+Unstructured!G115),G114)</f>
        <v>60642.991335398372</v>
      </c>
      <c r="H45" s="228">
        <f>IF(OR(Tax_Efficient_Status?="Not Efficient",Tax_Efficient_Status?="Federal Only"),(Unstructured!H114+Unstructured!H115),H114)</f>
        <v>60642.991335398372</v>
      </c>
      <c r="I45" s="228">
        <f>IF(OR(Tax_Efficient_Status?="Not Efficient",Tax_Efficient_Status?="Federal Only"),(Unstructured!I114+Unstructured!I115),I114)</f>
        <v>30321.495667699186</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105282.97106839996</v>
      </c>
      <c r="E46" s="228">
        <f>IF(Tax_Efficient_Status?="Not Efficient",(Unstructured!E121+Unstructured!E122),E121)</f>
        <v>168452.75370943994</v>
      </c>
      <c r="F46" s="228">
        <f>IF(Tax_Efficient_Status?="Not Efficient",(Unstructured!F121+Unstructured!F122),F121)</f>
        <v>101071.65222566396</v>
      </c>
      <c r="G46" s="228">
        <f>IF(Tax_Efficient_Status?="Not Efficient",(Unstructured!G121+Unstructured!G122),G121)</f>
        <v>60642.991335398372</v>
      </c>
      <c r="H46" s="228">
        <f>IF(Tax_Efficient_Status?="Not Efficient",(Unstructured!H121+Unstructured!H122),H121)</f>
        <v>60642.991335398372</v>
      </c>
      <c r="I46" s="228">
        <f>IF(Tax_Efficient_Status?="Not Efficient",(Unstructured!I121+Unstructured!I122),I121)</f>
        <v>30321.495667699186</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-72251.426251412922</v>
      </c>
      <c r="E49" s="228">
        <f t="shared" si="28"/>
        <v>-134765.79145321529</v>
      </c>
      <c r="F49" s="228">
        <f t="shared" si="28"/>
        <v>-66716.267798876856</v>
      </c>
      <c r="G49" s="228">
        <f t="shared" si="28"/>
        <v>-25605.921971494477</v>
      </c>
      <c r="H49" s="228">
        <f t="shared" si="28"/>
        <v>-24910.711112819794</v>
      </c>
      <c r="I49" s="228">
        <f t="shared" si="28"/>
        <v>6119.789711471567</v>
      </c>
      <c r="J49" s="228">
        <f t="shared" si="28"/>
        <v>37164.35853499356</v>
      </c>
      <c r="K49" s="228">
        <f t="shared" si="28"/>
        <v>37901.778821966589</v>
      </c>
      <c r="L49" s="228">
        <f t="shared" si="28"/>
        <v>38653.830910365003</v>
      </c>
      <c r="M49" s="228">
        <f t="shared" si="28"/>
        <v>39420.805118706572</v>
      </c>
      <c r="N49" s="228">
        <f t="shared" si="28"/>
        <v>40202.997525818886</v>
      </c>
      <c r="O49" s="228">
        <f t="shared" si="28"/>
        <v>41000.710085130122</v>
      </c>
      <c r="P49" s="228">
        <f t="shared" si="28"/>
        <v>41814.250741227392</v>
      </c>
      <c r="Q49" s="228">
        <f t="shared" si="28"/>
        <v>42643.933548727691</v>
      </c>
      <c r="R49" s="228">
        <f t="shared" si="28"/>
        <v>43490.078793507433</v>
      </c>
      <c r="S49" s="228">
        <f t="shared" si="28"/>
        <v>44353.013116337141</v>
      </c>
      <c r="T49" s="228">
        <f t="shared" si="28"/>
        <v>45233.069638969268</v>
      </c>
      <c r="U49" s="228">
        <f t="shared" si="28"/>
        <v>46130.588092727601</v>
      </c>
      <c r="V49" s="228">
        <f t="shared" si="28"/>
        <v>47045.91494964806</v>
      </c>
      <c r="W49" s="228">
        <f t="shared" ref="W49:AB49" si="29">W30-(W38+W42+W45)</f>
        <v>47979.403556221354</v>
      </c>
      <c r="X49" s="228">
        <f t="shared" si="29"/>
        <v>48931.414269789282</v>
      </c>
      <c r="Y49" s="228">
        <f t="shared" si="29"/>
        <v>49902.314597647135</v>
      </c>
      <c r="Z49" s="228">
        <f t="shared" si="29"/>
        <v>50892.47933890608</v>
      </c>
      <c r="AA49" s="228">
        <f t="shared" si="29"/>
        <v>51902.29072917017</v>
      </c>
      <c r="AB49" s="228">
        <f t="shared" si="29"/>
        <v>52932.138588083806</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152.99474278678917</v>
      </c>
      <c r="J50" s="228">
        <f t="shared" si="30"/>
        <v>929.10896337483905</v>
      </c>
      <c r="K50" s="228">
        <f t="shared" si="30"/>
        <v>947.54447054916477</v>
      </c>
      <c r="L50" s="228">
        <f t="shared" si="30"/>
        <v>966.34577275912511</v>
      </c>
      <c r="M50" s="228">
        <f t="shared" si="30"/>
        <v>985.52012796766439</v>
      </c>
      <c r="N50" s="228">
        <f t="shared" si="30"/>
        <v>1005.0749381454722</v>
      </c>
      <c r="O50" s="228">
        <f t="shared" si="30"/>
        <v>1025.0177521282531</v>
      </c>
      <c r="P50" s="228">
        <f t="shared" si="30"/>
        <v>1045.3562685306849</v>
      </c>
      <c r="Q50" s="228">
        <f t="shared" si="30"/>
        <v>1066.0983387181923</v>
      </c>
      <c r="R50" s="228">
        <f t="shared" si="30"/>
        <v>1087.2519698376859</v>
      </c>
      <c r="S50" s="228">
        <f t="shared" si="30"/>
        <v>1108.8253279084286</v>
      </c>
      <c r="T50" s="228">
        <f t="shared" si="30"/>
        <v>1130.8267409742318</v>
      </c>
      <c r="U50" s="228">
        <f t="shared" si="30"/>
        <v>1153.2647023181901</v>
      </c>
      <c r="V50" s="228">
        <f t="shared" si="30"/>
        <v>1176.1478737412015</v>
      </c>
      <c r="W50" s="228">
        <f t="shared" si="30"/>
        <v>1199.485088905534</v>
      </c>
      <c r="X50" s="228">
        <f t="shared" si="30"/>
        <v>1223.2853567447321</v>
      </c>
      <c r="Y50" s="228">
        <f t="shared" si="30"/>
        <v>1247.5578649411784</v>
      </c>
      <c r="Z50" s="228">
        <f t="shared" si="30"/>
        <v>1272.3119834726522</v>
      </c>
      <c r="AA50" s="228">
        <f t="shared" si="30"/>
        <v>1297.5572682292543</v>
      </c>
      <c r="AB50" s="228">
        <f t="shared" si="30"/>
        <v>1323.3034647020952</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152.99474278678917</v>
      </c>
      <c r="J53" s="228">
        <f t="shared" si="35"/>
        <v>929.10896337483905</v>
      </c>
      <c r="K53" s="228">
        <f t="shared" si="35"/>
        <v>947.54447054916477</v>
      </c>
      <c r="L53" s="228">
        <f t="shared" si="35"/>
        <v>966.34577275912511</v>
      </c>
      <c r="M53" s="228">
        <f t="shared" si="35"/>
        <v>985.52012796766439</v>
      </c>
      <c r="N53" s="228">
        <f t="shared" si="35"/>
        <v>1005.0749381454722</v>
      </c>
      <c r="O53" s="228">
        <f t="shared" si="35"/>
        <v>1025.0177521282531</v>
      </c>
      <c r="P53" s="228">
        <f t="shared" si="35"/>
        <v>1045.3562685306849</v>
      </c>
      <c r="Q53" s="228">
        <f t="shared" si="35"/>
        <v>1066.0983387181923</v>
      </c>
      <c r="R53" s="228">
        <f t="shared" si="35"/>
        <v>1087.2519698376859</v>
      </c>
      <c r="S53" s="228">
        <f t="shared" si="35"/>
        <v>1108.8253279084286</v>
      </c>
      <c r="T53" s="228">
        <f t="shared" si="35"/>
        <v>1130.8267409742318</v>
      </c>
      <c r="U53" s="228">
        <f t="shared" si="35"/>
        <v>1153.2647023181901</v>
      </c>
      <c r="V53" s="228">
        <f t="shared" si="35"/>
        <v>1176.1478737412015</v>
      </c>
      <c r="W53" s="228">
        <f t="shared" ref="W53:AB53" si="36">W50</f>
        <v>1199.485088905534</v>
      </c>
      <c r="X53" s="228">
        <f t="shared" si="36"/>
        <v>1223.2853567447321</v>
      </c>
      <c r="Y53" s="228">
        <f t="shared" si="36"/>
        <v>1247.5578649411784</v>
      </c>
      <c r="Z53" s="228">
        <f t="shared" si="36"/>
        <v>1272.3119834726522</v>
      </c>
      <c r="AA53" s="228">
        <f t="shared" si="36"/>
        <v>1297.5572682292543</v>
      </c>
      <c r="AB53" s="228">
        <f t="shared" si="36"/>
        <v>1323.3034647020952</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-72251.426251412922</v>
      </c>
      <c r="E56" s="228">
        <f t="shared" si="37"/>
        <v>-134765.79145321529</v>
      </c>
      <c r="F56" s="228">
        <f t="shared" si="37"/>
        <v>-66716.267798876856</v>
      </c>
      <c r="G56" s="228">
        <f t="shared" si="37"/>
        <v>-25605.921971494477</v>
      </c>
      <c r="H56" s="228">
        <f t="shared" si="37"/>
        <v>-24910.711112819794</v>
      </c>
      <c r="I56" s="228">
        <f t="shared" si="37"/>
        <v>5966.7949686847787</v>
      </c>
      <c r="J56" s="228">
        <f t="shared" si="37"/>
        <v>36235.249571618719</v>
      </c>
      <c r="K56" s="228">
        <f t="shared" si="37"/>
        <v>36954.234351417421</v>
      </c>
      <c r="L56" s="228">
        <f t="shared" si="37"/>
        <v>37687.48513760588</v>
      </c>
      <c r="M56" s="228">
        <f t="shared" si="37"/>
        <v>38435.284990738903</v>
      </c>
      <c r="N56" s="228">
        <f t="shared" si="37"/>
        <v>39197.922587673413</v>
      </c>
      <c r="O56" s="228">
        <f t="shared" si="37"/>
        <v>39975.692333001869</v>
      </c>
      <c r="P56" s="228">
        <f t="shared" si="37"/>
        <v>40768.894472696709</v>
      </c>
      <c r="Q56" s="228">
        <f t="shared" si="37"/>
        <v>41577.8352100095</v>
      </c>
      <c r="R56" s="228">
        <f t="shared" si="37"/>
        <v>42402.826823669748</v>
      </c>
      <c r="S56" s="228">
        <f t="shared" si="37"/>
        <v>43244.18778842871</v>
      </c>
      <c r="T56" s="228">
        <f t="shared" si="37"/>
        <v>44102.242897995035</v>
      </c>
      <c r="U56" s="228">
        <f t="shared" si="37"/>
        <v>44977.323390409409</v>
      </c>
      <c r="V56" s="228">
        <f t="shared" si="37"/>
        <v>45869.767075906857</v>
      </c>
      <c r="W56" s="228">
        <f t="shared" ref="W56:AB56" si="38">W30-(W38+W42+W46+W53)</f>
        <v>46779.918467315823</v>
      </c>
      <c r="X56" s="228">
        <f t="shared" si="38"/>
        <v>47708.128913044551</v>
      </c>
      <c r="Y56" s="228">
        <f t="shared" si="38"/>
        <v>48654.756732705959</v>
      </c>
      <c r="Z56" s="228">
        <f t="shared" si="38"/>
        <v>49620.167355433427</v>
      </c>
      <c r="AA56" s="228">
        <f t="shared" si="38"/>
        <v>50604.733460940915</v>
      </c>
      <c r="AB56" s="228">
        <f t="shared" si="38"/>
        <v>51608.835123381708</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1253.0269434238035</v>
      </c>
      <c r="J57" s="228">
        <f t="shared" si="39"/>
        <v>7609.4024100399311</v>
      </c>
      <c r="K57" s="228">
        <f t="shared" si="39"/>
        <v>7760.3892137976582</v>
      </c>
      <c r="L57" s="228">
        <f t="shared" si="39"/>
        <v>7914.3718788972346</v>
      </c>
      <c r="M57" s="228">
        <f t="shared" si="39"/>
        <v>8071.4098480551693</v>
      </c>
      <c r="N57" s="228">
        <f t="shared" si="39"/>
        <v>8231.563743411416</v>
      </c>
      <c r="O57" s="228">
        <f t="shared" si="39"/>
        <v>8394.8953899303924</v>
      </c>
      <c r="P57" s="228">
        <f t="shared" si="39"/>
        <v>8561.4678392663081</v>
      </c>
      <c r="Q57" s="228">
        <f t="shared" si="39"/>
        <v>8731.3453941019943</v>
      </c>
      <c r="R57" s="228">
        <f t="shared" si="39"/>
        <v>8904.5936329706474</v>
      </c>
      <c r="S57" s="228">
        <f t="shared" si="39"/>
        <v>9081.279435570028</v>
      </c>
      <c r="T57" s="228">
        <f t="shared" si="39"/>
        <v>9261.4710085789575</v>
      </c>
      <c r="U57" s="228">
        <f t="shared" si="39"/>
        <v>9445.2379119859761</v>
      </c>
      <c r="V57" s="228">
        <f t="shared" si="39"/>
        <v>9632.6510859404389</v>
      </c>
      <c r="W57" s="228">
        <f t="shared" si="39"/>
        <v>9823.7828781363223</v>
      </c>
      <c r="X57" s="228">
        <f t="shared" si="39"/>
        <v>10018.707071739356</v>
      </c>
      <c r="Y57" s="228">
        <f t="shared" si="39"/>
        <v>10217.49891386825</v>
      </c>
      <c r="Z57" s="228">
        <f t="shared" si="39"/>
        <v>10420.235144641019</v>
      </c>
      <c r="AA57" s="228">
        <f t="shared" si="39"/>
        <v>10626.994026797593</v>
      </c>
      <c r="AB57" s="228">
        <f t="shared" si="39"/>
        <v>10837.855375910158</v>
      </c>
      <c r="AC57" s="228"/>
    </row>
    <row r="58" spans="1:29" ht="14" x14ac:dyDescent="0.2">
      <c r="A58" s="3"/>
      <c r="B58" s="210" t="s">
        <v>141</v>
      </c>
      <c r="C58" s="253"/>
      <c r="D58" s="228">
        <f>IF(AND(Tax_Credit_Selector_ITC_or_PTC="ITC",Federal_ITC_Cash_Sale_OnOff="Off",D17=1),Federal_ITC_Dollar_Value,0)</f>
        <v>185793.47835599998</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185793.47835599998</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1253.0269434238035</v>
      </c>
      <c r="J60" s="228">
        <f t="shared" si="44"/>
        <v>7609.4024100399311</v>
      </c>
      <c r="K60" s="228">
        <f t="shared" si="44"/>
        <v>7760.3892137976582</v>
      </c>
      <c r="L60" s="228">
        <f t="shared" si="44"/>
        <v>7914.3718788972346</v>
      </c>
      <c r="M60" s="228">
        <f t="shared" si="44"/>
        <v>8071.4098480551693</v>
      </c>
      <c r="N60" s="228">
        <f t="shared" si="44"/>
        <v>8231.563743411416</v>
      </c>
      <c r="O60" s="228">
        <f t="shared" si="44"/>
        <v>8394.8953899303924</v>
      </c>
      <c r="P60" s="228">
        <f t="shared" si="44"/>
        <v>8561.4678392663081</v>
      </c>
      <c r="Q60" s="228">
        <f t="shared" si="44"/>
        <v>8731.3453941019943</v>
      </c>
      <c r="R60" s="228">
        <f t="shared" si="44"/>
        <v>8904.5936329706474</v>
      </c>
      <c r="S60" s="228">
        <f t="shared" si="44"/>
        <v>9081.279435570028</v>
      </c>
      <c r="T60" s="228">
        <f t="shared" si="44"/>
        <v>9261.4710085789575</v>
      </c>
      <c r="U60" s="228">
        <f t="shared" si="44"/>
        <v>9445.2379119859761</v>
      </c>
      <c r="V60" s="228">
        <f t="shared" si="44"/>
        <v>9632.6510859404389</v>
      </c>
      <c r="W60" s="228">
        <f t="shared" ref="W60:AB60" si="45">IF(W58&gt;W57,0,W57-W58)</f>
        <v>9823.7828781363223</v>
      </c>
      <c r="X60" s="228">
        <f t="shared" si="45"/>
        <v>10018.707071739356</v>
      </c>
      <c r="Y60" s="228">
        <f t="shared" si="45"/>
        <v>10217.49891386825</v>
      </c>
      <c r="Z60" s="228">
        <f t="shared" si="45"/>
        <v>10420.235144641019</v>
      </c>
      <c r="AA60" s="228">
        <f t="shared" si="45"/>
        <v>10626.994026797593</v>
      </c>
      <c r="AB60" s="228">
        <f t="shared" si="45"/>
        <v>10837.855375910158</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4" t="s">
        <v>272</v>
      </c>
      <c r="C62" s="335"/>
      <c r="D62" s="196">
        <f t="shared" ref="D62:V62" si="46">(D56-D60)</f>
        <v>-72251.426251412922</v>
      </c>
      <c r="E62" s="196">
        <f t="shared" si="46"/>
        <v>-134765.79145321529</v>
      </c>
      <c r="F62" s="196">
        <f t="shared" si="46"/>
        <v>-66716.267798876856</v>
      </c>
      <c r="G62" s="196">
        <f t="shared" si="46"/>
        <v>-25605.921971494477</v>
      </c>
      <c r="H62" s="196">
        <f t="shared" si="46"/>
        <v>-24910.711112819794</v>
      </c>
      <c r="I62" s="196">
        <f t="shared" si="46"/>
        <v>4713.7680252609753</v>
      </c>
      <c r="J62" s="196">
        <f t="shared" si="46"/>
        <v>28625.847161578786</v>
      </c>
      <c r="K62" s="196">
        <f t="shared" si="46"/>
        <v>29193.845137619763</v>
      </c>
      <c r="L62" s="196">
        <f t="shared" si="46"/>
        <v>29773.113258708647</v>
      </c>
      <c r="M62" s="196">
        <f t="shared" si="46"/>
        <v>30363.875142683733</v>
      </c>
      <c r="N62" s="196">
        <f t="shared" si="46"/>
        <v>30966.358844261995</v>
      </c>
      <c r="O62" s="196">
        <f t="shared" si="46"/>
        <v>31580.796943071477</v>
      </c>
      <c r="P62" s="196">
        <f t="shared" si="46"/>
        <v>32207.426633430401</v>
      </c>
      <c r="Q62" s="196">
        <f t="shared" si="46"/>
        <v>32846.489815907509</v>
      </c>
      <c r="R62" s="196">
        <f t="shared" si="46"/>
        <v>33498.233190699102</v>
      </c>
      <c r="S62" s="196">
        <f t="shared" si="46"/>
        <v>34162.908352858678</v>
      </c>
      <c r="T62" s="196">
        <f t="shared" si="46"/>
        <v>34840.771889416079</v>
      </c>
      <c r="U62" s="196">
        <f t="shared" si="46"/>
        <v>35532.085478423433</v>
      </c>
      <c r="V62" s="196">
        <f t="shared" si="46"/>
        <v>36237.11598996642</v>
      </c>
      <c r="W62" s="196">
        <f t="shared" ref="W62:AB62" si="47">(W56-W60)</f>
        <v>36956.135589179503</v>
      </c>
      <c r="X62" s="196">
        <f t="shared" si="47"/>
        <v>37689.421841305193</v>
      </c>
      <c r="Y62" s="196">
        <f t="shared" si="47"/>
        <v>38437.257818837708</v>
      </c>
      <c r="Z62" s="196">
        <f t="shared" si="47"/>
        <v>39199.932210792409</v>
      </c>
      <c r="AA62" s="196">
        <f t="shared" si="47"/>
        <v>39977.739434143325</v>
      </c>
      <c r="AB62" s="196">
        <f t="shared" si="47"/>
        <v>40770.979747471552</v>
      </c>
      <c r="AC62" s="196"/>
    </row>
    <row r="66" spans="1:32" ht="16" x14ac:dyDescent="0.2">
      <c r="A66" s="3"/>
      <c r="B66" s="577" t="s">
        <v>378</v>
      </c>
      <c r="C66" s="578"/>
      <c r="D66" s="578"/>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185793.47835599998</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15172.799512796713</v>
      </c>
      <c r="E70" s="228">
        <f t="shared" si="50"/>
        <v>28300.816205175212</v>
      </c>
      <c r="F70" s="228">
        <f t="shared" si="50"/>
        <v>14010.416237764139</v>
      </c>
      <c r="G70" s="228">
        <f t="shared" si="50"/>
        <v>5377.2436140138398</v>
      </c>
      <c r="H70" s="228">
        <f t="shared" si="50"/>
        <v>5231.2493336921561</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1426.9656684654053</v>
      </c>
      <c r="E72" s="247">
        <f t="shared" si="51"/>
        <v>2661.6243812010021</v>
      </c>
      <c r="F72" s="247">
        <f t="shared" si="51"/>
        <v>1317.6462890278181</v>
      </c>
      <c r="G72" s="247">
        <f t="shared" si="51"/>
        <v>505.71695893701605</v>
      </c>
      <c r="H72" s="247">
        <f t="shared" si="51"/>
        <v>491.98654447819098</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202393.24353726211</v>
      </c>
      <c r="E73" s="228">
        <f t="shared" ref="E73:V73" si="52">SUM(E69:E72)</f>
        <v>30962.440586376215</v>
      </c>
      <c r="F73" s="228">
        <f t="shared" si="52"/>
        <v>15328.062526791957</v>
      </c>
      <c r="G73" s="228">
        <f t="shared" si="52"/>
        <v>5882.9605729508557</v>
      </c>
      <c r="H73" s="228">
        <f t="shared" si="52"/>
        <v>5723.235878170347</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48" t="s">
        <v>460</v>
      </c>
      <c r="AE79" s="549"/>
      <c r="AF79" s="550"/>
    </row>
    <row r="80" spans="1:32" ht="14" customHeight="1" thickBot="1" x14ac:dyDescent="0.25">
      <c r="A80" s="3"/>
      <c r="B80" s="210" t="s">
        <v>233</v>
      </c>
      <c r="C80" s="247">
        <f>-Project_Net_Investment</f>
        <v>-682304.23961795389</v>
      </c>
      <c r="D80" s="247">
        <f>(D62+D46+SUM(D75:D77))</f>
        <v>33031.544816987036</v>
      </c>
      <c r="E80" s="247">
        <f t="shared" ref="E80:AA80" si="54">(E62+E46+SUM(E75:E77))</f>
        <v>33686.962256224651</v>
      </c>
      <c r="F80" s="247">
        <f t="shared" si="54"/>
        <v>34355.384426787103</v>
      </c>
      <c r="G80" s="247">
        <f t="shared" si="54"/>
        <v>35037.069363903895</v>
      </c>
      <c r="H80" s="247">
        <f t="shared" si="54"/>
        <v>35732.280222578578</v>
      </c>
      <c r="I80" s="247">
        <f t="shared" si="54"/>
        <v>35035.263692960158</v>
      </c>
      <c r="J80" s="247">
        <f>(J62+J46+SUM(J75:J77))</f>
        <v>28625.847161578786</v>
      </c>
      <c r="K80" s="247">
        <f t="shared" si="54"/>
        <v>29193.845137619763</v>
      </c>
      <c r="L80" s="247">
        <f t="shared" si="54"/>
        <v>29773.113258708647</v>
      </c>
      <c r="M80" s="247">
        <f t="shared" si="54"/>
        <v>30363.875142683733</v>
      </c>
      <c r="N80" s="247">
        <f t="shared" si="54"/>
        <v>30966.358844261995</v>
      </c>
      <c r="O80" s="247">
        <f t="shared" si="54"/>
        <v>31580.796943071477</v>
      </c>
      <c r="P80" s="247">
        <f t="shared" si="54"/>
        <v>32207.426633430401</v>
      </c>
      <c r="Q80" s="247">
        <f t="shared" si="54"/>
        <v>32846.489815907509</v>
      </c>
      <c r="R80" s="247">
        <f t="shared" si="54"/>
        <v>33498.233190699102</v>
      </c>
      <c r="S80" s="247">
        <f t="shared" si="54"/>
        <v>34162.908352858678</v>
      </c>
      <c r="T80" s="247">
        <f t="shared" si="54"/>
        <v>34840.771889416079</v>
      </c>
      <c r="U80" s="247">
        <f t="shared" si="54"/>
        <v>35532.085478423433</v>
      </c>
      <c r="V80" s="247">
        <f t="shared" si="54"/>
        <v>36237.11598996642</v>
      </c>
      <c r="W80" s="247">
        <f t="shared" si="54"/>
        <v>36956.135589179503</v>
      </c>
      <c r="X80" s="247">
        <f t="shared" si="54"/>
        <v>37689.421841305193</v>
      </c>
      <c r="Y80" s="247">
        <f t="shared" si="54"/>
        <v>38437.257818837708</v>
      </c>
      <c r="Z80" s="247">
        <f t="shared" si="54"/>
        <v>39199.932210792409</v>
      </c>
      <c r="AA80" s="247">
        <f t="shared" si="54"/>
        <v>39977.739434143325</v>
      </c>
      <c r="AB80" s="441">
        <f>((AB62+AB46+SUM(AB75:AB77))+IF(Termination_Value_OnOff="On",INDEX(Termination_Value_Table_End_of_Term,2,MATCH(Termination_Value_Percentage,Dashboard!C72:E72,0)),0))</f>
        <v>143116.61569016465</v>
      </c>
      <c r="AD80" s="551"/>
      <c r="AE80" s="552"/>
      <c r="AF80" s="553"/>
    </row>
    <row r="81" spans="1:32" ht="16" thickTop="1" thickBot="1" x14ac:dyDescent="0.25">
      <c r="A81" s="3"/>
      <c r="B81" s="210" t="s">
        <v>165</v>
      </c>
      <c r="C81" s="228">
        <f>C80</f>
        <v>-682304.23961795389</v>
      </c>
      <c r="D81" s="228">
        <f t="shared" ref="D81:V81" si="55">C81+D80</f>
        <v>-649272.69480096688</v>
      </c>
      <c r="E81" s="228">
        <f t="shared" si="55"/>
        <v>-615585.73254474229</v>
      </c>
      <c r="F81" s="228">
        <f t="shared" si="55"/>
        <v>-581230.34811795515</v>
      </c>
      <c r="G81" s="228">
        <f t="shared" si="55"/>
        <v>-546193.27875405131</v>
      </c>
      <c r="H81" s="228">
        <f t="shared" si="55"/>
        <v>-510460.99853147275</v>
      </c>
      <c r="I81" s="228">
        <f t="shared" si="55"/>
        <v>-475425.73483851261</v>
      </c>
      <c r="J81" s="228">
        <f t="shared" si="55"/>
        <v>-446799.88767693384</v>
      </c>
      <c r="K81" s="228">
        <f t="shared" si="55"/>
        <v>-417606.04253931408</v>
      </c>
      <c r="L81" s="228">
        <f t="shared" si="55"/>
        <v>-387832.9292806054</v>
      </c>
      <c r="M81" s="228">
        <f t="shared" si="55"/>
        <v>-357469.05413792166</v>
      </c>
      <c r="N81" s="228">
        <f t="shared" si="55"/>
        <v>-326502.69529365969</v>
      </c>
      <c r="O81" s="228">
        <f t="shared" si="55"/>
        <v>-294921.89835058822</v>
      </c>
      <c r="P81" s="228">
        <f t="shared" si="55"/>
        <v>-262714.47171715781</v>
      </c>
      <c r="Q81" s="228">
        <f t="shared" si="55"/>
        <v>-229867.98190125031</v>
      </c>
      <c r="R81" s="228">
        <f t="shared" si="55"/>
        <v>-196369.74871055121</v>
      </c>
      <c r="S81" s="228">
        <f t="shared" si="55"/>
        <v>-162206.84035769253</v>
      </c>
      <c r="T81" s="228">
        <f t="shared" si="55"/>
        <v>-127366.06846827645</v>
      </c>
      <c r="U81" s="228">
        <f t="shared" si="55"/>
        <v>-91833.982989853015</v>
      </c>
      <c r="V81" s="228">
        <f t="shared" si="55"/>
        <v>-55596.866999886595</v>
      </c>
      <c r="W81" s="228">
        <f t="shared" ref="W81:AB81" si="56">V81+W80</f>
        <v>-18640.731410707092</v>
      </c>
      <c r="X81" s="228">
        <f t="shared" si="56"/>
        <v>19048.690430598101</v>
      </c>
      <c r="Y81" s="228">
        <f t="shared" si="56"/>
        <v>57485.948249435809</v>
      </c>
      <c r="Z81" s="228">
        <f t="shared" si="56"/>
        <v>96685.880460228218</v>
      </c>
      <c r="AA81" s="228">
        <f t="shared" si="56"/>
        <v>136663.61989437154</v>
      </c>
      <c r="AB81" s="228">
        <f t="shared" si="56"/>
        <v>279780.23558453622</v>
      </c>
      <c r="AD81" s="554"/>
      <c r="AE81" s="555"/>
      <c r="AF81" s="556"/>
    </row>
    <row r="82" spans="1:32" ht="14" x14ac:dyDescent="0.2">
      <c r="A82" s="3"/>
      <c r="B82" s="210" t="s">
        <v>166</v>
      </c>
      <c r="C82" s="228">
        <f>NPV(Investor_Discount_Rate,D80:AB80)+C80</f>
        <v>-250910.200334783</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2.5004627173283556E-2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 t="shared" si="57"/>
        <v>0</v>
      </c>
      <c r="G84" s="241">
        <f t="shared" si="57"/>
        <v>0</v>
      </c>
      <c r="H84" s="241">
        <f t="shared" si="57"/>
        <v>0</v>
      </c>
      <c r="I84" s="241">
        <f t="shared" si="57"/>
        <v>0</v>
      </c>
      <c r="J84" s="241">
        <f t="shared" si="57"/>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48" t="s">
        <v>460</v>
      </c>
      <c r="AE86" s="549"/>
      <c r="AF86" s="550"/>
    </row>
    <row r="87" spans="1:32" ht="14" customHeight="1" thickBot="1" x14ac:dyDescent="0.25">
      <c r="A87" s="3"/>
      <c r="B87" s="210" t="s">
        <v>289</v>
      </c>
      <c r="C87" s="247">
        <f>-Project_Net_Investment</f>
        <v>-682304.23961795389</v>
      </c>
      <c r="D87" s="247">
        <f t="shared" ref="D87:AA87" si="59">(D62+D46+D73+SUM(D75:D77))</f>
        <v>235424.78835424915</v>
      </c>
      <c r="E87" s="247">
        <f t="shared" si="59"/>
        <v>64649.402842600866</v>
      </c>
      <c r="F87" s="247">
        <f t="shared" si="59"/>
        <v>49683.446953579056</v>
      </c>
      <c r="G87" s="247">
        <f t="shared" si="59"/>
        <v>40920.029936854749</v>
      </c>
      <c r="H87" s="247">
        <f t="shared" si="59"/>
        <v>41455.516100748922</v>
      </c>
      <c r="I87" s="247">
        <f t="shared" si="59"/>
        <v>35035.263692960158</v>
      </c>
      <c r="J87" s="247">
        <f t="shared" si="59"/>
        <v>28625.847161578786</v>
      </c>
      <c r="K87" s="247">
        <f t="shared" si="59"/>
        <v>29193.845137619763</v>
      </c>
      <c r="L87" s="247">
        <f t="shared" si="59"/>
        <v>29773.113258708647</v>
      </c>
      <c r="M87" s="247">
        <f t="shared" si="59"/>
        <v>30363.875142683733</v>
      </c>
      <c r="N87" s="247">
        <f t="shared" si="59"/>
        <v>30966.358844261995</v>
      </c>
      <c r="O87" s="247">
        <f t="shared" si="59"/>
        <v>31580.796943071477</v>
      </c>
      <c r="P87" s="247">
        <f t="shared" si="59"/>
        <v>32207.426633430401</v>
      </c>
      <c r="Q87" s="247">
        <f t="shared" si="59"/>
        <v>32846.489815907509</v>
      </c>
      <c r="R87" s="247">
        <f t="shared" si="59"/>
        <v>33498.233190699102</v>
      </c>
      <c r="S87" s="247">
        <f t="shared" si="59"/>
        <v>34162.908352858678</v>
      </c>
      <c r="T87" s="247">
        <f t="shared" si="59"/>
        <v>34840.771889416079</v>
      </c>
      <c r="U87" s="247">
        <f t="shared" si="59"/>
        <v>35532.085478423433</v>
      </c>
      <c r="V87" s="247">
        <f t="shared" si="59"/>
        <v>36237.11598996642</v>
      </c>
      <c r="W87" s="247">
        <f t="shared" si="59"/>
        <v>36956.135589179503</v>
      </c>
      <c r="X87" s="247">
        <f t="shared" si="59"/>
        <v>37689.421841305193</v>
      </c>
      <c r="Y87" s="247">
        <f t="shared" si="59"/>
        <v>38437.257818837708</v>
      </c>
      <c r="Z87" s="247">
        <f t="shared" si="59"/>
        <v>39199.932210792409</v>
      </c>
      <c r="AA87" s="247">
        <f t="shared" si="59"/>
        <v>39977.739434143325</v>
      </c>
      <c r="AB87" s="441">
        <f>((AB62+AB46+AB73++SUM(AB75:AB77))-AB75)++IF(Termination_Value_OnOff="On",INDEX(Termination_Value_Table_End_of_Term,2,MATCH(Termination_Value_Percentage,Dashboard!C72:E72,0)),0)</f>
        <v>143116.61569016465</v>
      </c>
      <c r="AD87" s="551"/>
      <c r="AE87" s="552"/>
      <c r="AF87" s="553"/>
    </row>
    <row r="88" spans="1:32" ht="16" thickTop="1" thickBot="1" x14ac:dyDescent="0.25">
      <c r="A88" s="3"/>
      <c r="B88" s="210" t="s">
        <v>51</v>
      </c>
      <c r="C88" s="228">
        <f>C87</f>
        <v>-682304.23961795389</v>
      </c>
      <c r="D88" s="228">
        <f t="shared" ref="D88:V88" si="60">C88+D87</f>
        <v>-446879.45126370474</v>
      </c>
      <c r="E88" s="228">
        <f t="shared" si="60"/>
        <v>-382230.04842110386</v>
      </c>
      <c r="F88" s="228">
        <f t="shared" si="60"/>
        <v>-332546.60146752477</v>
      </c>
      <c r="G88" s="228">
        <f t="shared" si="60"/>
        <v>-291626.57153067004</v>
      </c>
      <c r="H88" s="228">
        <f t="shared" si="60"/>
        <v>-250171.05542992114</v>
      </c>
      <c r="I88" s="228">
        <f t="shared" si="60"/>
        <v>-215135.79173696099</v>
      </c>
      <c r="J88" s="228">
        <f t="shared" si="60"/>
        <v>-186509.94457538222</v>
      </c>
      <c r="K88" s="228">
        <f t="shared" si="60"/>
        <v>-157316.09943776246</v>
      </c>
      <c r="L88" s="228">
        <f t="shared" si="60"/>
        <v>-127542.98617905381</v>
      </c>
      <c r="M88" s="228">
        <f t="shared" si="60"/>
        <v>-97179.111036370072</v>
      </c>
      <c r="N88" s="228">
        <f t="shared" si="60"/>
        <v>-66212.752192108077</v>
      </c>
      <c r="O88" s="228">
        <f t="shared" si="60"/>
        <v>-34631.955249036604</v>
      </c>
      <c r="P88" s="228">
        <f t="shared" si="60"/>
        <v>-2424.5286156062029</v>
      </c>
      <c r="Q88" s="228">
        <f t="shared" si="60"/>
        <v>30421.961200301306</v>
      </c>
      <c r="R88" s="228">
        <f t="shared" si="60"/>
        <v>63920.194391000405</v>
      </c>
      <c r="S88" s="228">
        <f t="shared" si="60"/>
        <v>98083.102743859083</v>
      </c>
      <c r="T88" s="228">
        <f t="shared" si="60"/>
        <v>132923.87463327515</v>
      </c>
      <c r="U88" s="228">
        <f t="shared" si="60"/>
        <v>168455.96011169857</v>
      </c>
      <c r="V88" s="228">
        <f t="shared" si="60"/>
        <v>204693.07610166498</v>
      </c>
      <c r="W88" s="228">
        <f t="shared" ref="W88:AB88" si="61">V88+W87</f>
        <v>241649.21169084447</v>
      </c>
      <c r="X88" s="228">
        <f t="shared" si="61"/>
        <v>279338.63353214966</v>
      </c>
      <c r="Y88" s="228">
        <f t="shared" si="61"/>
        <v>317775.89135098737</v>
      </c>
      <c r="Z88" s="228">
        <f t="shared" si="61"/>
        <v>356975.82356177981</v>
      </c>
      <c r="AA88" s="228">
        <f t="shared" si="61"/>
        <v>396953.5629959231</v>
      </c>
      <c r="AB88" s="228">
        <f t="shared" si="61"/>
        <v>540070.17868608772</v>
      </c>
      <c r="AD88" s="554"/>
      <c r="AE88" s="555"/>
      <c r="AF88" s="556"/>
    </row>
    <row r="89" spans="1:32" ht="14" x14ac:dyDescent="0.2">
      <c r="A89" s="3"/>
      <c r="B89" s="210" t="s">
        <v>223</v>
      </c>
      <c r="C89" s="228">
        <f>NPV(Investor_Discount_Rate,D87:AB87)+C87</f>
        <v>-12131.708985796198</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6.2464243898656457E-2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79" t="s">
        <v>184</v>
      </c>
      <c r="C94" s="579"/>
      <c r="D94" s="579"/>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26136.032120256295</v>
      </c>
      <c r="E103" s="228">
        <f>(((Unstructured!E30*Production_Delta_P95_P50)-Unstructured!E38)/Project_Loan_Coverage_Ratio)</f>
        <v>26654.581996979719</v>
      </c>
      <c r="F103" s="228">
        <f>(((Unstructured!F30*Production_Delta_P95_P50)-Unstructured!F38)/Project_Loan_Coverage_Ratio)</f>
        <v>27183.419977269692</v>
      </c>
      <c r="G103" s="228">
        <f>(((Unstructured!G30*Production_Delta_P95_P50)-Unstructured!G38)/Project_Loan_Coverage_Ratio)</f>
        <v>27722.750175679917</v>
      </c>
      <c r="H103" s="228">
        <f>(((Unstructured!H30*Production_Delta_P95_P50)-Unstructured!H38)/Project_Loan_Coverage_Ratio)</f>
        <v>28272.7807563108</v>
      </c>
      <c r="I103" s="228">
        <f>(((Unstructured!I30*Production_Delta_P95_P50)-Unstructured!I38)/Project_Loan_Coverage_Ratio)</f>
        <v>28833.724013149491</v>
      </c>
      <c r="J103" s="228">
        <f>(((Unstructured!J30*Production_Delta_P95_P50)-Unstructured!J38)/Project_Loan_Coverage_Ratio)</f>
        <v>29405.796452003997</v>
      </c>
      <c r="K103" s="228">
        <f>(((Unstructured!K30*Production_Delta_P95_P50)-Unstructured!K38)/Project_Loan_Coverage_Ratio)</f>
        <v>29989.218874062608</v>
      </c>
      <c r="L103" s="228">
        <f>(((Unstructured!L30*Production_Delta_P95_P50)-Unstructured!L38)/Project_Loan_Coverage_Ratio)</f>
        <v>30584.216461111126</v>
      </c>
      <c r="M103" s="228">
        <f>(((Unstructured!M30*Production_Delta_P95_P50)-Unstructured!M38)/Project_Loan_Coverage_Ratio)</f>
        <v>31191.01886244076</v>
      </c>
      <c r="N103" s="228">
        <f>(((Unstructured!N30*Production_Delta_P95_P50)-Unstructured!N38)/Project_Loan_Coverage_Ratio)</f>
        <v>31809.86028348012</v>
      </c>
      <c r="O103" s="228">
        <f>(((Unstructured!O30*Production_Delta_P95_P50)-Unstructured!O38)/Project_Loan_Coverage_Ratio)</f>
        <v>32440.979576185615</v>
      </c>
      <c r="P103" s="228">
        <f>(((Unstructured!P30*Production_Delta_P95_P50)-Unstructured!P38)/Project_Loan_Coverage_Ratio)</f>
        <v>33084.620331225058</v>
      </c>
      <c r="Q103" s="228">
        <f>(((Unstructured!Q30*Production_Delta_P95_P50)-Unstructured!Q38)/Project_Loan_Coverage_Ratio)</f>
        <v>33741.030971990163</v>
      </c>
      <c r="R103" s="228">
        <f>(((Unstructured!R30*Production_Delta_P95_P50)-Unstructured!R38)/Project_Loan_Coverage_Ratio)</f>
        <v>34410.46485047412</v>
      </c>
      <c r="S103" s="228">
        <f>(((Unstructured!S30*Production_Delta_P95_P50)-Unstructured!S38)/Project_Loan_Coverage_Ratio)</f>
        <v>35093.180345051245</v>
      </c>
      <c r="T103" s="228">
        <f>(((Unstructured!T30*Production_Delta_P95_P50)-Unstructured!T38)/Project_Loan_Coverage_Ratio)</f>
        <v>35789.440960196582</v>
      </c>
      <c r="U103" s="228">
        <f>(((Unstructured!U30*Production_Delta_P95_P50)-Unstructured!U38)/Project_Loan_Coverage_Ratio)</f>
        <v>36499.515428183666</v>
      </c>
      <c r="V103" s="228">
        <f>(((Unstructured!V30*Production_Delta_P95_P50)-Unstructured!V38)/Project_Loan_Coverage_Ratio)</f>
        <v>37223.677812800066</v>
      </c>
      <c r="W103" s="228">
        <f>(((Unstructured!W30*Production_Delta_P95_P50)-Unstructured!W38)/Project_Loan_Coverage_Ratio)</f>
        <v>37962.207615120336</v>
      </c>
      <c r="X103" s="228">
        <f>(((Unstructured!X30*Production_Delta_P95_P50)-Unstructured!X38)/Project_Loan_Coverage_Ratio)</f>
        <v>38715.389881377545</v>
      </c>
      <c r="Y103" s="228">
        <f>(((Unstructured!Y30*Production_Delta_P95_P50)-Unstructured!Y38)/Project_Loan_Coverage_Ratio)</f>
        <v>39483.515312974741</v>
      </c>
      <c r="Z103" s="228">
        <f>(((Unstructured!Z30*Production_Delta_P95_P50)-Unstructured!Z38)/Project_Loan_Coverage_Ratio)</f>
        <v>40266.880378679045</v>
      </c>
      <c r="AA103" s="228">
        <f>(((Unstructured!AA30*Production_Delta_P95_P50)-Unstructured!AA38)/Project_Loan_Coverage_Ratio)</f>
        <v>41065.787429041404</v>
      </c>
      <c r="AB103" s="228">
        <f>(((Unstructured!AB30*Production_Delta_P95_P50)-Unstructured!AB38)/Project_Loan_Coverage_Ratio)</f>
        <v>41880.54481308641</v>
      </c>
      <c r="AC103" s="12"/>
    </row>
    <row r="104" spans="1:29" ht="14" x14ac:dyDescent="0.2">
      <c r="A104" s="3"/>
      <c r="B104" s="236" t="s">
        <v>71</v>
      </c>
      <c r="C104" s="228"/>
      <c r="D104" s="228">
        <f t="shared" ref="D104:V104" si="68">D103-D98</f>
        <v>26136.032120256295</v>
      </c>
      <c r="E104" s="228">
        <f t="shared" si="68"/>
        <v>26654.581996979719</v>
      </c>
      <c r="F104" s="228">
        <f t="shared" si="68"/>
        <v>27183.419977269692</v>
      </c>
      <c r="G104" s="228">
        <f t="shared" si="68"/>
        <v>27722.750175679917</v>
      </c>
      <c r="H104" s="228">
        <f t="shared" si="68"/>
        <v>28272.7807563108</v>
      </c>
      <c r="I104" s="228">
        <f t="shared" si="68"/>
        <v>28833.724013149491</v>
      </c>
      <c r="J104" s="228">
        <f t="shared" si="68"/>
        <v>29405.796452003997</v>
      </c>
      <c r="K104" s="228">
        <f t="shared" si="68"/>
        <v>29989.218874062608</v>
      </c>
      <c r="L104" s="228">
        <f t="shared" si="68"/>
        <v>30584.216461111126</v>
      </c>
      <c r="M104" s="228">
        <f t="shared" si="68"/>
        <v>31191.01886244076</v>
      </c>
      <c r="N104" s="228">
        <f t="shared" si="68"/>
        <v>31809.86028348012</v>
      </c>
      <c r="O104" s="228">
        <f t="shared" si="68"/>
        <v>32440.979576185615</v>
      </c>
      <c r="P104" s="228">
        <f t="shared" si="68"/>
        <v>33084.620331225058</v>
      </c>
      <c r="Q104" s="228">
        <f t="shared" si="68"/>
        <v>33741.030971990163</v>
      </c>
      <c r="R104" s="228">
        <f t="shared" si="68"/>
        <v>34410.46485047412</v>
      </c>
      <c r="S104" s="228">
        <f t="shared" si="68"/>
        <v>35093.180345051245</v>
      </c>
      <c r="T104" s="228">
        <f t="shared" si="68"/>
        <v>35789.440960196582</v>
      </c>
      <c r="U104" s="228">
        <f t="shared" si="68"/>
        <v>36499.515428183666</v>
      </c>
      <c r="V104" s="228">
        <f t="shared" si="68"/>
        <v>37223.677812800066</v>
      </c>
      <c r="W104" s="228">
        <f t="shared" ref="W104:AB104" si="69">W103-W98</f>
        <v>37962.207615120336</v>
      </c>
      <c r="X104" s="228">
        <f t="shared" si="69"/>
        <v>38715.389881377545</v>
      </c>
      <c r="Y104" s="228">
        <f t="shared" si="69"/>
        <v>39483.515312974741</v>
      </c>
      <c r="Z104" s="228">
        <f t="shared" si="69"/>
        <v>40266.880378679045</v>
      </c>
      <c r="AA104" s="228">
        <f t="shared" si="69"/>
        <v>41065.787429041404</v>
      </c>
      <c r="AB104" s="228">
        <f t="shared" si="69"/>
        <v>41880.54481308641</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79" t="s">
        <v>183</v>
      </c>
      <c r="C109" s="579"/>
      <c r="D109" s="579">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33031.544816987036</v>
      </c>
      <c r="E113" s="228">
        <f>Unstructured!E30-(Unstructured!E38+Unstructured!E42)</f>
        <v>33686.962256224651</v>
      </c>
      <c r="F113" s="228">
        <f>Unstructured!F30-(Unstructured!F38+Unstructured!F42)</f>
        <v>34355.38442678711</v>
      </c>
      <c r="G113" s="228">
        <f>Unstructured!G30-(Unstructured!G38+Unstructured!G42)</f>
        <v>35037.069363903895</v>
      </c>
      <c r="H113" s="228">
        <f>Unstructured!H30-(Unstructured!H38+Unstructured!H42)</f>
        <v>35732.280222578578</v>
      </c>
      <c r="I113" s="228">
        <f>Unstructured!I30-(Unstructured!I38+Unstructured!I42)</f>
        <v>36441.285379170746</v>
      </c>
      <c r="J113" s="228">
        <f>Unstructured!J30-(Unstructured!J38+Unstructured!J42)</f>
        <v>37164.35853499356</v>
      </c>
      <c r="K113" s="228">
        <f>Unstructured!K30-(Unstructured!K38+Unstructured!K42)</f>
        <v>37901.778821966589</v>
      </c>
      <c r="L113" s="228">
        <f>Unstructured!L30-(Unstructured!L38+Unstructured!L42)</f>
        <v>38653.830910365003</v>
      </c>
      <c r="M113" s="228">
        <f>Unstructured!M30-(Unstructured!M38+Unstructured!M42)</f>
        <v>39420.805118706572</v>
      </c>
      <c r="N113" s="228">
        <f>Unstructured!N30-(Unstructured!N38+Unstructured!N42)</f>
        <v>40202.997525818886</v>
      </c>
      <c r="O113" s="228">
        <f>Unstructured!O30-(Unstructured!O38+Unstructured!O42)</f>
        <v>41000.710085130122</v>
      </c>
      <c r="P113" s="228">
        <f>Unstructured!P30-(Unstructured!P38+Unstructured!P42)</f>
        <v>41814.250741227392</v>
      </c>
      <c r="Q113" s="228">
        <f>Unstructured!Q30-(Unstructured!Q38+Unstructured!Q42)</f>
        <v>42643.933548727691</v>
      </c>
      <c r="R113" s="228">
        <f>Unstructured!R30-(Unstructured!R38+Unstructured!R42)</f>
        <v>43490.078793507433</v>
      </c>
      <c r="S113" s="228">
        <f>Unstructured!S30-(Unstructured!S38+Unstructured!S42)</f>
        <v>44353.013116337141</v>
      </c>
      <c r="T113" s="228">
        <f>Unstructured!T30-(Unstructured!T38+Unstructured!T42)</f>
        <v>45233.069638969268</v>
      </c>
      <c r="U113" s="228">
        <f>Unstructured!U30-(Unstructured!U38+Unstructured!U42)</f>
        <v>46130.588092727601</v>
      </c>
      <c r="V113" s="228">
        <f>Unstructured!V30-(Unstructured!V38+Unstructured!V42)</f>
        <v>47045.91494964806</v>
      </c>
      <c r="W113" s="228">
        <f>Unstructured!W30-(Unstructured!W38+Unstructured!W42)</f>
        <v>47979.403556221354</v>
      </c>
      <c r="X113" s="228">
        <f>Unstructured!X30-(Unstructured!X38+Unstructured!X42)</f>
        <v>48931.414269789282</v>
      </c>
      <c r="Y113" s="228">
        <f>Unstructured!Y30-(Unstructured!Y38+Unstructured!Y42)</f>
        <v>49902.314597647135</v>
      </c>
      <c r="Z113" s="228">
        <f>Unstructured!Z30-(Unstructured!Z38+Unstructured!Z42)</f>
        <v>50892.47933890608</v>
      </c>
      <c r="AA113" s="228">
        <f>Unstructured!AA30-(Unstructured!AA38+Unstructured!AA42)</f>
        <v>51902.29072917017</v>
      </c>
      <c r="AB113" s="228">
        <f>Unstructured!AB30-(Unstructured!AB38+Unstructured!AB42)</f>
        <v>52932.138588083806</v>
      </c>
      <c r="AC113" s="12"/>
    </row>
    <row r="114" spans="1:29" ht="14" x14ac:dyDescent="0.2">
      <c r="A114" s="3"/>
      <c r="B114" s="236" t="s">
        <v>20</v>
      </c>
      <c r="C114" s="245"/>
      <c r="D114" s="228">
        <f>IF(AND(Owner_is_Taxpayer_Non_Taxpayer?="Taxpayer",Unstructured!D17&lt;7),VLOOKUP(Unstructured!D17,Depreciation_Table,4),0)</f>
        <v>105282.97106839996</v>
      </c>
      <c r="E114" s="228">
        <f>IF(AND(Owner_is_Taxpayer_Non_Taxpayer?="Taxpayer",Unstructured!E17&lt;7),VLOOKUP(Unstructured!E17,Depreciation_Table,4),0)</f>
        <v>168452.75370943994</v>
      </c>
      <c r="F114" s="228">
        <f>IF(AND(Owner_is_Taxpayer_Non_Taxpayer?="Taxpayer",Unstructured!F17&lt;7),VLOOKUP(Unstructured!F17,Depreciation_Table,4),0)</f>
        <v>101071.65222566396</v>
      </c>
      <c r="G114" s="228">
        <f>IF(AND(Owner_is_Taxpayer_Non_Taxpayer?="Taxpayer",Unstructured!G17&lt;7),VLOOKUP(Unstructured!G17,Depreciation_Table,4),0)</f>
        <v>60642.991335398372</v>
      </c>
      <c r="H114" s="228">
        <f>IF(AND(Owner_is_Taxpayer_Non_Taxpayer?="Taxpayer",Unstructured!H17&lt;7),VLOOKUP(Unstructured!H17,Depreciation_Table,4),0)</f>
        <v>60642.991335398372</v>
      </c>
      <c r="I114" s="228">
        <f>IF(AND(Owner_is_Taxpayer_Non_Taxpayer?="Taxpayer",Unstructured!I17&lt;7),VLOOKUP(Unstructured!I17,Depreciation_Table,4),0)</f>
        <v>30321.495667699186</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6119.7897114715597</v>
      </c>
      <c r="J116" s="247">
        <f t="shared" si="74"/>
        <v>37164.35853499356</v>
      </c>
      <c r="K116" s="247">
        <f t="shared" si="74"/>
        <v>37901.778821966589</v>
      </c>
      <c r="L116" s="247">
        <f t="shared" si="74"/>
        <v>38653.830910365003</v>
      </c>
      <c r="M116" s="247">
        <f t="shared" si="74"/>
        <v>39420.805118706572</v>
      </c>
      <c r="N116" s="247">
        <f t="shared" si="74"/>
        <v>40202.997525818886</v>
      </c>
      <c r="O116" s="247">
        <f t="shared" si="74"/>
        <v>41000.710085130122</v>
      </c>
      <c r="P116" s="247">
        <f t="shared" si="74"/>
        <v>41814.250741227392</v>
      </c>
      <c r="Q116" s="247">
        <f t="shared" si="74"/>
        <v>42643.933548727691</v>
      </c>
      <c r="R116" s="247">
        <f t="shared" si="74"/>
        <v>43490.078793507433</v>
      </c>
      <c r="S116" s="247">
        <f t="shared" si="74"/>
        <v>44353.013116337141</v>
      </c>
      <c r="T116" s="247">
        <f t="shared" si="74"/>
        <v>45233.069638969268</v>
      </c>
      <c r="U116" s="247">
        <f t="shared" si="74"/>
        <v>46130.588092727601</v>
      </c>
      <c r="V116" s="247">
        <f t="shared" si="74"/>
        <v>47045.91494964806</v>
      </c>
      <c r="W116" s="247">
        <f t="shared" ref="W116:AB116" si="75">IF(W113&gt;(W114+W115),W113-(W114+W115),0)</f>
        <v>47979.403556221354</v>
      </c>
      <c r="X116" s="247">
        <f t="shared" si="75"/>
        <v>48931.414269789282</v>
      </c>
      <c r="Y116" s="247">
        <f t="shared" si="75"/>
        <v>49902.314597647135</v>
      </c>
      <c r="Z116" s="247">
        <f t="shared" si="75"/>
        <v>50892.47933890608</v>
      </c>
      <c r="AA116" s="247">
        <f t="shared" si="75"/>
        <v>51902.29072917017</v>
      </c>
      <c r="AB116" s="247">
        <f t="shared" si="75"/>
        <v>52932.138588083806</v>
      </c>
      <c r="AC116" s="12"/>
    </row>
    <row r="117" spans="1:29" ht="15" thickTop="1" x14ac:dyDescent="0.2">
      <c r="A117" s="3"/>
      <c r="B117" s="236" t="s">
        <v>79</v>
      </c>
      <c r="C117" s="245"/>
      <c r="D117" s="228">
        <f>IF(D113&gt;(D114+D115),0,(D114+D115)-D113)</f>
        <v>72251.426251412922</v>
      </c>
      <c r="E117" s="228">
        <f t="shared" ref="E117:V117" si="76">IF(E113&gt;(E114+E115),0,(E114+E115)-E113)</f>
        <v>134765.79145321529</v>
      </c>
      <c r="F117" s="228">
        <f t="shared" si="76"/>
        <v>66716.267798876856</v>
      </c>
      <c r="G117" s="228">
        <f t="shared" si="76"/>
        <v>25605.921971494477</v>
      </c>
      <c r="H117" s="228">
        <f t="shared" si="76"/>
        <v>24910.711112819794</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33031.544816987036</v>
      </c>
      <c r="E120" s="228">
        <f>Unstructured!E30-(Unstructured!E38+Unstructured!E42+Unstructured!E53)</f>
        <v>33686.962256224651</v>
      </c>
      <c r="F120" s="228">
        <f>Unstructured!F30-(Unstructured!F38+Unstructured!F42+Unstructured!F53)</f>
        <v>34355.38442678711</v>
      </c>
      <c r="G120" s="228">
        <f>Unstructured!G30-(Unstructured!G38+Unstructured!G42+Unstructured!G53)</f>
        <v>35037.069363903895</v>
      </c>
      <c r="H120" s="228">
        <f>Unstructured!H30-(Unstructured!H38+Unstructured!H42+Unstructured!H53)</f>
        <v>35732.280222578578</v>
      </c>
      <c r="I120" s="228">
        <f>Unstructured!I30-(Unstructured!I38+Unstructured!I42+Unstructured!I53)</f>
        <v>36288.290636383957</v>
      </c>
      <c r="J120" s="228">
        <f>Unstructured!J30-(Unstructured!J38+Unstructured!J42+Unstructured!J53)</f>
        <v>36235.249571618719</v>
      </c>
      <c r="K120" s="228">
        <f>Unstructured!K30-(Unstructured!K38+Unstructured!K42+Unstructured!K53)</f>
        <v>36954.234351417421</v>
      </c>
      <c r="L120" s="228">
        <f>Unstructured!L30-(Unstructured!L38+Unstructured!L42+Unstructured!L53)</f>
        <v>37687.48513760588</v>
      </c>
      <c r="M120" s="228">
        <f>Unstructured!M30-(Unstructured!M38+Unstructured!M42+Unstructured!M53)</f>
        <v>38435.284990738903</v>
      </c>
      <c r="N120" s="228">
        <f>Unstructured!N30-(Unstructured!N38+Unstructured!N42+Unstructured!N53)</f>
        <v>39197.922587673413</v>
      </c>
      <c r="O120" s="228">
        <f>Unstructured!O30-(Unstructured!O38+Unstructured!O42+Unstructured!O53)</f>
        <v>39975.692333001869</v>
      </c>
      <c r="P120" s="228">
        <f>Unstructured!P30-(Unstructured!P38+Unstructured!P42+Unstructured!P53)</f>
        <v>40768.894472696709</v>
      </c>
      <c r="Q120" s="228">
        <f>Unstructured!Q30-(Unstructured!Q38+Unstructured!Q42+Unstructured!Q53)</f>
        <v>41577.8352100095</v>
      </c>
      <c r="R120" s="228">
        <f>Unstructured!R30-(Unstructured!R38+Unstructured!R42+Unstructured!R53)</f>
        <v>42402.826823669748</v>
      </c>
      <c r="S120" s="228">
        <f>Unstructured!S30-(Unstructured!S38+Unstructured!S42+Unstructured!S53)</f>
        <v>43244.18778842871</v>
      </c>
      <c r="T120" s="228">
        <f>Unstructured!T30-(Unstructured!T38+Unstructured!T42+Unstructured!T53)</f>
        <v>44102.242897995035</v>
      </c>
      <c r="U120" s="228">
        <f>Unstructured!U30-(Unstructured!U38+Unstructured!U42+Unstructured!U53)</f>
        <v>44977.323390409409</v>
      </c>
      <c r="V120" s="228">
        <f>Unstructured!V30-(Unstructured!V38+Unstructured!V42+Unstructured!V53)</f>
        <v>45869.767075906857</v>
      </c>
      <c r="W120" s="228">
        <f>Unstructured!W30-(Unstructured!W38+Unstructured!W42+Unstructured!W53)</f>
        <v>46779.918467315823</v>
      </c>
      <c r="X120" s="228">
        <f>Unstructured!X30-(Unstructured!X38+Unstructured!X42+Unstructured!X53)</f>
        <v>47708.128913044551</v>
      </c>
      <c r="Y120" s="228">
        <f>Unstructured!Y30-(Unstructured!Y38+Unstructured!Y42+Unstructured!Y53)</f>
        <v>48654.756732705959</v>
      </c>
      <c r="Z120" s="228">
        <f>Unstructured!Z30-(Unstructured!Z38+Unstructured!Z42+Unstructured!Z53)</f>
        <v>49620.167355433427</v>
      </c>
      <c r="AA120" s="228">
        <f>Unstructured!AA30-(Unstructured!AA38+Unstructured!AA42+Unstructured!AA53)</f>
        <v>50604.733460940915</v>
      </c>
      <c r="AB120" s="228">
        <f>Unstructured!AB30-(Unstructured!AB38+Unstructured!AB42+Unstructured!AB53)</f>
        <v>51608.835123381708</v>
      </c>
      <c r="AC120" s="12"/>
    </row>
    <row r="121" spans="1:29" ht="14" x14ac:dyDescent="0.2">
      <c r="A121" s="3"/>
      <c r="B121" s="236" t="s">
        <v>177</v>
      </c>
      <c r="C121" s="245"/>
      <c r="D121" s="228">
        <f>IF(AND(Owner_is_Taxpayer_Non_Taxpayer?="Taxpayer",Unstructured!D17&lt;7),(VLOOKUP(Unstructured!D17,Depreciation_Table,3)),0)</f>
        <v>105282.97106839996</v>
      </c>
      <c r="E121" s="228">
        <f>IF(AND(Owner_is_Taxpayer_Non_Taxpayer?="Taxpayer",Unstructured!E17&lt;7),(VLOOKUP(Unstructured!E17,Depreciation_Table,3)),0)</f>
        <v>168452.75370943994</v>
      </c>
      <c r="F121" s="228">
        <f>IF(AND(Owner_is_Taxpayer_Non_Taxpayer?="Taxpayer",Unstructured!F17&lt;7),(VLOOKUP(Unstructured!F17,Depreciation_Table,3)),0)</f>
        <v>101071.65222566396</v>
      </c>
      <c r="G121" s="228">
        <f>IF(AND(Owner_is_Taxpayer_Non_Taxpayer?="Taxpayer",Unstructured!G17&lt;7),(VLOOKUP(Unstructured!G17,Depreciation_Table,3)),0)</f>
        <v>60642.991335398372</v>
      </c>
      <c r="H121" s="228">
        <f>IF(AND(Owner_is_Taxpayer_Non_Taxpayer?="Taxpayer",Unstructured!H17&lt;7),(VLOOKUP(Unstructured!H17,Depreciation_Table,3)),0)</f>
        <v>60642.991335398372</v>
      </c>
      <c r="I121" s="228">
        <f>IF(AND(Owner_is_Taxpayer_Non_Taxpayer?="Taxpayer",Unstructured!I17&lt;7),(VLOOKUP(Unstructured!I17,Depreciation_Table,3)),0)</f>
        <v>30321.495667699186</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5966.7949686847714</v>
      </c>
      <c r="J123" s="247">
        <f t="shared" si="80"/>
        <v>36235.249571618719</v>
      </c>
      <c r="K123" s="247">
        <f t="shared" si="80"/>
        <v>36954.234351417421</v>
      </c>
      <c r="L123" s="247">
        <f t="shared" si="80"/>
        <v>37687.48513760588</v>
      </c>
      <c r="M123" s="247">
        <f t="shared" si="80"/>
        <v>38435.284990738903</v>
      </c>
      <c r="N123" s="247">
        <f t="shared" si="80"/>
        <v>39197.922587673413</v>
      </c>
      <c r="O123" s="247">
        <f t="shared" si="80"/>
        <v>39975.692333001869</v>
      </c>
      <c r="P123" s="247">
        <f t="shared" si="80"/>
        <v>40768.894472696709</v>
      </c>
      <c r="Q123" s="247">
        <f t="shared" si="80"/>
        <v>41577.8352100095</v>
      </c>
      <c r="R123" s="247">
        <f t="shared" si="80"/>
        <v>42402.826823669748</v>
      </c>
      <c r="S123" s="247">
        <f t="shared" si="80"/>
        <v>43244.18778842871</v>
      </c>
      <c r="T123" s="247">
        <f t="shared" si="80"/>
        <v>44102.242897995035</v>
      </c>
      <c r="U123" s="247">
        <f t="shared" si="80"/>
        <v>44977.323390409409</v>
      </c>
      <c r="V123" s="247">
        <f t="shared" si="80"/>
        <v>45869.767075906857</v>
      </c>
      <c r="W123" s="247">
        <f t="shared" ref="W123:AB123" si="81">IF(W120&gt;(W121+W122),W120-(W121+W122),0)</f>
        <v>46779.918467315823</v>
      </c>
      <c r="X123" s="247">
        <f t="shared" si="81"/>
        <v>47708.128913044551</v>
      </c>
      <c r="Y123" s="247">
        <f t="shared" si="81"/>
        <v>48654.756732705959</v>
      </c>
      <c r="Z123" s="247">
        <f t="shared" si="81"/>
        <v>49620.167355433427</v>
      </c>
      <c r="AA123" s="247">
        <f t="shared" si="81"/>
        <v>50604.733460940915</v>
      </c>
      <c r="AB123" s="247">
        <f t="shared" si="81"/>
        <v>51608.835123381708</v>
      </c>
      <c r="AC123" s="12"/>
    </row>
    <row r="124" spans="1:29" ht="15" thickTop="1" x14ac:dyDescent="0.2">
      <c r="A124" s="3"/>
      <c r="B124" s="237" t="s">
        <v>179</v>
      </c>
      <c r="C124" s="248"/>
      <c r="D124" s="196">
        <f t="shared" ref="D124:V124" si="82">IF(D120&gt;(D121+D122),0,(D121+D122)-D120)</f>
        <v>72251.426251412922</v>
      </c>
      <c r="E124" s="196">
        <f t="shared" si="82"/>
        <v>134765.79145321529</v>
      </c>
      <c r="F124" s="196">
        <f t="shared" si="82"/>
        <v>66716.267798876856</v>
      </c>
      <c r="G124" s="196">
        <f t="shared" si="82"/>
        <v>25605.921971494477</v>
      </c>
      <c r="H124" s="196">
        <f t="shared" si="82"/>
        <v>24910.711112819794</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73" t="s">
        <v>61</v>
      </c>
      <c r="D132" s="574"/>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682304.23961795389</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75" t="s">
        <v>43</v>
      </c>
      <c r="D136" s="576"/>
      <c r="E136" s="576"/>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0.64370594073178034</v>
      </c>
      <c r="E137" s="45">
        <f>NPV(Dashboard!$H$25,D152:AB152)</f>
        <v>431394.03928317089</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0.26031202759499217</v>
      </c>
      <c r="E138" s="46">
        <f>NPV(Dashboard!$H$25,D153:W153)</f>
        <v>174453.97028732393</v>
      </c>
    </row>
    <row r="139" spans="2:29" ht="14" x14ac:dyDescent="0.2">
      <c r="C139" s="50" t="s">
        <v>18</v>
      </c>
      <c r="D139" s="55">
        <f>E139/$E$141</f>
        <v>8.773112797117652E-2</v>
      </c>
      <c r="E139" s="46">
        <f>NPV(Dashboard!$H$25,D154:AB154)</f>
        <v>58794.992047657033</v>
      </c>
    </row>
    <row r="140" spans="2:29" ht="15" thickBot="1" x14ac:dyDescent="0.25">
      <c r="C140" s="50" t="s">
        <v>47</v>
      </c>
      <c r="D140" s="56">
        <f>E140/$E$141</f>
        <v>8.250903702051126E-3</v>
      </c>
      <c r="E140" s="47">
        <f>NPV(Dashboard!$H$25,D155:AB155)</f>
        <v>5529.5290140058405</v>
      </c>
      <c r="O140" t="s">
        <v>349</v>
      </c>
    </row>
    <row r="141" spans="2:29" ht="15" thickTop="1" x14ac:dyDescent="0.2">
      <c r="C141" s="43"/>
      <c r="D141" s="57">
        <f>SUM(D137:D140)</f>
        <v>1.0000000000000002</v>
      </c>
      <c r="E141" s="44">
        <f>SUM(E137:E140)</f>
        <v>670172.53063215758</v>
      </c>
    </row>
    <row r="143" spans="2:29" ht="14" x14ac:dyDescent="0.2">
      <c r="B143" s="1"/>
      <c r="C143" s="573" t="s">
        <v>44</v>
      </c>
      <c r="D143" s="574"/>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73" t="s">
        <v>29</v>
      </c>
      <c r="D148" s="574"/>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33031.544816987036</v>
      </c>
      <c r="E152" s="49">
        <f>Unstructured!E80</f>
        <v>33686.962256224651</v>
      </c>
      <c r="F152" s="49">
        <f>Unstructured!F80</f>
        <v>34355.384426787103</v>
      </c>
      <c r="G152" s="49">
        <f>Unstructured!G80</f>
        <v>35037.069363903895</v>
      </c>
      <c r="H152" s="49">
        <f>Unstructured!H80</f>
        <v>35732.280222578578</v>
      </c>
      <c r="I152" s="49">
        <f>Unstructured!I80</f>
        <v>35035.263692960158</v>
      </c>
      <c r="J152" s="49">
        <f>Unstructured!J80</f>
        <v>28625.847161578786</v>
      </c>
      <c r="K152" s="49">
        <f>Unstructured!K80</f>
        <v>29193.845137619763</v>
      </c>
      <c r="L152" s="49">
        <f>Unstructured!L80</f>
        <v>29773.113258708647</v>
      </c>
      <c r="M152" s="49">
        <f>Unstructured!M80</f>
        <v>30363.875142683733</v>
      </c>
      <c r="N152" s="49">
        <f>Unstructured!N80</f>
        <v>30966.358844261995</v>
      </c>
      <c r="O152" s="49">
        <f>Unstructured!O80</f>
        <v>31580.796943071477</v>
      </c>
      <c r="P152" s="49">
        <f>Unstructured!P80</f>
        <v>32207.426633430401</v>
      </c>
      <c r="Q152" s="49">
        <f>Unstructured!Q80</f>
        <v>32846.489815907509</v>
      </c>
      <c r="R152" s="49">
        <f>Unstructured!R80</f>
        <v>33498.233190699102</v>
      </c>
      <c r="S152" s="49">
        <f>Unstructured!S80</f>
        <v>34162.908352858678</v>
      </c>
      <c r="T152" s="49">
        <f>Unstructured!T80</f>
        <v>34840.771889416079</v>
      </c>
      <c r="U152" s="49">
        <f>Unstructured!U80</f>
        <v>35532.085478423433</v>
      </c>
      <c r="V152" s="49">
        <f>Unstructured!V80</f>
        <v>36237.11598996642</v>
      </c>
      <c r="W152" s="49">
        <f>Unstructured!W80</f>
        <v>36956.135589179503</v>
      </c>
      <c r="X152" s="49">
        <f>Unstructured!X80</f>
        <v>37689.421841305193</v>
      </c>
      <c r="Y152" s="49">
        <f>Unstructured!Y80</f>
        <v>38437.257818837708</v>
      </c>
      <c r="Z152" s="49">
        <f>Unstructured!Z80</f>
        <v>39199.932210792409</v>
      </c>
      <c r="AA152" s="49">
        <f>Unstructured!AA80</f>
        <v>39977.739434143325</v>
      </c>
      <c r="AB152" s="49">
        <f>Unstructured!AB80</f>
        <v>143116.61569016465</v>
      </c>
      <c r="AC152" s="49"/>
    </row>
    <row r="153" spans="2:29" ht="14" x14ac:dyDescent="0.2">
      <c r="C153" s="50" t="s">
        <v>17</v>
      </c>
      <c r="D153" s="51">
        <f>Unstructured!D69</f>
        <v>185793.47835599998</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15172.799512796713</v>
      </c>
      <c r="E154" s="51">
        <f>Unstructured!E70</f>
        <v>28300.816205175212</v>
      </c>
      <c r="F154" s="51">
        <f>Unstructured!F70</f>
        <v>14010.416237764139</v>
      </c>
      <c r="G154" s="51">
        <f>Unstructured!G70</f>
        <v>5377.2436140138398</v>
      </c>
      <c r="H154" s="51">
        <f>Unstructured!H70</f>
        <v>5231.2493336921561</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1426.9656684654053</v>
      </c>
      <c r="E155" s="53">
        <f>Unstructured!E72</f>
        <v>2661.6243812010021</v>
      </c>
      <c r="F155" s="53">
        <f>Unstructured!F72</f>
        <v>1317.6462890278181</v>
      </c>
      <c r="G155" s="53">
        <f>Unstructured!G72</f>
        <v>505.71695893701605</v>
      </c>
      <c r="H155" s="53">
        <f>Unstructured!H72</f>
        <v>491.98654447819098</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400"/>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59" t="s">
        <v>409</v>
      </c>
    </row>
    <row r="158" spans="2:29" ht="14" x14ac:dyDescent="0.2">
      <c r="C158" s="559"/>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33031.544816987036</v>
      </c>
      <c r="E159" s="51">
        <f t="shared" ref="E159:V159" si="84">E152</f>
        <v>33686.962256224651</v>
      </c>
      <c r="F159" s="51">
        <f t="shared" si="84"/>
        <v>34355.384426787103</v>
      </c>
      <c r="G159" s="51">
        <f t="shared" si="84"/>
        <v>35037.069363903895</v>
      </c>
      <c r="H159" s="51">
        <f t="shared" si="84"/>
        <v>35732.280222578578</v>
      </c>
      <c r="I159" s="51">
        <f t="shared" si="84"/>
        <v>35035.263692960158</v>
      </c>
      <c r="J159" s="51">
        <f t="shared" si="84"/>
        <v>28625.847161578786</v>
      </c>
      <c r="K159" s="51">
        <f t="shared" si="84"/>
        <v>29193.845137619763</v>
      </c>
      <c r="L159" s="51">
        <f t="shared" si="84"/>
        <v>29773.113258708647</v>
      </c>
      <c r="M159" s="51">
        <f t="shared" si="84"/>
        <v>30363.875142683733</v>
      </c>
      <c r="N159" s="51">
        <f t="shared" si="84"/>
        <v>30966.358844261995</v>
      </c>
      <c r="O159" s="51">
        <f t="shared" si="84"/>
        <v>31580.796943071477</v>
      </c>
      <c r="P159" s="51">
        <f t="shared" si="84"/>
        <v>32207.426633430401</v>
      </c>
      <c r="Q159" s="51">
        <f t="shared" si="84"/>
        <v>32846.489815907509</v>
      </c>
      <c r="R159" s="51">
        <f t="shared" si="84"/>
        <v>33498.233190699102</v>
      </c>
      <c r="S159" s="51">
        <f t="shared" si="84"/>
        <v>34162.908352858678</v>
      </c>
      <c r="T159" s="51">
        <f t="shared" si="84"/>
        <v>34840.771889416079</v>
      </c>
      <c r="U159" s="51">
        <f t="shared" si="84"/>
        <v>35532.085478423433</v>
      </c>
      <c r="V159" s="51">
        <f t="shared" si="84"/>
        <v>36237.11598996642</v>
      </c>
      <c r="W159" s="51">
        <f t="shared" ref="W159:AB159" si="85">W152</f>
        <v>36956.135589179503</v>
      </c>
      <c r="X159" s="51">
        <f t="shared" si="85"/>
        <v>37689.421841305193</v>
      </c>
      <c r="Y159" s="51">
        <f t="shared" si="85"/>
        <v>38437.257818837708</v>
      </c>
      <c r="Z159" s="51">
        <f t="shared" si="85"/>
        <v>39199.932210792409</v>
      </c>
      <c r="AA159" s="51">
        <f t="shared" si="85"/>
        <v>39977.739434143325</v>
      </c>
      <c r="AB159" s="51">
        <f t="shared" si="85"/>
        <v>143116.61569016465</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60" t="s">
        <v>411</v>
      </c>
    </row>
    <row r="164" spans="3:29" ht="14" x14ac:dyDescent="0.2">
      <c r="C164" s="561"/>
      <c r="D164" s="407">
        <v>1</v>
      </c>
      <c r="E164" s="408">
        <v>2</v>
      </c>
      <c r="F164" s="408">
        <v>3</v>
      </c>
      <c r="G164" s="408">
        <v>4</v>
      </c>
      <c r="H164" s="408">
        <v>5</v>
      </c>
      <c r="I164" s="408">
        <v>6</v>
      </c>
      <c r="J164" s="408">
        <v>7</v>
      </c>
      <c r="K164" s="408">
        <v>8</v>
      </c>
      <c r="L164" s="408">
        <v>9</v>
      </c>
      <c r="M164" s="408">
        <v>10</v>
      </c>
    </row>
    <row r="165" spans="3:29" ht="14" x14ac:dyDescent="0.2">
      <c r="C165" s="401" t="s">
        <v>412</v>
      </c>
      <c r="D165" s="402"/>
      <c r="E165" s="402"/>
      <c r="F165" s="402"/>
      <c r="G165" s="402"/>
      <c r="H165" s="402"/>
      <c r="I165" s="402"/>
      <c r="J165" s="402"/>
      <c r="K165" s="402"/>
      <c r="L165" s="402"/>
      <c r="M165" s="403"/>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226800.69580975018</v>
      </c>
      <c r="E166" s="51">
        <f t="shared" si="90"/>
        <v>35375.078278982386</v>
      </c>
      <c r="F166" s="51">
        <f t="shared" si="90"/>
        <v>21225.046967389429</v>
      </c>
      <c r="G166" s="51">
        <f t="shared" si="90"/>
        <v>12735.028180433657</v>
      </c>
      <c r="H166" s="51">
        <f t="shared" si="90"/>
        <v>12735.028180433657</v>
      </c>
      <c r="I166" s="51">
        <f t="shared" si="90"/>
        <v>6367.5140902168287</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33031.544816987036</v>
      </c>
      <c r="E167" s="51">
        <f t="shared" si="91"/>
        <v>33686.962256224651</v>
      </c>
      <c r="F167" s="51">
        <f t="shared" si="91"/>
        <v>34355.38442678711</v>
      </c>
      <c r="G167" s="51">
        <f t="shared" si="91"/>
        <v>35037.069363903895</v>
      </c>
      <c r="H167" s="51">
        <f t="shared" si="91"/>
        <v>35732.280222578578</v>
      </c>
      <c r="I167" s="51">
        <f t="shared" si="91"/>
        <v>36441.285379170746</v>
      </c>
      <c r="J167" s="51">
        <f t="shared" si="91"/>
        <v>37164.35853499356</v>
      </c>
      <c r="K167" s="51">
        <f t="shared" si="91"/>
        <v>37901.778821966589</v>
      </c>
      <c r="L167" s="51">
        <f t="shared" si="91"/>
        <v>38653.830910365003</v>
      </c>
      <c r="M167" s="46">
        <f t="shared" si="91"/>
        <v>39420.805118706572</v>
      </c>
      <c r="N167" s="51"/>
      <c r="O167" s="51"/>
      <c r="P167" s="51"/>
      <c r="Q167" s="51"/>
      <c r="R167" s="51"/>
      <c r="S167" s="51"/>
      <c r="T167" s="51"/>
    </row>
    <row r="168" spans="3:29" ht="14" x14ac:dyDescent="0.2">
      <c r="C168" s="50" t="s">
        <v>417</v>
      </c>
      <c r="D168" s="51">
        <f>IF(D166&gt;=D167,-(D167-D166),0)</f>
        <v>193769.15099276314</v>
      </c>
      <c r="E168" s="51">
        <f t="shared" ref="E168:M168" si="92">IF(E166&gt;=E167,-(E167-E166),0)</f>
        <v>1688.1160227577348</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4"/>
      <c r="M169" s="405"/>
    </row>
    <row r="170" spans="3:29" ht="14" x14ac:dyDescent="0.2">
      <c r="C170" s="406" t="s">
        <v>414</v>
      </c>
      <c r="M170" s="405"/>
    </row>
    <row r="171" spans="3:29" ht="14" x14ac:dyDescent="0.2">
      <c r="C171" s="50" t="s">
        <v>413</v>
      </c>
      <c r="D171" s="51">
        <f>D166</f>
        <v>226800.69580975018</v>
      </c>
      <c r="E171" s="51">
        <f t="shared" ref="E171:M171" si="93">E166</f>
        <v>35375.078278982386</v>
      </c>
      <c r="F171" s="51">
        <f t="shared" si="93"/>
        <v>21225.046967389429</v>
      </c>
      <c r="G171" s="51">
        <f t="shared" si="93"/>
        <v>12735.028180433657</v>
      </c>
      <c r="H171" s="51">
        <f t="shared" si="93"/>
        <v>12735.028180433657</v>
      </c>
      <c r="I171" s="51">
        <f t="shared" si="93"/>
        <v>6367.5140902168287</v>
      </c>
      <c r="J171" s="51">
        <f t="shared" si="93"/>
        <v>0</v>
      </c>
      <c r="K171" s="51">
        <f t="shared" si="93"/>
        <v>0</v>
      </c>
      <c r="L171" s="51">
        <f t="shared" si="93"/>
        <v>0</v>
      </c>
      <c r="M171" s="46">
        <f t="shared" si="93"/>
        <v>0</v>
      </c>
    </row>
    <row r="172" spans="3:29" ht="14" x14ac:dyDescent="0.2">
      <c r="C172" s="50" t="s">
        <v>410</v>
      </c>
      <c r="D172" s="51">
        <f>D167</f>
        <v>33031.544816987036</v>
      </c>
      <c r="E172" s="51">
        <f t="shared" ref="E172:M172" si="94">E167</f>
        <v>33686.962256224651</v>
      </c>
      <c r="F172" s="51">
        <f t="shared" si="94"/>
        <v>34355.38442678711</v>
      </c>
      <c r="G172" s="51">
        <f t="shared" si="94"/>
        <v>35037.069363903895</v>
      </c>
      <c r="H172" s="51">
        <f t="shared" si="94"/>
        <v>35732.280222578578</v>
      </c>
      <c r="I172" s="51">
        <f t="shared" si="94"/>
        <v>36441.285379170746</v>
      </c>
      <c r="J172" s="51">
        <f t="shared" si="94"/>
        <v>37164.35853499356</v>
      </c>
      <c r="K172" s="51">
        <f t="shared" si="94"/>
        <v>37901.778821966589</v>
      </c>
      <c r="L172" s="51">
        <f t="shared" si="94"/>
        <v>38653.830910365003</v>
      </c>
      <c r="M172" s="46">
        <f t="shared" si="94"/>
        <v>39420.805118706572</v>
      </c>
    </row>
    <row r="173" spans="3:29" ht="14" x14ac:dyDescent="0.2">
      <c r="C173" s="50" t="s">
        <v>416</v>
      </c>
      <c r="D173" s="51">
        <f>IF(D166&gt;=D167,-(D167-D166),0)</f>
        <v>193769.15099276314</v>
      </c>
      <c r="E173" s="51">
        <f t="shared" ref="E173:M173" si="95">IF(E166&gt;=E167,-(E167-E166),0)</f>
        <v>1688.1160227577348</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193769.15099276314</v>
      </c>
      <c r="E174" s="53">
        <f>MAX((D174 +E171)-E172,0)</f>
        <v>195457.26701552089</v>
      </c>
      <c r="F174" s="53">
        <f t="shared" ref="F174:M174" si="96">MAX((E174 +F171)-F172,0)</f>
        <v>182326.92955612321</v>
      </c>
      <c r="G174" s="53">
        <f t="shared" si="96"/>
        <v>160024.88837265299</v>
      </c>
      <c r="H174" s="53">
        <f t="shared" si="96"/>
        <v>137027.63633050807</v>
      </c>
      <c r="I174" s="53">
        <f t="shared" si="96"/>
        <v>106953.86504155416</v>
      </c>
      <c r="J174" s="53">
        <f t="shared" si="96"/>
        <v>69789.506506560603</v>
      </c>
      <c r="K174" s="53">
        <f t="shared" si="96"/>
        <v>31887.727684594014</v>
      </c>
      <c r="L174" s="53">
        <f t="shared" si="96"/>
        <v>0</v>
      </c>
      <c r="M174" s="44">
        <f t="shared" si="96"/>
        <v>0</v>
      </c>
    </row>
    <row r="202" spans="15:15" x14ac:dyDescent="0.15">
      <c r="O202" s="34" t="s">
        <v>418</v>
      </c>
    </row>
  </sheetData>
  <mergeCells count="19">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 ref="AD79:AF81"/>
    <mergeCell ref="AD86:AF88"/>
    <mergeCell ref="H10:I10"/>
    <mergeCell ref="H11:I11"/>
    <mergeCell ref="H7:L8"/>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62" t="s">
        <v>0</v>
      </c>
      <c r="O4" s="563"/>
      <c r="P4" s="563"/>
      <c r="Q4" s="563"/>
      <c r="R4" s="563"/>
      <c r="S4" s="563"/>
      <c r="T4" s="563"/>
      <c r="U4" s="563"/>
      <c r="V4" s="563"/>
      <c r="W4" s="563"/>
      <c r="X4" s="563"/>
      <c r="Y4" s="563"/>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3" t="s">
        <v>464</v>
      </c>
      <c r="I5" s="473"/>
      <c r="J5" s="473"/>
      <c r="K5" s="473"/>
      <c r="L5" s="473"/>
      <c r="N5" s="564" t="s">
        <v>134</v>
      </c>
      <c r="O5" s="565"/>
      <c r="P5" s="565"/>
      <c r="Q5" s="565"/>
      <c r="R5" s="565"/>
      <c r="S5" s="565"/>
      <c r="T5" s="565"/>
      <c r="U5" s="565"/>
      <c r="V5" s="565"/>
      <c r="W5" s="565"/>
      <c r="X5" s="565"/>
      <c r="Y5" s="566"/>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3"/>
      <c r="I6" s="473"/>
      <c r="J6" s="473"/>
      <c r="K6" s="473"/>
      <c r="L6" s="473"/>
      <c r="N6" s="567"/>
      <c r="O6" s="568"/>
      <c r="P6" s="568"/>
      <c r="Q6" s="568"/>
      <c r="R6" s="568"/>
      <c r="S6" s="568"/>
      <c r="T6" s="568"/>
      <c r="U6" s="568"/>
      <c r="V6" s="568"/>
      <c r="W6" s="568"/>
      <c r="X6" s="568"/>
      <c r="Y6" s="569"/>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67"/>
      <c r="O7" s="568"/>
      <c r="P7" s="568"/>
      <c r="Q7" s="568"/>
      <c r="R7" s="568"/>
      <c r="S7" s="568"/>
      <c r="T7" s="568"/>
      <c r="U7" s="568"/>
      <c r="V7" s="568"/>
      <c r="W7" s="568"/>
      <c r="X7" s="568"/>
      <c r="Y7" s="569"/>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486" t="s">
        <v>214</v>
      </c>
      <c r="I8" s="487"/>
      <c r="J8" s="580"/>
      <c r="K8" s="581"/>
      <c r="M8" s="3"/>
      <c r="N8" s="567"/>
      <c r="O8" s="568"/>
      <c r="P8" s="568"/>
      <c r="Q8" s="568"/>
      <c r="R8" s="568"/>
      <c r="S8" s="568"/>
      <c r="T8" s="568"/>
      <c r="U8" s="568"/>
      <c r="V8" s="568"/>
      <c r="W8" s="568"/>
      <c r="X8" s="568"/>
      <c r="Y8" s="569"/>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57" t="s">
        <v>216</v>
      </c>
      <c r="I9" s="558"/>
      <c r="J9" s="582"/>
      <c r="K9" s="583"/>
      <c r="M9" s="3"/>
      <c r="N9" s="567"/>
      <c r="O9" s="568"/>
      <c r="P9" s="568"/>
      <c r="Q9" s="568"/>
      <c r="R9" s="568"/>
      <c r="S9" s="568"/>
      <c r="T9" s="568"/>
      <c r="U9" s="568"/>
      <c r="V9" s="568"/>
      <c r="W9" s="568"/>
      <c r="X9" s="568"/>
      <c r="Y9" s="569"/>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67"/>
      <c r="O10" s="568"/>
      <c r="P10" s="568"/>
      <c r="Q10" s="568"/>
      <c r="R10" s="568"/>
      <c r="S10" s="568"/>
      <c r="T10" s="568"/>
      <c r="U10" s="568"/>
      <c r="V10" s="568"/>
      <c r="W10" s="568"/>
      <c r="X10" s="568"/>
      <c r="Y10" s="569"/>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70"/>
      <c r="O11" s="571"/>
      <c r="P11" s="571"/>
      <c r="Q11" s="571"/>
      <c r="R11" s="571"/>
      <c r="S11" s="571"/>
      <c r="T11" s="571"/>
      <c r="U11" s="571"/>
      <c r="V11" s="571"/>
      <c r="W11" s="571"/>
      <c r="X11" s="571"/>
      <c r="Y11" s="572"/>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8" t="s">
        <v>362</v>
      </c>
      <c r="F14" s="589"/>
      <c r="G14" s="589"/>
      <c r="H14" s="594" t="str">
        <f>IF(Dashboard!H27="Yes", "WARNING: Project Level Debt is turned ON.", "Project Level Debt is turned off in Dashboard Cell H27.")</f>
        <v>Project Level Debt is turned off in Dashboard Cell H27.</v>
      </c>
      <c r="I14" s="595"/>
    </row>
    <row r="15" spans="1:77" ht="19" x14ac:dyDescent="0.25">
      <c r="B15" s="181" t="s">
        <v>381</v>
      </c>
      <c r="C15" s="181"/>
      <c r="E15" s="590"/>
      <c r="F15" s="591"/>
      <c r="G15" s="591"/>
      <c r="H15" s="596"/>
      <c r="I15" s="597"/>
    </row>
    <row r="16" spans="1:77" x14ac:dyDescent="0.15">
      <c r="E16" s="590"/>
      <c r="F16" s="591"/>
      <c r="G16" s="591"/>
      <c r="H16" s="596"/>
      <c r="I16" s="597"/>
    </row>
    <row r="17" spans="2:28" ht="15" thickBot="1" x14ac:dyDescent="0.25">
      <c r="B17" s="18"/>
      <c r="C17" s="18"/>
      <c r="E17" s="592"/>
      <c r="F17" s="593"/>
      <c r="G17" s="593"/>
      <c r="H17" s="598"/>
      <c r="I17" s="599"/>
    </row>
    <row r="18" spans="2:28" ht="16" x14ac:dyDescent="0.15">
      <c r="B18" s="585" t="s">
        <v>471</v>
      </c>
      <c r="C18" s="585"/>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-72251.426251412922</v>
      </c>
      <c r="E21" s="227">
        <f>Unstructured!E62</f>
        <v>-134765.79145321529</v>
      </c>
      <c r="F21" s="227">
        <f>Unstructured!F62</f>
        <v>-66716.267798876856</v>
      </c>
      <c r="G21" s="227">
        <f>Unstructured!G62</f>
        <v>-25605.921971494477</v>
      </c>
      <c r="H21" s="227">
        <f>Unstructured!H62</f>
        <v>-24910.711112819794</v>
      </c>
      <c r="I21" s="227">
        <f>Unstructured!I62</f>
        <v>4713.7680252609753</v>
      </c>
      <c r="J21" s="227">
        <f>Unstructured!J62</f>
        <v>28625.847161578786</v>
      </c>
      <c r="K21" s="227">
        <f>Unstructured!K62</f>
        <v>29193.845137619763</v>
      </c>
      <c r="L21" s="227">
        <f>Unstructured!L62</f>
        <v>29773.113258708647</v>
      </c>
      <c r="M21" s="227">
        <f>Unstructured!M62</f>
        <v>30363.875142683733</v>
      </c>
      <c r="N21" s="227">
        <f>Unstructured!N62</f>
        <v>30966.358844261995</v>
      </c>
      <c r="O21" s="227">
        <f>Unstructured!O62</f>
        <v>31580.796943071477</v>
      </c>
      <c r="P21" s="227">
        <f>Unstructured!P62</f>
        <v>32207.426633430401</v>
      </c>
      <c r="Q21" s="227">
        <f>Unstructured!Q62</f>
        <v>32846.489815907509</v>
      </c>
      <c r="R21" s="227">
        <f>Unstructured!R62</f>
        <v>33498.233190699102</v>
      </c>
      <c r="S21" s="227">
        <f>Unstructured!S62</f>
        <v>34162.908352858678</v>
      </c>
      <c r="T21" s="227">
        <f>Unstructured!T62</f>
        <v>34840.771889416079</v>
      </c>
      <c r="U21" s="227">
        <f>Unstructured!U62</f>
        <v>35532.085478423433</v>
      </c>
      <c r="V21" s="227">
        <f>Unstructured!V62</f>
        <v>36237.11598996642</v>
      </c>
      <c r="W21" s="227">
        <f>Unstructured!W62</f>
        <v>36956.135589179503</v>
      </c>
      <c r="X21" s="227">
        <f>Unstructured!X62</f>
        <v>37689.421841305193</v>
      </c>
      <c r="Y21" s="227">
        <f>Unstructured!Y62</f>
        <v>38437.257818837708</v>
      </c>
      <c r="Z21" s="227">
        <f>Unstructured!Z62</f>
        <v>39199.932210792409</v>
      </c>
      <c r="AA21" s="227">
        <f>Unstructured!AA62</f>
        <v>39977.739434143325</v>
      </c>
      <c r="AB21" s="227">
        <f>Unstructured!AB62</f>
        <v>40770.979747471552</v>
      </c>
    </row>
    <row r="22" spans="2:28" ht="14" x14ac:dyDescent="0.2">
      <c r="B22" s="210" t="s">
        <v>326</v>
      </c>
      <c r="C22" s="230"/>
      <c r="D22" s="227">
        <f>Unstructured!D46</f>
        <v>105282.97106839996</v>
      </c>
      <c r="E22" s="227">
        <f>Unstructured!E46</f>
        <v>168452.75370943994</v>
      </c>
      <c r="F22" s="227">
        <f>Unstructured!F46</f>
        <v>101071.65222566396</v>
      </c>
      <c r="G22" s="227">
        <f>Unstructured!G46</f>
        <v>60642.991335398372</v>
      </c>
      <c r="H22" s="227">
        <f>Unstructured!H46</f>
        <v>60642.991335398372</v>
      </c>
      <c r="I22" s="227">
        <f>Unstructured!I46</f>
        <v>30321.495667699186</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33"/>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102345.6359426931</v>
      </c>
    </row>
    <row r="24" spans="2:28" ht="15" thickTop="1" x14ac:dyDescent="0.2">
      <c r="B24" s="211" t="s">
        <v>327</v>
      </c>
      <c r="C24" s="337">
        <f>Unstructured!C80</f>
        <v>-682304.23961795389</v>
      </c>
      <c r="D24" s="227">
        <f>SUM(D21:D23)</f>
        <v>33031.544816987036</v>
      </c>
      <c r="E24" s="227">
        <f t="shared" ref="E24:AB24" si="0">SUM(E21:E23)</f>
        <v>33686.962256224651</v>
      </c>
      <c r="F24" s="227">
        <f t="shared" si="0"/>
        <v>34355.384426787103</v>
      </c>
      <c r="G24" s="227">
        <f t="shared" si="0"/>
        <v>35037.069363903895</v>
      </c>
      <c r="H24" s="227">
        <f t="shared" si="0"/>
        <v>35732.280222578578</v>
      </c>
      <c r="I24" s="227">
        <f t="shared" si="0"/>
        <v>35035.263692960158</v>
      </c>
      <c r="J24" s="227">
        <f t="shared" si="0"/>
        <v>28625.847161578786</v>
      </c>
      <c r="K24" s="227">
        <f t="shared" si="0"/>
        <v>29193.845137619763</v>
      </c>
      <c r="L24" s="227">
        <f t="shared" si="0"/>
        <v>29773.113258708647</v>
      </c>
      <c r="M24" s="227">
        <f t="shared" si="0"/>
        <v>30363.875142683733</v>
      </c>
      <c r="N24" s="227">
        <f t="shared" si="0"/>
        <v>30966.358844261995</v>
      </c>
      <c r="O24" s="227">
        <f t="shared" si="0"/>
        <v>31580.796943071477</v>
      </c>
      <c r="P24" s="227">
        <f t="shared" si="0"/>
        <v>32207.426633430401</v>
      </c>
      <c r="Q24" s="227">
        <f t="shared" si="0"/>
        <v>32846.489815907509</v>
      </c>
      <c r="R24" s="227">
        <f t="shared" si="0"/>
        <v>33498.233190699102</v>
      </c>
      <c r="S24" s="227">
        <f t="shared" si="0"/>
        <v>34162.908352858678</v>
      </c>
      <c r="T24" s="227">
        <f t="shared" si="0"/>
        <v>34840.771889416079</v>
      </c>
      <c r="U24" s="227">
        <f t="shared" si="0"/>
        <v>35532.085478423433</v>
      </c>
      <c r="V24" s="227">
        <f t="shared" si="0"/>
        <v>36237.11598996642</v>
      </c>
      <c r="W24" s="227">
        <f t="shared" si="0"/>
        <v>36956.135589179503</v>
      </c>
      <c r="X24" s="227">
        <f t="shared" si="0"/>
        <v>37689.421841305193</v>
      </c>
      <c r="Y24" s="227">
        <f t="shared" si="0"/>
        <v>38437.257818837708</v>
      </c>
      <c r="Z24" s="227">
        <f t="shared" si="0"/>
        <v>39199.932210792409</v>
      </c>
      <c r="AA24" s="227">
        <f t="shared" si="0"/>
        <v>39977.739434143325</v>
      </c>
      <c r="AB24" s="227">
        <f t="shared" si="0"/>
        <v>143116.61569016465</v>
      </c>
    </row>
    <row r="25" spans="2:28" ht="14" x14ac:dyDescent="0.2">
      <c r="B25" s="212"/>
      <c r="C25" s="338"/>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9"/>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9"/>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9"/>
      <c r="D28" s="227">
        <f>Unstructured!D72</f>
        <v>1426.9656684654053</v>
      </c>
      <c r="E28" s="227">
        <f>Unstructured!E72</f>
        <v>2661.6243812010021</v>
      </c>
      <c r="F28" s="227">
        <f>Unstructured!F72</f>
        <v>1317.6462890278181</v>
      </c>
      <c r="G28" s="227">
        <f>Unstructured!G72</f>
        <v>505.71695893701605</v>
      </c>
      <c r="H28" s="227">
        <f>Unstructured!H72</f>
        <v>491.98654447819098</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40"/>
      <c r="D29" s="227">
        <f>Unstructured!D70</f>
        <v>15172.799512796713</v>
      </c>
      <c r="E29" s="227">
        <f>Unstructured!E70</f>
        <v>28300.816205175212</v>
      </c>
      <c r="F29" s="227">
        <f>Unstructured!F70</f>
        <v>14010.416237764139</v>
      </c>
      <c r="G29" s="227">
        <f>Unstructured!G70</f>
        <v>5377.2436140138398</v>
      </c>
      <c r="H29" s="227">
        <f>Unstructured!H70</f>
        <v>5231.2493336921561</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185793.47835599998</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202393.24353726208</v>
      </c>
      <c r="E31" s="186">
        <f t="shared" ref="E31:R31" si="1">SUM(E27:E30)</f>
        <v>30962.440586376215</v>
      </c>
      <c r="F31" s="186">
        <f t="shared" si="1"/>
        <v>15328.062526791957</v>
      </c>
      <c r="G31" s="186">
        <f t="shared" si="1"/>
        <v>5882.9605729508557</v>
      </c>
      <c r="H31" s="186">
        <f t="shared" si="1"/>
        <v>5723.235878170347</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5" t="s">
        <v>331</v>
      </c>
      <c r="C34" s="585"/>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33031.544816987036</v>
      </c>
      <c r="E36" s="190">
        <f t="shared" si="3"/>
        <v>33686.962256224651</v>
      </c>
      <c r="F36" s="190">
        <f t="shared" si="3"/>
        <v>34355.384426787103</v>
      </c>
      <c r="G36" s="190">
        <f t="shared" si="3"/>
        <v>35037.069363903895</v>
      </c>
      <c r="H36" s="190">
        <f t="shared" si="3"/>
        <v>35732.280222578578</v>
      </c>
      <c r="I36" s="190">
        <f t="shared" si="3"/>
        <v>35035.263692960158</v>
      </c>
      <c r="J36" s="190">
        <f t="shared" si="3"/>
        <v>28625.847161578786</v>
      </c>
      <c r="K36" s="190">
        <f t="shared" si="3"/>
        <v>29193.845137619763</v>
      </c>
      <c r="L36" s="190">
        <f t="shared" si="3"/>
        <v>29773.113258708647</v>
      </c>
      <c r="M36" s="190">
        <f t="shared" si="3"/>
        <v>30363.875142683733</v>
      </c>
      <c r="N36" s="190">
        <f t="shared" si="3"/>
        <v>30966.358844261995</v>
      </c>
      <c r="O36" s="190">
        <f t="shared" si="3"/>
        <v>31580.796943071477</v>
      </c>
      <c r="P36" s="190">
        <f t="shared" si="3"/>
        <v>32207.426633430401</v>
      </c>
      <c r="Q36" s="190">
        <f t="shared" si="3"/>
        <v>32846.489815907509</v>
      </c>
      <c r="R36" s="190">
        <f t="shared" si="3"/>
        <v>33498.233190699102</v>
      </c>
      <c r="S36" s="190">
        <f t="shared" si="3"/>
        <v>34162.908352858678</v>
      </c>
      <c r="T36" s="190">
        <f t="shared" si="3"/>
        <v>34840.771889416079</v>
      </c>
      <c r="U36" s="190">
        <f t="shared" si="3"/>
        <v>35532.085478423433</v>
      </c>
      <c r="V36" s="190">
        <f t="shared" si="3"/>
        <v>36237.11598996642</v>
      </c>
      <c r="W36" s="190">
        <f t="shared" ref="W36:AB36" si="4">W24</f>
        <v>36956.135589179503</v>
      </c>
      <c r="X36" s="190">
        <f t="shared" si="4"/>
        <v>37689.421841305193</v>
      </c>
      <c r="Y36" s="190">
        <f t="shared" si="4"/>
        <v>38437.257818837708</v>
      </c>
      <c r="Z36" s="190">
        <f t="shared" si="4"/>
        <v>39199.932210792409</v>
      </c>
      <c r="AA36" s="190">
        <f t="shared" si="4"/>
        <v>39977.739434143325</v>
      </c>
      <c r="AB36" s="190">
        <f t="shared" si="4"/>
        <v>143116.61569016465</v>
      </c>
    </row>
    <row r="37" spans="2:28" ht="15" thickBot="1" x14ac:dyDescent="0.25">
      <c r="B37" s="210" t="s">
        <v>333</v>
      </c>
      <c r="C37" s="230"/>
      <c r="D37" s="184">
        <f t="shared" ref="D37:AB37" si="5">IF(D35&gt;Time_Based_Flip_Target_Year,0,(Cash_on_Cash_Return_Premium*Tax_Equity_Investment_Share*Equity_Investment))</f>
        <v>10755.844033337427</v>
      </c>
      <c r="E37" s="184">
        <f t="shared" si="5"/>
        <v>10755.844033337427</v>
      </c>
      <c r="F37" s="184">
        <f t="shared" si="5"/>
        <v>10755.844033337427</v>
      </c>
      <c r="G37" s="184">
        <f t="shared" si="5"/>
        <v>10755.844033337427</v>
      </c>
      <c r="H37" s="184">
        <f t="shared" si="5"/>
        <v>10755.844033337427</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22275.700783649609</v>
      </c>
      <c r="E38" s="227">
        <f>E36-E37</f>
        <v>22931.118222887224</v>
      </c>
      <c r="F38" s="227">
        <f t="shared" ref="F38:R38" si="6">F36-F37</f>
        <v>23599.540393449675</v>
      </c>
      <c r="G38" s="227">
        <f t="shared" si="6"/>
        <v>24281.225330566467</v>
      </c>
      <c r="H38" s="227">
        <f t="shared" si="6"/>
        <v>24976.436189241151</v>
      </c>
      <c r="I38" s="227">
        <f t="shared" si="6"/>
        <v>35035.263692960158</v>
      </c>
      <c r="J38" s="227">
        <f t="shared" si="6"/>
        <v>28625.847161578786</v>
      </c>
      <c r="K38" s="227">
        <f t="shared" si="6"/>
        <v>29193.845137619763</v>
      </c>
      <c r="L38" s="227">
        <f t="shared" si="6"/>
        <v>29773.113258708647</v>
      </c>
      <c r="M38" s="227">
        <f t="shared" si="6"/>
        <v>30363.875142683733</v>
      </c>
      <c r="N38" s="227">
        <f t="shared" si="6"/>
        <v>30966.358844261995</v>
      </c>
      <c r="O38" s="227">
        <f t="shared" si="6"/>
        <v>31580.796943071477</v>
      </c>
      <c r="P38" s="227">
        <f t="shared" si="6"/>
        <v>32207.426633430401</v>
      </c>
      <c r="Q38" s="227">
        <f t="shared" si="6"/>
        <v>32846.489815907509</v>
      </c>
      <c r="R38" s="227">
        <f t="shared" si="6"/>
        <v>33498.233190699102</v>
      </c>
      <c r="S38" s="227">
        <f>S36-S37</f>
        <v>34162.908352858678</v>
      </c>
      <c r="T38" s="227">
        <f>T36-T37</f>
        <v>34840.771889416079</v>
      </c>
      <c r="U38" s="227">
        <f>U36-U37</f>
        <v>35532.085478423433</v>
      </c>
      <c r="V38" s="227">
        <f>V36-V37</f>
        <v>36237.11598996642</v>
      </c>
      <c r="W38" s="227">
        <f t="shared" ref="W38:AB38" si="7">W36-W37</f>
        <v>36956.135589179503</v>
      </c>
      <c r="X38" s="227">
        <f t="shared" si="7"/>
        <v>37689.421841305193</v>
      </c>
      <c r="Y38" s="227">
        <f t="shared" si="7"/>
        <v>38437.257818837708</v>
      </c>
      <c r="Z38" s="227">
        <f t="shared" si="7"/>
        <v>39199.932210792409</v>
      </c>
      <c r="AA38" s="227">
        <f t="shared" si="7"/>
        <v>39977.739434143325</v>
      </c>
      <c r="AB38" s="227">
        <f t="shared" si="7"/>
        <v>143116.61569016465</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20048.13070528465</v>
      </c>
      <c r="E40" s="184">
        <f t="shared" si="8"/>
        <v>20638.0064005985</v>
      </c>
      <c r="F40" s="184">
        <f t="shared" si="8"/>
        <v>21239.586354104707</v>
      </c>
      <c r="G40" s="184">
        <f t="shared" si="8"/>
        <v>21853.102797509822</v>
      </c>
      <c r="H40" s="184">
        <f t="shared" si="8"/>
        <v>22478.792570317037</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2227.570078364959</v>
      </c>
      <c r="E41" s="227">
        <f>E38-E40</f>
        <v>2293.1118222887235</v>
      </c>
      <c r="F41" s="227">
        <f t="shared" ref="F41:R41" si="9">F38-F40</f>
        <v>2359.9540393449679</v>
      </c>
      <c r="G41" s="227">
        <f t="shared" si="9"/>
        <v>2428.1225330566449</v>
      </c>
      <c r="H41" s="227">
        <f t="shared" si="9"/>
        <v>2497.643618924114</v>
      </c>
      <c r="I41" s="227">
        <f t="shared" si="9"/>
        <v>35035.263692960158</v>
      </c>
      <c r="J41" s="227">
        <f t="shared" si="9"/>
        <v>28625.847161578786</v>
      </c>
      <c r="K41" s="227">
        <f t="shared" si="9"/>
        <v>29193.845137619763</v>
      </c>
      <c r="L41" s="227">
        <f t="shared" si="9"/>
        <v>29773.113258708647</v>
      </c>
      <c r="M41" s="227">
        <f t="shared" si="9"/>
        <v>30363.875142683733</v>
      </c>
      <c r="N41" s="227">
        <f t="shared" si="9"/>
        <v>30966.358844261995</v>
      </c>
      <c r="O41" s="227">
        <f t="shared" si="9"/>
        <v>31580.796943071477</v>
      </c>
      <c r="P41" s="227">
        <f t="shared" si="9"/>
        <v>32207.426633430401</v>
      </c>
      <c r="Q41" s="227">
        <f t="shared" si="9"/>
        <v>32846.489815907509</v>
      </c>
      <c r="R41" s="227">
        <f t="shared" si="9"/>
        <v>33498.233190699102</v>
      </c>
      <c r="S41" s="227">
        <f>S38-S40</f>
        <v>34162.908352858678</v>
      </c>
      <c r="T41" s="227">
        <f>T38-T40</f>
        <v>34840.771889416079</v>
      </c>
      <c r="U41" s="227">
        <f>U38-U40</f>
        <v>35532.085478423433</v>
      </c>
      <c r="V41" s="227">
        <f>V38-V40</f>
        <v>36237.11598996642</v>
      </c>
      <c r="W41" s="227">
        <f t="shared" ref="W41:AB41" si="10">W38-W40</f>
        <v>36956.135589179503</v>
      </c>
      <c r="X41" s="227">
        <f t="shared" si="10"/>
        <v>37689.421841305193</v>
      </c>
      <c r="Y41" s="227">
        <f t="shared" si="10"/>
        <v>38437.257818837708</v>
      </c>
      <c r="Z41" s="227">
        <f t="shared" si="10"/>
        <v>39199.932210792409</v>
      </c>
      <c r="AA41" s="227">
        <f t="shared" si="10"/>
        <v>39977.739434143325</v>
      </c>
      <c r="AB41" s="227">
        <f t="shared" si="10"/>
        <v>143116.61569016465</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2227.570078364959</v>
      </c>
      <c r="E43" s="227">
        <f t="shared" ref="E43:R43" si="11">E41</f>
        <v>2293.1118222887235</v>
      </c>
      <c r="F43" s="227">
        <f t="shared" si="11"/>
        <v>2359.9540393449679</v>
      </c>
      <c r="G43" s="227">
        <f t="shared" si="11"/>
        <v>2428.1225330566449</v>
      </c>
      <c r="H43" s="227">
        <f t="shared" si="11"/>
        <v>2497.643618924114</v>
      </c>
      <c r="I43" s="227">
        <f t="shared" si="11"/>
        <v>35035.263692960158</v>
      </c>
      <c r="J43" s="227">
        <f t="shared" si="11"/>
        <v>28625.847161578786</v>
      </c>
      <c r="K43" s="227">
        <f t="shared" si="11"/>
        <v>29193.845137619763</v>
      </c>
      <c r="L43" s="227">
        <f t="shared" si="11"/>
        <v>29773.113258708647</v>
      </c>
      <c r="M43" s="227">
        <f t="shared" si="11"/>
        <v>30363.875142683733</v>
      </c>
      <c r="N43" s="227">
        <f t="shared" si="11"/>
        <v>30966.358844261995</v>
      </c>
      <c r="O43" s="227">
        <f t="shared" si="11"/>
        <v>31580.796943071477</v>
      </c>
      <c r="P43" s="227">
        <f t="shared" si="11"/>
        <v>32207.426633430401</v>
      </c>
      <c r="Q43" s="227">
        <f t="shared" si="11"/>
        <v>32846.489815907509</v>
      </c>
      <c r="R43" s="227">
        <f t="shared" si="11"/>
        <v>33498.233190699102</v>
      </c>
      <c r="S43" s="227">
        <f>S41</f>
        <v>34162.908352858678</v>
      </c>
      <c r="T43" s="227">
        <f>T41</f>
        <v>34840.771889416079</v>
      </c>
      <c r="U43" s="227">
        <f>U41</f>
        <v>35532.085478423433</v>
      </c>
      <c r="V43" s="227">
        <f>V41</f>
        <v>36237.11598996642</v>
      </c>
      <c r="W43" s="227">
        <f t="shared" ref="W43:AB43" si="12">W41</f>
        <v>36956.135589179503</v>
      </c>
      <c r="X43" s="227">
        <f t="shared" si="12"/>
        <v>37689.421841305193</v>
      </c>
      <c r="Y43" s="227">
        <f t="shared" si="12"/>
        <v>38437.257818837708</v>
      </c>
      <c r="Z43" s="227">
        <f t="shared" si="12"/>
        <v>39199.932210792409</v>
      </c>
      <c r="AA43" s="227">
        <f t="shared" si="12"/>
        <v>39977.739434143325</v>
      </c>
      <c r="AB43" s="227">
        <f t="shared" si="12"/>
        <v>143116.61569016465</v>
      </c>
    </row>
    <row r="44" spans="2:28" ht="14" x14ac:dyDescent="0.2">
      <c r="B44" s="216" t="s">
        <v>337</v>
      </c>
      <c r="C44" s="232"/>
      <c r="D44" s="227">
        <f t="shared" ref="D44:AB44" si="13">D43*IF(D35&gt;Time_Based_Flip_Target_Year,Tax_Equity_Post_Flip_Share,Tax_Equity_Pre_Flip_Share)</f>
        <v>2205.2943775813096</v>
      </c>
      <c r="E44" s="227">
        <f t="shared" si="13"/>
        <v>2270.1807040658364</v>
      </c>
      <c r="F44" s="227">
        <f t="shared" si="13"/>
        <v>2336.3544989515181</v>
      </c>
      <c r="G44" s="227">
        <f t="shared" si="13"/>
        <v>2403.8413077260784</v>
      </c>
      <c r="H44" s="227">
        <f t="shared" si="13"/>
        <v>2472.6671827348728</v>
      </c>
      <c r="I44" s="227">
        <f t="shared" si="13"/>
        <v>1751.7631846480081</v>
      </c>
      <c r="J44" s="227">
        <f t="shared" si="13"/>
        <v>1431.2923580789393</v>
      </c>
      <c r="K44" s="227">
        <f t="shared" si="13"/>
        <v>1459.6922568809882</v>
      </c>
      <c r="L44" s="227">
        <f t="shared" si="13"/>
        <v>1488.6556629354325</v>
      </c>
      <c r="M44" s="227">
        <f t="shared" si="13"/>
        <v>1518.1937571341869</v>
      </c>
      <c r="N44" s="227">
        <f t="shared" si="13"/>
        <v>1548.3179422130997</v>
      </c>
      <c r="O44" s="227">
        <f t="shared" si="13"/>
        <v>1579.0398471535739</v>
      </c>
      <c r="P44" s="227">
        <f t="shared" si="13"/>
        <v>1610.3713316715202</v>
      </c>
      <c r="Q44" s="227">
        <f t="shared" si="13"/>
        <v>1642.3244907953756</v>
      </c>
      <c r="R44" s="227">
        <f t="shared" si="13"/>
        <v>1674.9116595349551</v>
      </c>
      <c r="S44" s="227">
        <f t="shared" si="13"/>
        <v>1708.145417642934</v>
      </c>
      <c r="T44" s="227">
        <f t="shared" si="13"/>
        <v>1742.0385944708041</v>
      </c>
      <c r="U44" s="227">
        <f t="shared" si="13"/>
        <v>1776.6042739211716</v>
      </c>
      <c r="V44" s="227">
        <f t="shared" si="13"/>
        <v>1811.8557994983212</v>
      </c>
      <c r="W44" s="227">
        <f t="shared" si="13"/>
        <v>1847.8067794589751</v>
      </c>
      <c r="X44" s="227">
        <f t="shared" si="13"/>
        <v>1884.4710920652597</v>
      </c>
      <c r="Y44" s="227">
        <f t="shared" si="13"/>
        <v>1921.8628909418856</v>
      </c>
      <c r="Z44" s="227">
        <f t="shared" si="13"/>
        <v>1959.9966105396206</v>
      </c>
      <c r="AA44" s="227">
        <f t="shared" si="13"/>
        <v>1998.8869717071664</v>
      </c>
      <c r="AB44" s="227">
        <f t="shared" si="13"/>
        <v>7155.8307845082327</v>
      </c>
    </row>
    <row r="45" spans="2:28" ht="14" x14ac:dyDescent="0.2">
      <c r="B45" s="216" t="s">
        <v>338</v>
      </c>
      <c r="C45" s="232"/>
      <c r="D45" s="227">
        <f>D43-D44</f>
        <v>22.275700783649427</v>
      </c>
      <c r="E45" s="227">
        <f>E43-E44</f>
        <v>22.931118222887108</v>
      </c>
      <c r="F45" s="227">
        <f t="shared" ref="F45:R45" si="14">F43-F44</f>
        <v>23.599540393449843</v>
      </c>
      <c r="G45" s="227">
        <f t="shared" si="14"/>
        <v>24.281225330566485</v>
      </c>
      <c r="H45" s="227">
        <f t="shared" si="14"/>
        <v>24.976436189241213</v>
      </c>
      <c r="I45" s="227">
        <f t="shared" si="14"/>
        <v>33283.50050831215</v>
      </c>
      <c r="J45" s="227">
        <f t="shared" si="14"/>
        <v>27194.554803499846</v>
      </c>
      <c r="K45" s="227">
        <f t="shared" si="14"/>
        <v>27734.152880738773</v>
      </c>
      <c r="L45" s="227">
        <f t="shared" si="14"/>
        <v>28284.457595773216</v>
      </c>
      <c r="M45" s="227">
        <f t="shared" si="14"/>
        <v>28845.681385549546</v>
      </c>
      <c r="N45" s="227">
        <f t="shared" si="14"/>
        <v>29418.040902048895</v>
      </c>
      <c r="O45" s="227">
        <f t="shared" si="14"/>
        <v>30001.757095917903</v>
      </c>
      <c r="P45" s="227">
        <f t="shared" si="14"/>
        <v>30597.055301758883</v>
      </c>
      <c r="Q45" s="227">
        <f t="shared" si="14"/>
        <v>31204.165325112135</v>
      </c>
      <c r="R45" s="227">
        <f t="shared" si="14"/>
        <v>31823.321531164147</v>
      </c>
      <c r="S45" s="227">
        <f>S43-S44</f>
        <v>32454.762935215746</v>
      </c>
      <c r="T45" s="227">
        <f>T43-T44</f>
        <v>33098.733294945276</v>
      </c>
      <c r="U45" s="227">
        <f>U43-U44</f>
        <v>33755.481204502263</v>
      </c>
      <c r="V45" s="227">
        <f>V43-V44</f>
        <v>34425.2601904681</v>
      </c>
      <c r="W45" s="227">
        <f t="shared" ref="W45:AB45" si="15">W43-W44</f>
        <v>35108.32880972053</v>
      </c>
      <c r="X45" s="227">
        <f t="shared" si="15"/>
        <v>35804.950749239935</v>
      </c>
      <c r="Y45" s="227">
        <f t="shared" si="15"/>
        <v>36515.394927895824</v>
      </c>
      <c r="Z45" s="227">
        <f t="shared" si="15"/>
        <v>37239.935600252786</v>
      </c>
      <c r="AA45" s="227">
        <f t="shared" si="15"/>
        <v>37978.85246243616</v>
      </c>
      <c r="AB45" s="227">
        <f t="shared" si="15"/>
        <v>135960.78490565642</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12961.138410918737</v>
      </c>
      <c r="E48" s="227">
        <f t="shared" ref="E48:R48" si="16">SUM(E37,E44)</f>
        <v>13026.024737403264</v>
      </c>
      <c r="F48" s="227">
        <f t="shared" si="16"/>
        <v>13092.198532288945</v>
      </c>
      <c r="G48" s="227">
        <f t="shared" si="16"/>
        <v>13159.685341063505</v>
      </c>
      <c r="H48" s="227">
        <f t="shared" si="16"/>
        <v>13228.5112160723</v>
      </c>
      <c r="I48" s="227">
        <f t="shared" si="16"/>
        <v>1751.7631846480081</v>
      </c>
      <c r="J48" s="227">
        <f t="shared" si="16"/>
        <v>1431.2923580789393</v>
      </c>
      <c r="K48" s="227">
        <f t="shared" si="16"/>
        <v>1459.6922568809882</v>
      </c>
      <c r="L48" s="227">
        <f t="shared" si="16"/>
        <v>1488.6556629354325</v>
      </c>
      <c r="M48" s="227">
        <f t="shared" si="16"/>
        <v>1518.1937571341869</v>
      </c>
      <c r="N48" s="227">
        <f t="shared" si="16"/>
        <v>1548.3179422130997</v>
      </c>
      <c r="O48" s="227">
        <f t="shared" si="16"/>
        <v>1579.0398471535739</v>
      </c>
      <c r="P48" s="227">
        <f t="shared" si="16"/>
        <v>1610.3713316715202</v>
      </c>
      <c r="Q48" s="227">
        <f t="shared" si="16"/>
        <v>1642.3244907953756</v>
      </c>
      <c r="R48" s="227">
        <f t="shared" si="16"/>
        <v>1674.9116595349551</v>
      </c>
      <c r="S48" s="227">
        <f>SUM(S37,S44)</f>
        <v>1708.145417642934</v>
      </c>
      <c r="T48" s="227">
        <f>SUM(T37,T44)</f>
        <v>1742.0385944708041</v>
      </c>
      <c r="U48" s="227">
        <f>SUM(U37,U44)</f>
        <v>1776.6042739211716</v>
      </c>
      <c r="V48" s="227">
        <f>SUM(V37,V44)</f>
        <v>1811.8557994983212</v>
      </c>
      <c r="W48" s="227">
        <f t="shared" ref="W48:AB48" si="17">SUM(W37,W44)</f>
        <v>1847.8067794589751</v>
      </c>
      <c r="X48" s="227">
        <f t="shared" si="17"/>
        <v>1884.4710920652597</v>
      </c>
      <c r="Y48" s="227">
        <f t="shared" si="17"/>
        <v>1921.8628909418856</v>
      </c>
      <c r="Z48" s="227">
        <f t="shared" si="17"/>
        <v>1959.9966105396206</v>
      </c>
      <c r="AA48" s="227">
        <f t="shared" si="17"/>
        <v>1998.8869717071664</v>
      </c>
      <c r="AB48" s="227">
        <f t="shared" si="17"/>
        <v>7155.8307845082327</v>
      </c>
    </row>
    <row r="49" spans="2:28" ht="15" thickBot="1" x14ac:dyDescent="0.25">
      <c r="B49" s="216" t="s">
        <v>340</v>
      </c>
      <c r="C49" s="232"/>
      <c r="D49" s="184">
        <f>SUM(D40,D45)</f>
        <v>20070.406406068298</v>
      </c>
      <c r="E49" s="184">
        <f t="shared" ref="E49:R49" si="18">SUM(E40,E45)</f>
        <v>20660.937518821389</v>
      </c>
      <c r="F49" s="184">
        <f t="shared" si="18"/>
        <v>21263.185894498158</v>
      </c>
      <c r="G49" s="184">
        <f t="shared" si="18"/>
        <v>21877.38402284039</v>
      </c>
      <c r="H49" s="184">
        <f t="shared" si="18"/>
        <v>22503.769006506278</v>
      </c>
      <c r="I49" s="184">
        <f t="shared" si="18"/>
        <v>33283.50050831215</v>
      </c>
      <c r="J49" s="184">
        <f t="shared" si="18"/>
        <v>27194.554803499846</v>
      </c>
      <c r="K49" s="184">
        <f t="shared" si="18"/>
        <v>27734.152880738773</v>
      </c>
      <c r="L49" s="184">
        <f t="shared" si="18"/>
        <v>28284.457595773216</v>
      </c>
      <c r="M49" s="184">
        <f t="shared" si="18"/>
        <v>28845.681385549546</v>
      </c>
      <c r="N49" s="184">
        <f t="shared" si="18"/>
        <v>29418.040902048895</v>
      </c>
      <c r="O49" s="184">
        <f t="shared" si="18"/>
        <v>30001.757095917903</v>
      </c>
      <c r="P49" s="184">
        <f t="shared" si="18"/>
        <v>30597.055301758883</v>
      </c>
      <c r="Q49" s="184">
        <f t="shared" si="18"/>
        <v>31204.165325112135</v>
      </c>
      <c r="R49" s="184">
        <f t="shared" si="18"/>
        <v>31823.321531164147</v>
      </c>
      <c r="S49" s="184">
        <f>SUM(S40,S45)</f>
        <v>32454.762935215746</v>
      </c>
      <c r="T49" s="184">
        <f>SUM(T40,T45)</f>
        <v>33098.733294945276</v>
      </c>
      <c r="U49" s="184">
        <f>SUM(U40,U45)</f>
        <v>33755.481204502263</v>
      </c>
      <c r="V49" s="184">
        <f>SUM(V40,V45)</f>
        <v>34425.2601904681</v>
      </c>
      <c r="W49" s="184">
        <f t="shared" ref="W49:AB49" si="19">SUM(W40,W45)</f>
        <v>35108.32880972053</v>
      </c>
      <c r="X49" s="184">
        <f t="shared" si="19"/>
        <v>35804.950749239935</v>
      </c>
      <c r="Y49" s="184">
        <f t="shared" si="19"/>
        <v>36515.394927895824</v>
      </c>
      <c r="Z49" s="184">
        <f t="shared" si="19"/>
        <v>37239.935600252786</v>
      </c>
      <c r="AA49" s="184">
        <f t="shared" si="19"/>
        <v>37978.85246243616</v>
      </c>
      <c r="AB49" s="184">
        <f t="shared" si="19"/>
        <v>135960.78490565642</v>
      </c>
    </row>
    <row r="50" spans="2:28" ht="15" thickTop="1" x14ac:dyDescent="0.2">
      <c r="B50" s="217" t="s">
        <v>341</v>
      </c>
      <c r="C50" s="191"/>
      <c r="D50" s="186">
        <f>D48+D49</f>
        <v>33031.544816987036</v>
      </c>
      <c r="E50" s="186">
        <f>E48+E49</f>
        <v>33686.962256224651</v>
      </c>
      <c r="F50" s="186">
        <f t="shared" ref="F50:R50" si="20">F48+F49</f>
        <v>34355.384426787103</v>
      </c>
      <c r="G50" s="186">
        <f t="shared" si="20"/>
        <v>35037.069363903895</v>
      </c>
      <c r="H50" s="186">
        <f t="shared" si="20"/>
        <v>35732.280222578578</v>
      </c>
      <c r="I50" s="186">
        <f t="shared" si="20"/>
        <v>35035.263692960158</v>
      </c>
      <c r="J50" s="186">
        <f t="shared" si="20"/>
        <v>28625.847161578786</v>
      </c>
      <c r="K50" s="186">
        <f t="shared" si="20"/>
        <v>29193.845137619763</v>
      </c>
      <c r="L50" s="186">
        <f t="shared" si="20"/>
        <v>29773.113258708647</v>
      </c>
      <c r="M50" s="186">
        <f t="shared" si="20"/>
        <v>30363.875142683733</v>
      </c>
      <c r="N50" s="186">
        <f t="shared" si="20"/>
        <v>30966.358844261995</v>
      </c>
      <c r="O50" s="186">
        <f t="shared" si="20"/>
        <v>31580.796943071477</v>
      </c>
      <c r="P50" s="186">
        <f t="shared" si="20"/>
        <v>32207.426633430405</v>
      </c>
      <c r="Q50" s="186">
        <f t="shared" si="20"/>
        <v>32846.489815907509</v>
      </c>
      <c r="R50" s="186">
        <f t="shared" si="20"/>
        <v>33498.233190699102</v>
      </c>
      <c r="S50" s="186">
        <f>S48+S49</f>
        <v>34162.908352858678</v>
      </c>
      <c r="T50" s="186">
        <f>T48+T49</f>
        <v>34840.771889416079</v>
      </c>
      <c r="U50" s="186">
        <f>U48+U49</f>
        <v>35532.085478423433</v>
      </c>
      <c r="V50" s="186">
        <f>V48+V49</f>
        <v>36237.11598996642</v>
      </c>
      <c r="W50" s="186">
        <f t="shared" ref="W50:AB50" si="21">W48+W49</f>
        <v>36956.135589179503</v>
      </c>
      <c r="X50" s="186">
        <f t="shared" si="21"/>
        <v>37689.421841305193</v>
      </c>
      <c r="Y50" s="186">
        <f t="shared" si="21"/>
        <v>38437.257818837708</v>
      </c>
      <c r="Z50" s="186">
        <f t="shared" si="21"/>
        <v>39199.932210792409</v>
      </c>
      <c r="AA50" s="186">
        <f t="shared" si="21"/>
        <v>39977.739434143325</v>
      </c>
      <c r="AB50" s="186">
        <f t="shared" si="21"/>
        <v>143116.61569016465</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84" t="s">
        <v>342</v>
      </c>
      <c r="C53" s="584"/>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-307309.82952392643</v>
      </c>
      <c r="D56" s="227">
        <f t="shared" ref="D56:V56" si="22">D48</f>
        <v>12961.138410918737</v>
      </c>
      <c r="E56" s="227">
        <f t="shared" si="22"/>
        <v>13026.024737403264</v>
      </c>
      <c r="F56" s="227">
        <f t="shared" si="22"/>
        <v>13092.198532288945</v>
      </c>
      <c r="G56" s="227">
        <f t="shared" si="22"/>
        <v>13159.685341063505</v>
      </c>
      <c r="H56" s="227">
        <f t="shared" si="22"/>
        <v>13228.5112160723</v>
      </c>
      <c r="I56" s="227">
        <f t="shared" si="22"/>
        <v>1751.7631846480081</v>
      </c>
      <c r="J56" s="227">
        <f t="shared" si="22"/>
        <v>1431.2923580789393</v>
      </c>
      <c r="K56" s="227">
        <f t="shared" si="22"/>
        <v>1459.6922568809882</v>
      </c>
      <c r="L56" s="227">
        <f t="shared" si="22"/>
        <v>1488.6556629354325</v>
      </c>
      <c r="M56" s="227">
        <f t="shared" si="22"/>
        <v>1518.1937571341869</v>
      </c>
      <c r="N56" s="227">
        <f t="shared" si="22"/>
        <v>1548.3179422130997</v>
      </c>
      <c r="O56" s="227">
        <f t="shared" si="22"/>
        <v>1579.0398471535739</v>
      </c>
      <c r="P56" s="227">
        <f t="shared" si="22"/>
        <v>1610.3713316715202</v>
      </c>
      <c r="Q56" s="227">
        <f t="shared" si="22"/>
        <v>1642.3244907953756</v>
      </c>
      <c r="R56" s="227">
        <f t="shared" si="22"/>
        <v>1674.9116595349551</v>
      </c>
      <c r="S56" s="227">
        <f t="shared" si="22"/>
        <v>1708.145417642934</v>
      </c>
      <c r="T56" s="227">
        <f t="shared" si="22"/>
        <v>1742.0385944708041</v>
      </c>
      <c r="U56" s="227">
        <f t="shared" si="22"/>
        <v>1776.6042739211716</v>
      </c>
      <c r="V56" s="227">
        <f t="shared" si="22"/>
        <v>1811.8557994983212</v>
      </c>
      <c r="W56" s="227">
        <f t="shared" ref="W56:AB56" si="23">W48</f>
        <v>1847.8067794589751</v>
      </c>
      <c r="X56" s="227">
        <f t="shared" si="23"/>
        <v>1884.4710920652597</v>
      </c>
      <c r="Y56" s="227">
        <f t="shared" si="23"/>
        <v>1921.8628909418856</v>
      </c>
      <c r="Z56" s="227">
        <f t="shared" si="23"/>
        <v>1959.9966105396206</v>
      </c>
      <c r="AA56" s="227">
        <f t="shared" si="23"/>
        <v>1998.8869717071664</v>
      </c>
      <c r="AB56" s="227">
        <f t="shared" si="23"/>
        <v>7155.8307845082327</v>
      </c>
    </row>
    <row r="57" spans="2:28" ht="15" thickBot="1" x14ac:dyDescent="0.25">
      <c r="B57" s="210" t="s">
        <v>345</v>
      </c>
      <c r="C57" s="227"/>
      <c r="D57" s="184">
        <f t="shared" ref="D57:AB57" si="24">IF(D54&gt;Time_Based_Flip_Target_Year,Tax_Equity_Post_Flip_Share,Tax_Equity_Pre_Flip_Share)*D31</f>
        <v>200369.31110188947</v>
      </c>
      <c r="E57" s="184">
        <f t="shared" si="24"/>
        <v>30652.816180512451</v>
      </c>
      <c r="F57" s="184">
        <f t="shared" si="24"/>
        <v>15174.781901524037</v>
      </c>
      <c r="G57" s="184">
        <f t="shared" si="24"/>
        <v>5824.1309672213474</v>
      </c>
      <c r="H57" s="184">
        <f t="shared" si="24"/>
        <v>5666.0035193886433</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-307309.82952392643</v>
      </c>
      <c r="D58" s="227">
        <f>D56+D57</f>
        <v>213330.44951280821</v>
      </c>
      <c r="E58" s="227">
        <f t="shared" ref="E58:R58" si="25">E56+E57</f>
        <v>43678.840917915717</v>
      </c>
      <c r="F58" s="227">
        <f t="shared" si="25"/>
        <v>28266.980433812983</v>
      </c>
      <c r="G58" s="227">
        <f t="shared" si="25"/>
        <v>18983.816308284851</v>
      </c>
      <c r="H58" s="227">
        <f t="shared" si="25"/>
        <v>18894.514735460943</v>
      </c>
      <c r="I58" s="227">
        <f t="shared" si="25"/>
        <v>1751.7631846480081</v>
      </c>
      <c r="J58" s="227">
        <f t="shared" si="25"/>
        <v>1431.2923580789393</v>
      </c>
      <c r="K58" s="227">
        <f t="shared" si="25"/>
        <v>1459.6922568809882</v>
      </c>
      <c r="L58" s="227">
        <f>L56+L57</f>
        <v>1488.6556629354325</v>
      </c>
      <c r="M58" s="227">
        <f t="shared" si="25"/>
        <v>1518.1937571341869</v>
      </c>
      <c r="N58" s="227">
        <f t="shared" si="25"/>
        <v>1548.3179422130997</v>
      </c>
      <c r="O58" s="227">
        <f t="shared" si="25"/>
        <v>1579.0398471535739</v>
      </c>
      <c r="P58" s="227">
        <f t="shared" si="25"/>
        <v>1610.3713316715202</v>
      </c>
      <c r="Q58" s="227">
        <f t="shared" si="25"/>
        <v>1642.3244907953756</v>
      </c>
      <c r="R58" s="227">
        <f t="shared" si="25"/>
        <v>1674.9116595349551</v>
      </c>
      <c r="S58" s="227">
        <f>S56+S57</f>
        <v>1708.145417642934</v>
      </c>
      <c r="T58" s="227">
        <f>T56+T57</f>
        <v>1742.0385944708041</v>
      </c>
      <c r="U58" s="227">
        <f>U56+U57</f>
        <v>1776.6042739211716</v>
      </c>
      <c r="V58" s="227">
        <f>V56+V57</f>
        <v>1811.8557994983212</v>
      </c>
      <c r="W58" s="227">
        <f t="shared" ref="W58:AB58" si="26">W56+W57</f>
        <v>1847.8067794589751</v>
      </c>
      <c r="X58" s="227">
        <f t="shared" si="26"/>
        <v>1884.4710920652597</v>
      </c>
      <c r="Y58" s="227">
        <f t="shared" si="26"/>
        <v>1921.8628909418856</v>
      </c>
      <c r="Z58" s="227">
        <f t="shared" si="26"/>
        <v>1959.9966105396206</v>
      </c>
      <c r="AA58" s="227">
        <f t="shared" si="26"/>
        <v>1998.8869717071664</v>
      </c>
      <c r="AB58" s="227">
        <f t="shared" si="26"/>
        <v>7155.8307845082327</v>
      </c>
    </row>
    <row r="59" spans="2:28" ht="14" x14ac:dyDescent="0.2">
      <c r="B59" s="210" t="s">
        <v>382</v>
      </c>
      <c r="C59" s="207">
        <v>0</v>
      </c>
      <c r="D59" s="207">
        <f>IFERROR(IRR($C58:D$58),0)</f>
        <v>-0.30581312728170051</v>
      </c>
      <c r="E59" s="207">
        <f>IFERROR(IRR($C58:E$58),0)</f>
        <v>-0.14045484353623316</v>
      </c>
      <c r="F59" s="207">
        <f>IFERROR(IRR($C58:F$58),0)</f>
        <v>-5.3116111666277388E-2</v>
      </c>
      <c r="G59" s="207">
        <f>IFERROR(IRR($C58:G$58),0)</f>
        <v>-6.5434573212299618E-3</v>
      </c>
      <c r="H59" s="207">
        <f>IFERROR(IRR($C58:H$58),0)</f>
        <v>3.0024650343930537E-2</v>
      </c>
      <c r="I59" s="207">
        <f>IFERROR(IRR($C58:I$58),0)</f>
        <v>3.2918014574952359E-2</v>
      </c>
      <c r="J59" s="207">
        <f>IFERROR(IRR($C58:J$58),0)</f>
        <v>3.5154272587259117E-2</v>
      </c>
      <c r="K59" s="207">
        <f>IFERROR(IRR($C58:K$58),0)</f>
        <v>3.7304951354122595E-2</v>
      </c>
      <c r="L59" s="207">
        <f>IFERROR(IRR($C58:L$58),0)</f>
        <v>3.9363147749402971E-2</v>
      </c>
      <c r="M59" s="207">
        <f>IFERROR(IRR($C58:M$58),0)</f>
        <v>4.1324237850465906E-2</v>
      </c>
      <c r="N59" s="207">
        <f>IFERROR(IRR($C58:N$58),0)</f>
        <v>4.3185661817491505E-2</v>
      </c>
      <c r="O59" s="207">
        <f>IFERROR(IRR($C58:O$58),0)</f>
        <v>4.4946652860354597E-2</v>
      </c>
      <c r="P59" s="207">
        <f>IFERROR(IRR($C58:P$58),0)</f>
        <v>4.6607942404886415E-2</v>
      </c>
      <c r="Q59" s="207">
        <f>IFERROR(IRR($C58:Q$58),0)</f>
        <v>4.8171466546528707E-2</v>
      </c>
      <c r="R59" s="207">
        <f>IFERROR(IRR($C58:R$58),0)</f>
        <v>4.9640091276621723E-2</v>
      </c>
      <c r="S59" s="207">
        <f>IFERROR(IRR($C58:S$58),0)</f>
        <v>5.1017367057463625E-2</v>
      </c>
      <c r="T59" s="207">
        <f>IFERROR(IRR($C58:T$58),0)</f>
        <v>5.2307317751613569E-2</v>
      </c>
      <c r="U59" s="207">
        <f>IFERROR(IRR($C58:U$58),0)</f>
        <v>5.3514264848217419E-2</v>
      </c>
      <c r="V59" s="207">
        <f>IFERROR(IRR($C58:V$58),0)</f>
        <v>5.4642685251907075E-2</v>
      </c>
      <c r="W59" s="207">
        <f>IFERROR(IRR($C58:W$58),0)</f>
        <v>5.5697099347821855E-2</v>
      </c>
      <c r="X59" s="207">
        <f>IFERROR(IRR($C58:X$58),0)</f>
        <v>5.6681985336710872E-2</v>
      </c>
      <c r="Y59" s="207">
        <f>IFERROR(IRR($C58:Y$58),0)</f>
        <v>5.7601715680517085E-2</v>
      </c>
      <c r="Z59" s="207">
        <f>IFERROR(IRR($C58:Z$58),0)</f>
        <v>5.8460511696594386E-2</v>
      </c>
      <c r="AA59" s="207">
        <f>IFERROR(IRR($C58:AA$58),0)</f>
        <v>5.9262412728925185E-2</v>
      </c>
      <c r="AB59" s="207">
        <f>IFERROR(IRR($C58:AB$58),0)</f>
        <v>6.1797997375729663E-2</v>
      </c>
    </row>
    <row r="60" spans="2:28" ht="14" x14ac:dyDescent="0.2">
      <c r="B60" s="210" t="s">
        <v>98</v>
      </c>
      <c r="C60" s="227">
        <f>C58</f>
        <v>-307309.82952392643</v>
      </c>
      <c r="D60" s="227">
        <f>C60+D58</f>
        <v>-93979.380011118221</v>
      </c>
      <c r="E60" s="227">
        <f t="shared" ref="E60:R60" si="27">D60+E58</f>
        <v>-50300.539093202504</v>
      </c>
      <c r="F60" s="227">
        <f t="shared" si="27"/>
        <v>-22033.55865938952</v>
      </c>
      <c r="G60" s="227">
        <f t="shared" si="27"/>
        <v>-3049.7423511046691</v>
      </c>
      <c r="H60" s="227">
        <f t="shared" si="27"/>
        <v>15844.772384356274</v>
      </c>
      <c r="I60" s="227">
        <f t="shared" si="27"/>
        <v>17596.535569004282</v>
      </c>
      <c r="J60" s="227">
        <f t="shared" si="27"/>
        <v>19027.827927083221</v>
      </c>
      <c r="K60" s="227">
        <f t="shared" si="27"/>
        <v>20487.52018396421</v>
      </c>
      <c r="L60" s="227">
        <f t="shared" si="27"/>
        <v>21976.175846899641</v>
      </c>
      <c r="M60" s="227">
        <f t="shared" si="27"/>
        <v>23494.369604033829</v>
      </c>
      <c r="N60" s="227">
        <f t="shared" si="27"/>
        <v>25042.687546246929</v>
      </c>
      <c r="O60" s="227">
        <f t="shared" si="27"/>
        <v>26621.727393400502</v>
      </c>
      <c r="P60" s="227">
        <f t="shared" si="27"/>
        <v>28232.098725072021</v>
      </c>
      <c r="Q60" s="227">
        <f t="shared" si="27"/>
        <v>29874.423215867395</v>
      </c>
      <c r="R60" s="227">
        <f t="shared" si="27"/>
        <v>31549.33487540235</v>
      </c>
      <c r="S60" s="227">
        <f>R60+S58</f>
        <v>33257.480293045286</v>
      </c>
      <c r="T60" s="227">
        <f>S60+T58</f>
        <v>34999.518887516089</v>
      </c>
      <c r="U60" s="227">
        <f>T60+U58</f>
        <v>36776.123161437259</v>
      </c>
      <c r="V60" s="227">
        <f>U60+V58</f>
        <v>38587.978960935579</v>
      </c>
      <c r="W60" s="227">
        <f t="shared" ref="W60:AB60" si="28">V60+W58</f>
        <v>40435.785740394553</v>
      </c>
      <c r="X60" s="227">
        <f t="shared" si="28"/>
        <v>42320.256832459811</v>
      </c>
      <c r="Y60" s="227">
        <f t="shared" si="28"/>
        <v>44242.119723401695</v>
      </c>
      <c r="Z60" s="227">
        <f t="shared" si="28"/>
        <v>46202.116333941318</v>
      </c>
      <c r="AA60" s="227">
        <f t="shared" si="28"/>
        <v>48201.003305648483</v>
      </c>
      <c r="AB60" s="227">
        <f t="shared" si="28"/>
        <v>55356.834090156714</v>
      </c>
    </row>
    <row r="61" spans="2:28" ht="14" x14ac:dyDescent="0.2">
      <c r="B61" s="210" t="s">
        <v>347</v>
      </c>
      <c r="C61" s="227">
        <f>NPV(Investor_Discount_Rate,D58:AB58)+C58</f>
        <v>-2095.5167730419198</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6.1797997375729663E-2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-238486.22320853878</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-8.7271898034682827E-2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5">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3.2918014574952359E-2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-374994.41009402747</v>
      </c>
      <c r="D69" s="227">
        <f t="shared" ref="D69:AB69" si="29">D49</f>
        <v>20070.406406068298</v>
      </c>
      <c r="E69" s="227">
        <f t="shared" si="29"/>
        <v>20660.937518821389</v>
      </c>
      <c r="F69" s="227">
        <f t="shared" si="29"/>
        <v>21263.185894498158</v>
      </c>
      <c r="G69" s="227">
        <f t="shared" si="29"/>
        <v>21877.38402284039</v>
      </c>
      <c r="H69" s="227">
        <f t="shared" si="29"/>
        <v>22503.769006506278</v>
      </c>
      <c r="I69" s="227">
        <f t="shared" si="29"/>
        <v>33283.50050831215</v>
      </c>
      <c r="J69" s="227">
        <f t="shared" si="29"/>
        <v>27194.554803499846</v>
      </c>
      <c r="K69" s="227">
        <f t="shared" si="29"/>
        <v>27734.152880738773</v>
      </c>
      <c r="L69" s="227">
        <f t="shared" si="29"/>
        <v>28284.457595773216</v>
      </c>
      <c r="M69" s="227">
        <f t="shared" si="29"/>
        <v>28845.681385549546</v>
      </c>
      <c r="N69" s="227">
        <f t="shared" si="29"/>
        <v>29418.040902048895</v>
      </c>
      <c r="O69" s="227">
        <f t="shared" si="29"/>
        <v>30001.757095917903</v>
      </c>
      <c r="P69" s="227">
        <f t="shared" si="29"/>
        <v>30597.055301758883</v>
      </c>
      <c r="Q69" s="227">
        <f t="shared" si="29"/>
        <v>31204.165325112135</v>
      </c>
      <c r="R69" s="227">
        <f t="shared" si="29"/>
        <v>31823.321531164147</v>
      </c>
      <c r="S69" s="227">
        <f t="shared" si="29"/>
        <v>32454.762935215746</v>
      </c>
      <c r="T69" s="227">
        <f t="shared" si="29"/>
        <v>33098.733294945276</v>
      </c>
      <c r="U69" s="227">
        <f t="shared" si="29"/>
        <v>33755.481204502263</v>
      </c>
      <c r="V69" s="227">
        <f t="shared" si="29"/>
        <v>34425.2601904681</v>
      </c>
      <c r="W69" s="227">
        <f t="shared" si="29"/>
        <v>35108.32880972053</v>
      </c>
      <c r="X69" s="227">
        <f t="shared" si="29"/>
        <v>35804.950749239935</v>
      </c>
      <c r="Y69" s="227">
        <f t="shared" si="29"/>
        <v>36515.394927895824</v>
      </c>
      <c r="Z69" s="227">
        <f t="shared" si="29"/>
        <v>37239.935600252786</v>
      </c>
      <c r="AA69" s="227">
        <f t="shared" si="29"/>
        <v>37978.85246243616</v>
      </c>
      <c r="AB69" s="227">
        <f t="shared" si="29"/>
        <v>135960.78490565642</v>
      </c>
    </row>
    <row r="70" spans="2:28" ht="15" thickBot="1" x14ac:dyDescent="0.25">
      <c r="B70" s="210" t="s">
        <v>345</v>
      </c>
      <c r="C70" s="227"/>
      <c r="D70" s="184">
        <f t="shared" ref="D70:AB70" si="30">D31-D57</f>
        <v>2023.9324353726115</v>
      </c>
      <c r="E70" s="184">
        <f t="shared" si="30"/>
        <v>309.62440586376397</v>
      </c>
      <c r="F70" s="184">
        <f t="shared" si="30"/>
        <v>153.28062526792019</v>
      </c>
      <c r="G70" s="184">
        <f t="shared" si="30"/>
        <v>58.82960572950833</v>
      </c>
      <c r="H70" s="184">
        <f t="shared" si="30"/>
        <v>57.232358781703624</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-374994.41009402747</v>
      </c>
      <c r="D71" s="227">
        <f>D69+D70</f>
        <v>22094.338841440909</v>
      </c>
      <c r="E71" s="227">
        <f t="shared" ref="E71:R71" si="31">E69+E70</f>
        <v>20970.561924685153</v>
      </c>
      <c r="F71" s="227">
        <f t="shared" si="31"/>
        <v>21416.46651976608</v>
      </c>
      <c r="G71" s="227">
        <f t="shared" si="31"/>
        <v>21936.213628569898</v>
      </c>
      <c r="H71" s="227">
        <f t="shared" si="31"/>
        <v>22561.001365287982</v>
      </c>
      <c r="I71" s="227">
        <f t="shared" si="31"/>
        <v>33283.50050831215</v>
      </c>
      <c r="J71" s="227">
        <f t="shared" si="31"/>
        <v>27194.554803499846</v>
      </c>
      <c r="K71" s="227">
        <f t="shared" si="31"/>
        <v>27734.152880738773</v>
      </c>
      <c r="L71" s="227">
        <f t="shared" si="31"/>
        <v>28284.457595773216</v>
      </c>
      <c r="M71" s="227">
        <f t="shared" si="31"/>
        <v>28845.681385549546</v>
      </c>
      <c r="N71" s="227">
        <f t="shared" si="31"/>
        <v>29418.040902048895</v>
      </c>
      <c r="O71" s="227">
        <f t="shared" si="31"/>
        <v>30001.757095917903</v>
      </c>
      <c r="P71" s="227">
        <f t="shared" si="31"/>
        <v>30597.055301758883</v>
      </c>
      <c r="Q71" s="227">
        <f t="shared" si="31"/>
        <v>31204.165325112135</v>
      </c>
      <c r="R71" s="227">
        <f t="shared" si="31"/>
        <v>31823.321531164147</v>
      </c>
      <c r="S71" s="227">
        <f>S69+S70</f>
        <v>32454.762935215746</v>
      </c>
      <c r="T71" s="227">
        <f>T69+T70</f>
        <v>33098.733294945276</v>
      </c>
      <c r="U71" s="227">
        <f>U69+U70</f>
        <v>33755.481204502263</v>
      </c>
      <c r="V71" s="227">
        <f>V69+V70</f>
        <v>34425.2601904681</v>
      </c>
      <c r="W71" s="227">
        <f t="shared" ref="W71:AB71" si="32">W69+W70</f>
        <v>35108.32880972053</v>
      </c>
      <c r="X71" s="227">
        <f t="shared" si="32"/>
        <v>35804.950749239935</v>
      </c>
      <c r="Y71" s="227">
        <f t="shared" si="32"/>
        <v>36515.394927895824</v>
      </c>
      <c r="Z71" s="227">
        <f t="shared" si="32"/>
        <v>37239.935600252786</v>
      </c>
      <c r="AA71" s="227">
        <f t="shared" si="32"/>
        <v>37978.85246243616</v>
      </c>
      <c r="AB71" s="227">
        <f t="shared" si="32"/>
        <v>135960.78490565642</v>
      </c>
    </row>
    <row r="72" spans="2:28" ht="14" x14ac:dyDescent="0.2">
      <c r="B72" s="210" t="s">
        <v>382</v>
      </c>
      <c r="C72" s="207">
        <v>0</v>
      </c>
      <c r="D72" s="207">
        <f>IFERROR(IRR($C71:D$71),0)</f>
        <v>-0.94108088481665397</v>
      </c>
      <c r="E72" s="207">
        <f>IFERROR(IRR($C71:E$71),0)</f>
        <v>-0.73223350251595709</v>
      </c>
      <c r="F72" s="207">
        <f>IFERROR(IRR($C71:F$71),0)</f>
        <v>-0.54391327181070981</v>
      </c>
      <c r="G72" s="207">
        <f>IFERROR(IRR($C71:G$71),0)</f>
        <v>-0.40598722104717955</v>
      </c>
      <c r="H72" s="207">
        <f>IFERROR(IRR($C71:H$71),0)</f>
        <v>-0.30641998430818185</v>
      </c>
      <c r="I72" s="207">
        <f>IFERROR(IRR($C71:I$71),0)</f>
        <v>-0.21164268394807206</v>
      </c>
      <c r="J72" s="207">
        <f>IFERROR(IRR($C71:J$71),0)</f>
        <v>-0.15905873735309706</v>
      </c>
      <c r="K72" s="207">
        <f>IFERROR(IRR($C71:K$71),0)</f>
        <v>-0.11858159975872073</v>
      </c>
      <c r="L72" s="207">
        <f>IFERROR(IRR($C71:L$71),0)</f>
        <v>-8.6941865361026105E-2</v>
      </c>
      <c r="M72" s="207">
        <f>IFERROR(IRR($C71:M$71),0)</f>
        <v>-6.1806527434274172E-2</v>
      </c>
      <c r="N72" s="207">
        <f>IFERROR(IRR($C71:N$71),0)</f>
        <v>-4.1536845411269341E-2</v>
      </c>
      <c r="O72" s="207">
        <f>IFERROR(IRR($C71:O$71),0)</f>
        <v>-2.4970380760020672E-2</v>
      </c>
      <c r="P72" s="207">
        <f>IFERROR(IRR($C71:P$71),0)</f>
        <v>-1.126893214455893E-2</v>
      </c>
      <c r="Q72" s="207">
        <f>IFERROR(IRR($C71:Q$71),0)</f>
        <v>1.8257171203939215E-4</v>
      </c>
      <c r="R72" s="207">
        <f>IFERROR(IRR($C71:R$71),0)</f>
        <v>9.843138114031591E-3</v>
      </c>
      <c r="S72" s="207">
        <f>IFERROR(IRR($C71:S$71),0)</f>
        <v>1.8060712529290424E-2</v>
      </c>
      <c r="T72" s="207">
        <f>IFERROR(IRR($C71:T$71),0)</f>
        <v>2.5102860776476721E-2</v>
      </c>
      <c r="U72" s="207">
        <f>IFERROR(IRR($C71:U$71),0)</f>
        <v>3.1178045414861577E-2</v>
      </c>
      <c r="V72" s="207">
        <f>IFERROR(IRR($C71:V$71),0)</f>
        <v>3.6450627010154335E-2</v>
      </c>
      <c r="W72" s="207">
        <f>IFERROR(IRR($C71:W$71),0)</f>
        <v>4.1051609264549427E-2</v>
      </c>
      <c r="X72" s="207">
        <f>IFERROR(IRR($C71:X$71),0)</f>
        <v>4.5086450047409743E-2</v>
      </c>
      <c r="Y72" s="207">
        <f>IFERROR(IRR($C71:Y$71),0)</f>
        <v>4.8640817988521601E-2</v>
      </c>
      <c r="Z72" s="207">
        <f>IFERROR(IRR($C71:Z$71),0)</f>
        <v>5.178488930694769E-2</v>
      </c>
      <c r="AA72" s="207">
        <f>IFERROR(IRR($C71:AA$71),0)</f>
        <v>5.4576593071229862E-2</v>
      </c>
      <c r="AB72" s="207">
        <f>IFERROR(IRR($C71:AB$71),0)</f>
        <v>6.256869245947505E-2</v>
      </c>
    </row>
    <row r="73" spans="2:28" ht="14" x14ac:dyDescent="0.2">
      <c r="B73" s="210" t="s">
        <v>98</v>
      </c>
      <c r="C73" s="227">
        <f>C71</f>
        <v>-374994.41009402747</v>
      </c>
      <c r="D73" s="227">
        <f>C73+D71</f>
        <v>-352900.07125258655</v>
      </c>
      <c r="E73" s="227">
        <f t="shared" ref="E73:R73" si="33">D73+E71</f>
        <v>-331929.50932790141</v>
      </c>
      <c r="F73" s="227">
        <f t="shared" si="33"/>
        <v>-310513.04280813533</v>
      </c>
      <c r="G73" s="227">
        <f t="shared" si="33"/>
        <v>-288576.82917956542</v>
      </c>
      <c r="H73" s="227">
        <f t="shared" si="33"/>
        <v>-266015.82781427744</v>
      </c>
      <c r="I73" s="227">
        <f t="shared" si="33"/>
        <v>-232732.3273059653</v>
      </c>
      <c r="J73" s="227">
        <f t="shared" si="33"/>
        <v>-205537.77250246546</v>
      </c>
      <c r="K73" s="227">
        <f t="shared" si="33"/>
        <v>-177803.61962172668</v>
      </c>
      <c r="L73" s="227">
        <f t="shared" si="33"/>
        <v>-149519.16202595347</v>
      </c>
      <c r="M73" s="227">
        <f t="shared" si="33"/>
        <v>-120673.48064040393</v>
      </c>
      <c r="N73" s="227">
        <f t="shared" si="33"/>
        <v>-91255.439738355024</v>
      </c>
      <c r="O73" s="227">
        <f t="shared" si="33"/>
        <v>-61253.682642437125</v>
      </c>
      <c r="P73" s="227">
        <f t="shared" si="33"/>
        <v>-30656.627340678242</v>
      </c>
      <c r="Q73" s="227">
        <f t="shared" si="33"/>
        <v>547.53798443389314</v>
      </c>
      <c r="R73" s="227">
        <f t="shared" si="33"/>
        <v>32370.85951559804</v>
      </c>
      <c r="S73" s="227">
        <f>R73+S71</f>
        <v>64825.622450813782</v>
      </c>
      <c r="T73" s="227">
        <f>S73+T71</f>
        <v>97924.355745759065</v>
      </c>
      <c r="U73" s="227">
        <f>T73+U71</f>
        <v>131679.83695026132</v>
      </c>
      <c r="V73" s="227">
        <f>U73+V71</f>
        <v>166105.09714072943</v>
      </c>
      <c r="W73" s="227">
        <f t="shared" ref="W73:AB73" si="34">V73+W71</f>
        <v>201213.42595044995</v>
      </c>
      <c r="X73" s="227">
        <f t="shared" si="34"/>
        <v>237018.37669968989</v>
      </c>
      <c r="Y73" s="227">
        <f t="shared" si="34"/>
        <v>273533.77162758569</v>
      </c>
      <c r="Z73" s="227">
        <f t="shared" si="34"/>
        <v>310773.70722783846</v>
      </c>
      <c r="AA73" s="227">
        <f t="shared" si="34"/>
        <v>348752.55969027465</v>
      </c>
      <c r="AB73" s="227">
        <f t="shared" si="34"/>
        <v>484713.34459593106</v>
      </c>
    </row>
    <row r="74" spans="2:28" ht="14" x14ac:dyDescent="0.2">
      <c r="B74" s="210" t="s">
        <v>347</v>
      </c>
      <c r="C74" s="227">
        <f>NPV(Investor_Discount_Rate,D71:AB71)+C71</f>
        <v>-10036.19221275422</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6.256869245947505E-2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-12423.977126244106</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6.2002231658247586E-2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84" t="s">
        <v>352</v>
      </c>
      <c r="C86" s="584"/>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-307309.82952392643</v>
      </c>
      <c r="D88" s="223">
        <f t="shared" si="35"/>
        <v>-93979.380011118221</v>
      </c>
      <c r="E88" s="223">
        <f t="shared" si="35"/>
        <v>-50300.539093202504</v>
      </c>
      <c r="F88" s="223">
        <f t="shared" si="35"/>
        <v>-22033.55865938952</v>
      </c>
      <c r="G88" s="223">
        <f t="shared" si="35"/>
        <v>-3049.7423511046691</v>
      </c>
      <c r="H88" s="223">
        <f t="shared" si="35"/>
        <v>15844.772384356274</v>
      </c>
      <c r="I88" s="223">
        <f t="shared" si="35"/>
        <v>17596.535569004282</v>
      </c>
      <c r="J88" s="223">
        <f t="shared" si="35"/>
        <v>19027.827927083221</v>
      </c>
      <c r="K88" s="223">
        <f t="shared" si="35"/>
        <v>20487.52018396421</v>
      </c>
      <c r="L88" s="223">
        <f t="shared" si="35"/>
        <v>21976.175846899641</v>
      </c>
      <c r="M88" s="223">
        <f t="shared" si="35"/>
        <v>23494.369604033829</v>
      </c>
      <c r="N88" s="223">
        <f t="shared" si="35"/>
        <v>25042.687546246929</v>
      </c>
      <c r="O88" s="223">
        <f t="shared" si="35"/>
        <v>26621.727393400502</v>
      </c>
      <c r="P88" s="223">
        <f t="shared" si="35"/>
        <v>28232.098725072021</v>
      </c>
      <c r="Q88" s="223">
        <f t="shared" si="35"/>
        <v>29874.423215867395</v>
      </c>
      <c r="R88" s="223">
        <f t="shared" si="35"/>
        <v>31549.33487540235</v>
      </c>
      <c r="S88" s="223">
        <f t="shared" si="35"/>
        <v>33257.480293045286</v>
      </c>
      <c r="T88" s="223">
        <f t="shared" si="35"/>
        <v>34999.518887516089</v>
      </c>
      <c r="U88" s="223">
        <f t="shared" si="35"/>
        <v>36776.123161437259</v>
      </c>
      <c r="V88" s="223">
        <f t="shared" si="35"/>
        <v>38587.978960935579</v>
      </c>
      <c r="W88" s="223">
        <f t="shared" si="35"/>
        <v>40435.785740394553</v>
      </c>
      <c r="X88" s="223">
        <f t="shared" si="35"/>
        <v>42320.256832459811</v>
      </c>
      <c r="Y88" s="223">
        <f t="shared" si="35"/>
        <v>44242.119723401695</v>
      </c>
      <c r="Z88" s="223">
        <f t="shared" si="35"/>
        <v>46202.116333941318</v>
      </c>
      <c r="AA88" s="223">
        <f t="shared" si="35"/>
        <v>48201.003305648483</v>
      </c>
      <c r="AB88" s="223">
        <f t="shared" si="35"/>
        <v>55356.834090156714</v>
      </c>
    </row>
    <row r="89" spans="2:28" ht="14" x14ac:dyDescent="0.2">
      <c r="B89" s="222" t="s">
        <v>340</v>
      </c>
      <c r="C89" s="225">
        <f>C73</f>
        <v>-374994.41009402747</v>
      </c>
      <c r="D89" s="225">
        <f t="shared" ref="D89:R89" si="36">D73</f>
        <v>-352900.07125258655</v>
      </c>
      <c r="E89" s="225">
        <f t="shared" si="36"/>
        <v>-331929.50932790141</v>
      </c>
      <c r="F89" s="225">
        <f t="shared" si="36"/>
        <v>-310513.04280813533</v>
      </c>
      <c r="G89" s="225">
        <f t="shared" si="36"/>
        <v>-288576.82917956542</v>
      </c>
      <c r="H89" s="225">
        <f t="shared" si="36"/>
        <v>-266015.82781427744</v>
      </c>
      <c r="I89" s="225">
        <f t="shared" si="36"/>
        <v>-232732.3273059653</v>
      </c>
      <c r="J89" s="225">
        <f t="shared" si="36"/>
        <v>-205537.77250246546</v>
      </c>
      <c r="K89" s="225">
        <f t="shared" si="36"/>
        <v>-177803.61962172668</v>
      </c>
      <c r="L89" s="225">
        <f t="shared" si="36"/>
        <v>-149519.16202595347</v>
      </c>
      <c r="M89" s="225">
        <f t="shared" si="36"/>
        <v>-120673.48064040393</v>
      </c>
      <c r="N89" s="225">
        <f t="shared" si="36"/>
        <v>-91255.439738355024</v>
      </c>
      <c r="O89" s="225">
        <f t="shared" si="36"/>
        <v>-61253.682642437125</v>
      </c>
      <c r="P89" s="225">
        <f t="shared" si="36"/>
        <v>-30656.627340678242</v>
      </c>
      <c r="Q89" s="225">
        <f t="shared" si="36"/>
        <v>547.53798443389314</v>
      </c>
      <c r="R89" s="225">
        <f t="shared" si="36"/>
        <v>32370.85951559804</v>
      </c>
      <c r="S89" s="225">
        <f>S73</f>
        <v>64825.622450813782</v>
      </c>
      <c r="T89" s="225">
        <f>T73</f>
        <v>97924.355745759065</v>
      </c>
      <c r="U89" s="225">
        <f>U73</f>
        <v>131679.83695026132</v>
      </c>
      <c r="V89" s="225">
        <f>V73</f>
        <v>166105.09714072943</v>
      </c>
      <c r="W89" s="225">
        <f t="shared" ref="W89:AB89" si="37">W73</f>
        <v>201213.42595044995</v>
      </c>
      <c r="X89" s="225">
        <f t="shared" si="37"/>
        <v>237018.37669968989</v>
      </c>
      <c r="Y89" s="225">
        <f t="shared" si="37"/>
        <v>273533.77162758569</v>
      </c>
      <c r="Z89" s="225">
        <f t="shared" si="37"/>
        <v>310773.70722783846</v>
      </c>
      <c r="AA89" s="225">
        <f t="shared" si="37"/>
        <v>348752.55969027465</v>
      </c>
      <c r="AB89" s="225">
        <f t="shared" si="37"/>
        <v>484713.34459593106</v>
      </c>
    </row>
    <row r="91" spans="2:28" ht="16" x14ac:dyDescent="0.15">
      <c r="B91" s="586" t="s">
        <v>354</v>
      </c>
      <c r="C91" s="587"/>
    </row>
    <row r="92" spans="2:28" ht="14" x14ac:dyDescent="0.2">
      <c r="B92" s="221" t="s">
        <v>353</v>
      </c>
      <c r="C92" s="224">
        <f>-C56</f>
        <v>307309.82952392643</v>
      </c>
    </row>
    <row r="93" spans="2:28" ht="14" x14ac:dyDescent="0.2">
      <c r="B93" s="222" t="s">
        <v>340</v>
      </c>
      <c r="C93" s="226">
        <f>-C69</f>
        <v>374994.41009402747</v>
      </c>
    </row>
    <row r="95" spans="2:28" ht="16" x14ac:dyDescent="0.2">
      <c r="B95" s="584" t="s">
        <v>352</v>
      </c>
      <c r="C95" s="584"/>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-307309.82952392643</v>
      </c>
      <c r="D97" s="259">
        <f t="shared" si="38"/>
        <v>213330.44951280821</v>
      </c>
      <c r="E97" s="259">
        <f t="shared" si="38"/>
        <v>43678.840917915717</v>
      </c>
      <c r="F97" s="259">
        <f t="shared" si="38"/>
        <v>28266.980433812983</v>
      </c>
      <c r="G97" s="259">
        <f t="shared" si="38"/>
        <v>18983.816308284851</v>
      </c>
      <c r="H97" s="259">
        <f t="shared" si="38"/>
        <v>18894.514735460943</v>
      </c>
      <c r="I97" s="259">
        <f t="shared" si="38"/>
        <v>1751.7631846480081</v>
      </c>
      <c r="J97" s="259">
        <f t="shared" si="38"/>
        <v>1431.2923580789393</v>
      </c>
      <c r="K97" s="259">
        <f t="shared" si="38"/>
        <v>1459.6922568809882</v>
      </c>
      <c r="L97" s="259">
        <f t="shared" si="38"/>
        <v>1488.6556629354325</v>
      </c>
      <c r="M97" s="259">
        <f t="shared" si="38"/>
        <v>1518.1937571341869</v>
      </c>
      <c r="N97" s="259">
        <f t="shared" si="38"/>
        <v>1548.3179422130997</v>
      </c>
      <c r="O97" s="259">
        <f t="shared" si="38"/>
        <v>1579.0398471535739</v>
      </c>
      <c r="P97" s="259">
        <f t="shared" si="38"/>
        <v>1610.3713316715202</v>
      </c>
      <c r="Q97" s="259">
        <f t="shared" si="38"/>
        <v>1642.3244907953756</v>
      </c>
      <c r="R97" s="259">
        <f t="shared" si="38"/>
        <v>1674.9116595349551</v>
      </c>
      <c r="S97" s="259">
        <f t="shared" si="38"/>
        <v>1708.145417642934</v>
      </c>
      <c r="T97" s="259">
        <f t="shared" si="38"/>
        <v>1742.0385944708041</v>
      </c>
      <c r="U97" s="259">
        <f t="shared" si="38"/>
        <v>1776.6042739211716</v>
      </c>
      <c r="V97" s="259">
        <f t="shared" si="38"/>
        <v>1811.8557994983212</v>
      </c>
      <c r="W97" s="259">
        <f t="shared" si="38"/>
        <v>1847.8067794589751</v>
      </c>
      <c r="X97" s="259">
        <f t="shared" si="38"/>
        <v>1884.4710920652597</v>
      </c>
      <c r="Y97" s="259">
        <f t="shared" si="38"/>
        <v>1921.8628909418856</v>
      </c>
      <c r="Z97" s="259">
        <f t="shared" si="38"/>
        <v>1959.9966105396206</v>
      </c>
      <c r="AA97" s="259">
        <f t="shared" si="38"/>
        <v>1998.8869717071664</v>
      </c>
      <c r="AB97" s="259">
        <f t="shared" si="38"/>
        <v>7155.8307845082327</v>
      </c>
    </row>
    <row r="98" spans="2:28" ht="14" x14ac:dyDescent="0.2">
      <c r="B98" s="222" t="s">
        <v>340</v>
      </c>
      <c r="C98" s="260">
        <f>C71</f>
        <v>-374994.41009402747</v>
      </c>
      <c r="D98" s="260">
        <f t="shared" ref="D98:V98" si="39">D71</f>
        <v>22094.338841440909</v>
      </c>
      <c r="E98" s="260">
        <f t="shared" si="39"/>
        <v>20970.561924685153</v>
      </c>
      <c r="F98" s="260">
        <f t="shared" si="39"/>
        <v>21416.46651976608</v>
      </c>
      <c r="G98" s="260">
        <f t="shared" si="39"/>
        <v>21936.213628569898</v>
      </c>
      <c r="H98" s="260">
        <f t="shared" si="39"/>
        <v>22561.001365287982</v>
      </c>
      <c r="I98" s="260">
        <f t="shared" si="39"/>
        <v>33283.50050831215</v>
      </c>
      <c r="J98" s="260">
        <f t="shared" si="39"/>
        <v>27194.554803499846</v>
      </c>
      <c r="K98" s="260">
        <f t="shared" si="39"/>
        <v>27734.152880738773</v>
      </c>
      <c r="L98" s="260">
        <f t="shared" si="39"/>
        <v>28284.457595773216</v>
      </c>
      <c r="M98" s="260">
        <f t="shared" si="39"/>
        <v>28845.681385549546</v>
      </c>
      <c r="N98" s="260">
        <f t="shared" si="39"/>
        <v>29418.040902048895</v>
      </c>
      <c r="O98" s="260">
        <f t="shared" si="39"/>
        <v>30001.757095917903</v>
      </c>
      <c r="P98" s="260">
        <f t="shared" si="39"/>
        <v>30597.055301758883</v>
      </c>
      <c r="Q98" s="260">
        <f t="shared" si="39"/>
        <v>31204.165325112135</v>
      </c>
      <c r="R98" s="260">
        <f t="shared" si="39"/>
        <v>31823.321531164147</v>
      </c>
      <c r="S98" s="260">
        <f t="shared" si="39"/>
        <v>32454.762935215746</v>
      </c>
      <c r="T98" s="260">
        <f t="shared" si="39"/>
        <v>33098.733294945276</v>
      </c>
      <c r="U98" s="260">
        <f t="shared" si="39"/>
        <v>33755.481204502263</v>
      </c>
      <c r="V98" s="260">
        <f t="shared" si="39"/>
        <v>34425.2601904681</v>
      </c>
      <c r="W98" s="260">
        <f t="shared" ref="W98:AB98" si="40">W71</f>
        <v>35108.32880972053</v>
      </c>
      <c r="X98" s="260">
        <f t="shared" si="40"/>
        <v>35804.950749239935</v>
      </c>
      <c r="Y98" s="260">
        <f t="shared" si="40"/>
        <v>36515.394927895824</v>
      </c>
      <c r="Z98" s="260">
        <f t="shared" si="40"/>
        <v>37239.935600252786</v>
      </c>
      <c r="AA98" s="260">
        <f t="shared" si="40"/>
        <v>37978.85246243616</v>
      </c>
      <c r="AB98" s="260">
        <f t="shared" si="40"/>
        <v>135960.78490565642</v>
      </c>
    </row>
    <row r="113" spans="5:5" x14ac:dyDescent="0.15">
      <c r="E113" t="s">
        <v>349</v>
      </c>
    </row>
  </sheetData>
  <mergeCells count="15">
    <mergeCell ref="N5:Y11"/>
    <mergeCell ref="N4:Y4"/>
    <mergeCell ref="B18:C18"/>
    <mergeCell ref="J8:K8"/>
    <mergeCell ref="J9:K9"/>
    <mergeCell ref="E14:G17"/>
    <mergeCell ref="H5:L6"/>
    <mergeCell ref="H8:I8"/>
    <mergeCell ref="H9:I9"/>
    <mergeCell ref="H14:I17"/>
    <mergeCell ref="B95:C95"/>
    <mergeCell ref="B34:C34"/>
    <mergeCell ref="B53:C53"/>
    <mergeCell ref="B86:C86"/>
    <mergeCell ref="B91:C91"/>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46" zoomScale="125"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62" t="s">
        <v>0</v>
      </c>
      <c r="P4" s="563"/>
      <c r="Q4" s="563"/>
      <c r="R4" s="563"/>
      <c r="S4" s="563"/>
      <c r="T4" s="563"/>
      <c r="U4" s="563"/>
      <c r="V4" s="563"/>
      <c r="W4" s="563"/>
      <c r="X4" s="563"/>
      <c r="Y4" s="563"/>
      <c r="Z4" s="563"/>
      <c r="AA4" s="34"/>
    </row>
    <row r="5" spans="1:61" ht="25" customHeight="1" x14ac:dyDescent="0.15">
      <c r="I5" s="473" t="s">
        <v>464</v>
      </c>
      <c r="J5" s="473"/>
      <c r="K5" s="473"/>
      <c r="L5" s="473"/>
      <c r="M5" s="473"/>
      <c r="O5" s="564" t="s">
        <v>134</v>
      </c>
      <c r="P5" s="565"/>
      <c r="Q5" s="565"/>
      <c r="R5" s="565"/>
      <c r="S5" s="565"/>
      <c r="T5" s="565"/>
      <c r="U5" s="565"/>
      <c r="V5" s="565"/>
      <c r="W5" s="565"/>
      <c r="X5" s="565"/>
      <c r="Y5" s="565"/>
      <c r="Z5" s="566"/>
      <c r="AA5" s="34"/>
    </row>
    <row r="6" spans="1:61" ht="25" customHeight="1" x14ac:dyDescent="0.15">
      <c r="I6" s="473"/>
      <c r="J6" s="473"/>
      <c r="K6" s="473"/>
      <c r="L6" s="473"/>
      <c r="M6" s="473"/>
      <c r="O6" s="567"/>
      <c r="P6" s="568"/>
      <c r="Q6" s="568"/>
      <c r="R6" s="568"/>
      <c r="S6" s="568"/>
      <c r="T6" s="568"/>
      <c r="U6" s="568"/>
      <c r="V6" s="568"/>
      <c r="W6" s="568"/>
      <c r="X6" s="568"/>
      <c r="Y6" s="568"/>
      <c r="Z6" s="569"/>
      <c r="AA6" s="34"/>
    </row>
    <row r="7" spans="1:61" ht="25" customHeight="1" thickBot="1" x14ac:dyDescent="0.2">
      <c r="O7" s="567"/>
      <c r="P7" s="568"/>
      <c r="Q7" s="568"/>
      <c r="R7" s="568"/>
      <c r="S7" s="568"/>
      <c r="T7" s="568"/>
      <c r="U7" s="568"/>
      <c r="V7" s="568"/>
      <c r="W7" s="568"/>
      <c r="X7" s="568"/>
      <c r="Y7" s="568"/>
      <c r="Z7" s="569"/>
      <c r="AA7" s="34"/>
    </row>
    <row r="8" spans="1:61" ht="16" x14ac:dyDescent="0.2">
      <c r="A8" s="34"/>
      <c r="B8" s="34"/>
      <c r="C8" s="34"/>
      <c r="D8" s="34"/>
      <c r="E8" s="34"/>
      <c r="F8" s="34"/>
      <c r="G8" s="34"/>
      <c r="H8" s="34"/>
      <c r="I8" s="486" t="s">
        <v>214</v>
      </c>
      <c r="J8" s="487"/>
      <c r="K8" s="580"/>
      <c r="L8" s="581"/>
      <c r="M8" s="34"/>
      <c r="O8" s="567"/>
      <c r="P8" s="568"/>
      <c r="Q8" s="568"/>
      <c r="R8" s="568"/>
      <c r="S8" s="568"/>
      <c r="T8" s="568"/>
      <c r="U8" s="568"/>
      <c r="V8" s="568"/>
      <c r="W8" s="568"/>
      <c r="X8" s="568"/>
      <c r="Y8" s="568"/>
      <c r="Z8" s="569"/>
      <c r="AA8" s="34"/>
    </row>
    <row r="9" spans="1:61" ht="17" thickBot="1" x14ac:dyDescent="0.25">
      <c r="A9" s="34"/>
      <c r="B9" s="34"/>
      <c r="C9" s="34"/>
      <c r="D9" s="34"/>
      <c r="E9" s="34"/>
      <c r="F9" s="34"/>
      <c r="G9" s="34"/>
      <c r="H9" s="34"/>
      <c r="I9" s="557" t="s">
        <v>216</v>
      </c>
      <c r="J9" s="558"/>
      <c r="K9" s="582"/>
      <c r="L9" s="583"/>
      <c r="M9" s="34"/>
      <c r="O9" s="567"/>
      <c r="P9" s="568"/>
      <c r="Q9" s="568"/>
      <c r="R9" s="568"/>
      <c r="S9" s="568"/>
      <c r="T9" s="568"/>
      <c r="U9" s="568"/>
      <c r="V9" s="568"/>
      <c r="W9" s="568"/>
      <c r="X9" s="568"/>
      <c r="Y9" s="568"/>
      <c r="Z9" s="569"/>
      <c r="AA9" s="35"/>
    </row>
    <row r="10" spans="1:61" ht="14" x14ac:dyDescent="0.2">
      <c r="A10" s="34"/>
      <c r="B10" s="34"/>
      <c r="C10" s="34"/>
      <c r="D10" s="34"/>
      <c r="E10" s="34"/>
      <c r="F10" s="34"/>
      <c r="G10" s="34"/>
      <c r="H10" s="34"/>
      <c r="L10" s="34"/>
      <c r="M10" s="34"/>
      <c r="N10" s="34"/>
      <c r="O10" s="567"/>
      <c r="P10" s="568"/>
      <c r="Q10" s="568"/>
      <c r="R10" s="568"/>
      <c r="S10" s="568"/>
      <c r="T10" s="568"/>
      <c r="U10" s="568"/>
      <c r="V10" s="568"/>
      <c r="W10" s="568"/>
      <c r="X10" s="568"/>
      <c r="Y10" s="568"/>
      <c r="Z10" s="569"/>
      <c r="AA10" s="35"/>
    </row>
    <row r="11" spans="1:61" ht="14" x14ac:dyDescent="0.2">
      <c r="A11" s="34"/>
      <c r="B11" s="34"/>
      <c r="C11" s="34"/>
      <c r="D11" s="34"/>
      <c r="E11" s="34"/>
      <c r="F11" s="34"/>
      <c r="G11" s="34"/>
      <c r="H11" s="34"/>
      <c r="I11" s="34"/>
      <c r="J11" s="34"/>
      <c r="K11" s="34"/>
      <c r="L11" s="34"/>
      <c r="M11" s="34"/>
      <c r="N11" s="34"/>
      <c r="O11" s="570"/>
      <c r="P11" s="571"/>
      <c r="Q11" s="571"/>
      <c r="R11" s="571"/>
      <c r="S11" s="571"/>
      <c r="T11" s="571"/>
      <c r="U11" s="571"/>
      <c r="V11" s="571"/>
      <c r="W11" s="571"/>
      <c r="X11" s="571"/>
      <c r="Y11" s="571"/>
      <c r="Z11" s="572"/>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5" t="s">
        <v>278</v>
      </c>
      <c r="C13" s="346"/>
      <c r="D13" s="346"/>
      <c r="E13" s="346"/>
      <c r="F13" s="346"/>
      <c r="G13" s="346"/>
      <c r="H13" s="346"/>
      <c r="I13" s="346"/>
      <c r="J13" s="346"/>
      <c r="K13" s="346"/>
      <c r="L13" s="346"/>
      <c r="M13" s="346"/>
      <c r="N13" s="346"/>
      <c r="O13" s="346"/>
      <c r="P13" s="346"/>
      <c r="Q13" s="346"/>
      <c r="R13" s="346"/>
      <c r="S13" s="346"/>
      <c r="T13" s="346"/>
      <c r="U13" s="346"/>
      <c r="V13" s="346"/>
      <c r="W13" s="347"/>
      <c r="X13" s="347"/>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5" t="s">
        <v>279</v>
      </c>
      <c r="C14" s="346"/>
      <c r="D14" s="346"/>
      <c r="E14" s="346"/>
      <c r="F14" s="346"/>
      <c r="G14" s="346"/>
      <c r="H14" s="346"/>
      <c r="I14" s="346"/>
      <c r="J14" s="346"/>
      <c r="K14" s="346"/>
      <c r="L14" s="346"/>
      <c r="M14" s="346"/>
      <c r="N14" s="346"/>
      <c r="O14" s="346"/>
      <c r="P14" s="346"/>
      <c r="Q14" s="346"/>
      <c r="R14" s="346"/>
      <c r="S14" s="346"/>
      <c r="T14" s="346"/>
      <c r="U14" s="346"/>
      <c r="V14" s="346"/>
      <c r="W14" s="347"/>
      <c r="X14" s="347"/>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5"/>
      <c r="C15" s="346"/>
      <c r="D15" s="346"/>
      <c r="E15" s="346"/>
      <c r="F15" s="346"/>
      <c r="G15" s="346"/>
      <c r="H15" s="346"/>
      <c r="I15" s="346"/>
      <c r="J15" s="346"/>
      <c r="K15" s="346"/>
      <c r="L15" s="346"/>
      <c r="M15" s="346"/>
      <c r="N15" s="346"/>
      <c r="O15" s="346"/>
      <c r="P15" s="346"/>
      <c r="Q15" s="346"/>
      <c r="R15" s="346"/>
      <c r="S15" s="346"/>
      <c r="T15" s="346"/>
      <c r="U15" s="346"/>
      <c r="V15" s="346"/>
      <c r="W15" s="346"/>
      <c r="X15" s="346"/>
    </row>
    <row r="16" spans="1:61" ht="17" thickBot="1" x14ac:dyDescent="0.25">
      <c r="A16" s="34"/>
      <c r="B16" s="600" t="s">
        <v>388</v>
      </c>
      <c r="C16" s="600"/>
      <c r="D16" s="600"/>
      <c r="E16" s="346"/>
      <c r="F16" s="346"/>
      <c r="G16" s="346"/>
      <c r="H16" s="346"/>
      <c r="I16" s="346"/>
      <c r="J16" s="346"/>
      <c r="K16" s="346"/>
      <c r="L16" s="346"/>
      <c r="M16" s="346"/>
      <c r="N16" s="346"/>
      <c r="O16" s="346"/>
      <c r="P16" s="346"/>
      <c r="Q16" s="346"/>
      <c r="R16" s="346"/>
      <c r="S16" s="346"/>
      <c r="T16" s="346"/>
      <c r="U16" s="346"/>
      <c r="V16" s="346"/>
      <c r="W16" s="347"/>
      <c r="X16" s="347"/>
      <c r="Y16" s="2"/>
    </row>
    <row r="17" spans="1:28" ht="14" x14ac:dyDescent="0.2">
      <c r="A17" s="34"/>
      <c r="B17" s="348" t="s">
        <v>286</v>
      </c>
      <c r="C17" s="349">
        <v>0</v>
      </c>
      <c r="D17" s="350">
        <v>1</v>
      </c>
      <c r="E17" s="350">
        <v>2</v>
      </c>
      <c r="F17" s="350">
        <v>3</v>
      </c>
      <c r="G17" s="350">
        <v>4</v>
      </c>
      <c r="H17" s="350">
        <v>5</v>
      </c>
      <c r="I17" s="350">
        <v>6</v>
      </c>
      <c r="J17" s="350">
        <v>7</v>
      </c>
      <c r="K17" s="350">
        <v>8</v>
      </c>
      <c r="L17" s="350">
        <v>9</v>
      </c>
      <c r="M17" s="350">
        <v>10</v>
      </c>
      <c r="N17" s="350">
        <v>11</v>
      </c>
      <c r="O17" s="350">
        <v>12</v>
      </c>
      <c r="P17" s="350">
        <v>13</v>
      </c>
      <c r="Q17" s="350">
        <v>14</v>
      </c>
      <c r="R17" s="350">
        <v>15</v>
      </c>
      <c r="S17" s="350">
        <v>16</v>
      </c>
      <c r="T17" s="350">
        <v>17</v>
      </c>
      <c r="U17" s="350">
        <v>18</v>
      </c>
      <c r="V17" s="350">
        <v>19</v>
      </c>
      <c r="W17" s="350">
        <v>20</v>
      </c>
      <c r="X17" s="350">
        <v>21</v>
      </c>
      <c r="Y17" s="350">
        <v>22</v>
      </c>
      <c r="Z17" s="350">
        <v>23</v>
      </c>
      <c r="AA17" s="350">
        <v>24</v>
      </c>
      <c r="AB17" s="350">
        <v>25</v>
      </c>
    </row>
    <row r="18" spans="1:28" ht="14" x14ac:dyDescent="0.2">
      <c r="A18" s="34"/>
      <c r="B18" s="351" t="s">
        <v>276</v>
      </c>
      <c r="C18" s="352"/>
      <c r="D18" s="353">
        <f>Customer_Monthly_kWh_Usage*12</f>
        <v>1808258.2665632926</v>
      </c>
      <c r="E18" s="354">
        <f>D18</f>
        <v>1808258.2665632926</v>
      </c>
      <c r="F18" s="354">
        <f t="shared" ref="F18:V18" si="0">E18</f>
        <v>1808258.2665632926</v>
      </c>
      <c r="G18" s="354">
        <f t="shared" si="0"/>
        <v>1808258.2665632926</v>
      </c>
      <c r="H18" s="354">
        <f t="shared" si="0"/>
        <v>1808258.2665632926</v>
      </c>
      <c r="I18" s="354">
        <f t="shared" si="0"/>
        <v>1808258.2665632926</v>
      </c>
      <c r="J18" s="354">
        <f t="shared" si="0"/>
        <v>1808258.2665632926</v>
      </c>
      <c r="K18" s="354">
        <f t="shared" si="0"/>
        <v>1808258.2665632926</v>
      </c>
      <c r="L18" s="354">
        <f t="shared" si="0"/>
        <v>1808258.2665632926</v>
      </c>
      <c r="M18" s="354">
        <f t="shared" si="0"/>
        <v>1808258.2665632926</v>
      </c>
      <c r="N18" s="354">
        <f t="shared" si="0"/>
        <v>1808258.2665632926</v>
      </c>
      <c r="O18" s="354">
        <f t="shared" si="0"/>
        <v>1808258.2665632926</v>
      </c>
      <c r="P18" s="354">
        <f t="shared" si="0"/>
        <v>1808258.2665632926</v>
      </c>
      <c r="Q18" s="354">
        <f t="shared" si="0"/>
        <v>1808258.2665632926</v>
      </c>
      <c r="R18" s="354">
        <f t="shared" si="0"/>
        <v>1808258.2665632926</v>
      </c>
      <c r="S18" s="354">
        <f t="shared" si="0"/>
        <v>1808258.2665632926</v>
      </c>
      <c r="T18" s="354">
        <f t="shared" si="0"/>
        <v>1808258.2665632926</v>
      </c>
      <c r="U18" s="354">
        <f t="shared" si="0"/>
        <v>1808258.2665632926</v>
      </c>
      <c r="V18" s="354">
        <f t="shared" si="0"/>
        <v>1808258.2665632926</v>
      </c>
      <c r="W18" s="354">
        <f t="shared" ref="W18:AB18" si="1">V18</f>
        <v>1808258.2665632926</v>
      </c>
      <c r="X18" s="354">
        <f t="shared" si="1"/>
        <v>1808258.2665632926</v>
      </c>
      <c r="Y18" s="354">
        <f t="shared" si="1"/>
        <v>1808258.2665632926</v>
      </c>
      <c r="Z18" s="354">
        <f t="shared" si="1"/>
        <v>1808258.2665632926</v>
      </c>
      <c r="AA18" s="354">
        <f t="shared" si="1"/>
        <v>1808258.2665632926</v>
      </c>
      <c r="AB18" s="354">
        <f t="shared" si="1"/>
        <v>1808258.2665632926</v>
      </c>
    </row>
    <row r="19" spans="1:28" ht="14" x14ac:dyDescent="0.2">
      <c r="A19" s="34"/>
      <c r="B19" s="351" t="s">
        <v>277</v>
      </c>
      <c r="C19" s="352"/>
      <c r="D19" s="353">
        <f>D18-D21</f>
        <v>1194182.2365632909</v>
      </c>
      <c r="E19" s="353">
        <f>E18-E21</f>
        <v>1197252.616713291</v>
      </c>
      <c r="F19" s="353">
        <f t="shared" ref="F19:V19" si="2">F18-F21</f>
        <v>1200307.6449625411</v>
      </c>
      <c r="G19" s="353">
        <f t="shared" si="2"/>
        <v>1203347.3980705449</v>
      </c>
      <c r="H19" s="353">
        <f t="shared" si="2"/>
        <v>1206371.9524130085</v>
      </c>
      <c r="I19" s="353">
        <f t="shared" si="2"/>
        <v>1209381.3839837601</v>
      </c>
      <c r="J19" s="353">
        <f t="shared" si="2"/>
        <v>1212375.7683966577</v>
      </c>
      <c r="K19" s="353">
        <f t="shared" si="2"/>
        <v>1215355.180887491</v>
      </c>
      <c r="L19" s="353">
        <f t="shared" si="2"/>
        <v>1218319.6963158699</v>
      </c>
      <c r="M19" s="353">
        <f t="shared" si="2"/>
        <v>1221269.3891671072</v>
      </c>
      <c r="N19" s="353">
        <f t="shared" si="2"/>
        <v>1224204.3335540881</v>
      </c>
      <c r="O19" s="353">
        <f t="shared" si="2"/>
        <v>1227124.603219134</v>
      </c>
      <c r="P19" s="353">
        <f t="shared" si="2"/>
        <v>1230030.2715358548</v>
      </c>
      <c r="Q19" s="353">
        <f t="shared" si="2"/>
        <v>1232921.4115109919</v>
      </c>
      <c r="R19" s="353">
        <f t="shared" si="2"/>
        <v>1235798.0957862535</v>
      </c>
      <c r="S19" s="353">
        <f t="shared" si="2"/>
        <v>1238660.3966401387</v>
      </c>
      <c r="T19" s="353">
        <f t="shared" si="2"/>
        <v>1241508.3859897545</v>
      </c>
      <c r="U19" s="353">
        <f t="shared" si="2"/>
        <v>1244342.1353926221</v>
      </c>
      <c r="V19" s="353">
        <f t="shared" si="2"/>
        <v>1247161.7160484756</v>
      </c>
      <c r="W19" s="353">
        <f t="shared" ref="W19:AB19" si="3">W18-W21</f>
        <v>1249967.1988010497</v>
      </c>
      <c r="X19" s="353">
        <f t="shared" si="3"/>
        <v>1252758.654139861</v>
      </c>
      <c r="Y19" s="353">
        <f t="shared" si="3"/>
        <v>1255536.152201978</v>
      </c>
      <c r="Z19" s="353">
        <f t="shared" si="3"/>
        <v>1258299.7627737848</v>
      </c>
      <c r="AA19" s="353">
        <f t="shared" si="3"/>
        <v>1261049.5552927321</v>
      </c>
      <c r="AB19" s="353">
        <f t="shared" si="3"/>
        <v>1263785.5988490852</v>
      </c>
    </row>
    <row r="20" spans="1:28" ht="14" x14ac:dyDescent="0.2">
      <c r="A20" s="34"/>
      <c r="B20" s="351"/>
      <c r="C20" s="352"/>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row>
    <row r="21" spans="1:28" ht="14" x14ac:dyDescent="0.2">
      <c r="A21" s="34"/>
      <c r="B21" s="355" t="s">
        <v>240</v>
      </c>
      <c r="C21" s="352"/>
      <c r="D21" s="354">
        <f>Unstructured!D21</f>
        <v>614076.03000000154</v>
      </c>
      <c r="E21" s="354">
        <f>Unstructured!E21</f>
        <v>611005.64985000156</v>
      </c>
      <c r="F21" s="354">
        <f>Unstructured!F21</f>
        <v>607950.62160075153</v>
      </c>
      <c r="G21" s="354">
        <f>Unstructured!G21</f>
        <v>604910.86849274777</v>
      </c>
      <c r="H21" s="354">
        <f>Unstructured!H21</f>
        <v>601886.31415028404</v>
      </c>
      <c r="I21" s="354">
        <f>Unstructured!I21</f>
        <v>598876.88257953257</v>
      </c>
      <c r="J21" s="354">
        <f>Unstructured!J21</f>
        <v>595882.49816663493</v>
      </c>
      <c r="K21" s="354">
        <f>Unstructured!K21</f>
        <v>592903.08567580173</v>
      </c>
      <c r="L21" s="354">
        <f>Unstructured!L21</f>
        <v>589938.57024742267</v>
      </c>
      <c r="M21" s="354">
        <f>Unstructured!M21</f>
        <v>586988.87739618553</v>
      </c>
      <c r="N21" s="354">
        <f>Unstructured!N21</f>
        <v>584053.93300920457</v>
      </c>
      <c r="O21" s="354">
        <f>Unstructured!O21</f>
        <v>581133.66334415856</v>
      </c>
      <c r="P21" s="354">
        <f>Unstructured!P21</f>
        <v>578227.99502743781</v>
      </c>
      <c r="Q21" s="354">
        <f>Unstructured!Q21</f>
        <v>575336.85505230061</v>
      </c>
      <c r="R21" s="354">
        <f>Unstructured!R21</f>
        <v>572460.17077703914</v>
      </c>
      <c r="S21" s="354">
        <f>Unstructured!S21</f>
        <v>569597.86992315389</v>
      </c>
      <c r="T21" s="354">
        <f>Unstructured!T21</f>
        <v>566749.88057353813</v>
      </c>
      <c r="U21" s="354">
        <f>Unstructured!U21</f>
        <v>563916.13117067039</v>
      </c>
      <c r="V21" s="354">
        <f>Unstructured!V21</f>
        <v>561096.55051481701</v>
      </c>
      <c r="W21" s="354">
        <f>Unstructured!W21</f>
        <v>558291.06776224286</v>
      </c>
      <c r="X21" s="354">
        <f>Unstructured!X21</f>
        <v>555499.61242343159</v>
      </c>
      <c r="Y21" s="354">
        <f>Unstructured!Y21</f>
        <v>552722.11436131445</v>
      </c>
      <c r="Z21" s="354">
        <f>Unstructured!Z21</f>
        <v>549958.5037895079</v>
      </c>
      <c r="AA21" s="354">
        <f>Unstructured!AA21</f>
        <v>547208.71127056039</v>
      </c>
      <c r="AB21" s="354">
        <f>Unstructured!AB21</f>
        <v>544472.66771420755</v>
      </c>
    </row>
    <row r="22" spans="1:28" ht="14" x14ac:dyDescent="0.2">
      <c r="A22" s="34"/>
      <c r="B22" s="355" t="s">
        <v>387</v>
      </c>
      <c r="C22" s="352"/>
      <c r="D22" s="356">
        <f>Customer_Utility_Charge_kWh</f>
        <v>7.3648296020305801E-2</v>
      </c>
      <c r="E22" s="356">
        <f>D22*(1+Customer_Utility_Charge_Escalator)</f>
        <v>7.5489503420813439E-2</v>
      </c>
      <c r="F22" s="356">
        <f t="shared" ref="F22:V22" si="4">E22*(1+Customer_Utility_Charge_Escalator)</f>
        <v>7.7376741006333766E-2</v>
      </c>
      <c r="G22" s="356">
        <f t="shared" si="4"/>
        <v>7.9311159531492106E-2</v>
      </c>
      <c r="H22" s="356">
        <f t="shared" si="4"/>
        <v>8.1293938519779396E-2</v>
      </c>
      <c r="I22" s="356">
        <f t="shared" si="4"/>
        <v>8.3326286982773876E-2</v>
      </c>
      <c r="J22" s="356">
        <f t="shared" si="4"/>
        <v>8.5409444157343209E-2</v>
      </c>
      <c r="K22" s="356">
        <f t="shared" si="4"/>
        <v>8.7544680261276778E-2</v>
      </c>
      <c r="L22" s="356">
        <f t="shared" si="4"/>
        <v>8.9733297267808695E-2</v>
      </c>
      <c r="M22" s="356">
        <f t="shared" si="4"/>
        <v>9.1976629699503903E-2</v>
      </c>
      <c r="N22" s="356">
        <f t="shared" si="4"/>
        <v>9.4276045441991488E-2</v>
      </c>
      <c r="O22" s="356">
        <f t="shared" si="4"/>
        <v>9.6632946578041265E-2</v>
      </c>
      <c r="P22" s="356">
        <f t="shared" si="4"/>
        <v>9.9048770242492284E-2</v>
      </c>
      <c r="Q22" s="356">
        <f t="shared" si="4"/>
        <v>0.10152498949855458</v>
      </c>
      <c r="R22" s="356">
        <f t="shared" si="4"/>
        <v>0.10406311423601844</v>
      </c>
      <c r="S22" s="356">
        <f t="shared" si="4"/>
        <v>0.10666469209191889</v>
      </c>
      <c r="T22" s="356">
        <f t="shared" si="4"/>
        <v>0.10933130939421686</v>
      </c>
      <c r="U22" s="356">
        <f t="shared" si="4"/>
        <v>0.11206459212907227</v>
      </c>
      <c r="V22" s="356">
        <f t="shared" si="4"/>
        <v>0.11486620693229907</v>
      </c>
      <c r="W22" s="356">
        <f t="shared" ref="W22:AB22" si="5">V22*(1+Customer_Utility_Charge_Escalator)</f>
        <v>0.11773786210560654</v>
      </c>
      <c r="X22" s="356">
        <f t="shared" si="5"/>
        <v>0.12068130865824669</v>
      </c>
      <c r="Y22" s="356">
        <f t="shared" si="5"/>
        <v>0.12369834137470286</v>
      </c>
      <c r="Z22" s="356">
        <f t="shared" si="5"/>
        <v>0.12679079990907041</v>
      </c>
      <c r="AA22" s="356">
        <f t="shared" si="5"/>
        <v>0.12996056990679716</v>
      </c>
      <c r="AB22" s="356">
        <f t="shared" si="5"/>
        <v>0.13320958415446707</v>
      </c>
    </row>
    <row r="23" spans="1:28" ht="14" x14ac:dyDescent="0.2">
      <c r="A23" s="34"/>
      <c r="B23" s="355" t="s">
        <v>247</v>
      </c>
      <c r="C23" s="352"/>
      <c r="D23" s="356">
        <f>D22*Customer_Dem_Charge_Percent</f>
        <v>0</v>
      </c>
      <c r="E23" s="356">
        <f>E22*Customer_Dem_Charge_Percent</f>
        <v>0</v>
      </c>
      <c r="F23" s="356">
        <f t="shared" ref="F23:V23" si="6">F22*Customer_Dem_Charge_Percent</f>
        <v>0</v>
      </c>
      <c r="G23" s="356">
        <f t="shared" si="6"/>
        <v>0</v>
      </c>
      <c r="H23" s="356">
        <f t="shared" si="6"/>
        <v>0</v>
      </c>
      <c r="I23" s="356">
        <f t="shared" si="6"/>
        <v>0</v>
      </c>
      <c r="J23" s="356">
        <f t="shared" si="6"/>
        <v>0</v>
      </c>
      <c r="K23" s="356">
        <f t="shared" si="6"/>
        <v>0</v>
      </c>
      <c r="L23" s="356">
        <f t="shared" si="6"/>
        <v>0</v>
      </c>
      <c r="M23" s="356">
        <f t="shared" si="6"/>
        <v>0</v>
      </c>
      <c r="N23" s="356">
        <f t="shared" si="6"/>
        <v>0</v>
      </c>
      <c r="O23" s="356">
        <f t="shared" si="6"/>
        <v>0</v>
      </c>
      <c r="P23" s="356">
        <f t="shared" si="6"/>
        <v>0</v>
      </c>
      <c r="Q23" s="356">
        <f t="shared" si="6"/>
        <v>0</v>
      </c>
      <c r="R23" s="356">
        <f t="shared" si="6"/>
        <v>0</v>
      </c>
      <c r="S23" s="356">
        <f t="shared" si="6"/>
        <v>0</v>
      </c>
      <c r="T23" s="356">
        <f t="shared" si="6"/>
        <v>0</v>
      </c>
      <c r="U23" s="356">
        <f t="shared" si="6"/>
        <v>0</v>
      </c>
      <c r="V23" s="356">
        <f t="shared" si="6"/>
        <v>0</v>
      </c>
      <c r="W23" s="356">
        <f t="shared" ref="W23:AB23" si="7">W22*Customer_Dem_Charge_Percent</f>
        <v>0</v>
      </c>
      <c r="X23" s="356">
        <f t="shared" si="7"/>
        <v>0</v>
      </c>
      <c r="Y23" s="356">
        <f t="shared" si="7"/>
        <v>0</v>
      </c>
      <c r="Z23" s="356">
        <f t="shared" si="7"/>
        <v>0</v>
      </c>
      <c r="AA23" s="356">
        <f t="shared" si="7"/>
        <v>0</v>
      </c>
      <c r="AB23" s="356">
        <f t="shared" si="7"/>
        <v>0</v>
      </c>
    </row>
    <row r="24" spans="1:28" ht="14" x14ac:dyDescent="0.2">
      <c r="A24" s="34"/>
      <c r="B24" s="355" t="s">
        <v>118</v>
      </c>
      <c r="C24" s="352"/>
      <c r="D24" s="356">
        <f>Unstructured!D19</f>
        <v>7.3031580167629145E-2</v>
      </c>
      <c r="E24" s="356">
        <f>Unstructured!E19</f>
        <v>7.4857369671819871E-2</v>
      </c>
      <c r="F24" s="356">
        <f>Unstructured!F19</f>
        <v>7.6728803913615362E-2</v>
      </c>
      <c r="G24" s="356">
        <f>Unstructured!G19</f>
        <v>7.8647024011455735E-2</v>
      </c>
      <c r="H24" s="356">
        <f>Unstructured!H19</f>
        <v>8.0613199611742126E-2</v>
      </c>
      <c r="I24" s="356">
        <f>Unstructured!I19</f>
        <v>8.2628529602035677E-2</v>
      </c>
      <c r="J24" s="356">
        <f>Unstructured!J19</f>
        <v>8.4694242842086556E-2</v>
      </c>
      <c r="K24" s="356">
        <f>Unstructured!K19</f>
        <v>8.6811598913138707E-2</v>
      </c>
      <c r="L24" s="356">
        <f>Unstructured!L19</f>
        <v>8.898188888596717E-2</v>
      </c>
      <c r="M24" s="356">
        <f>Unstructured!M19</f>
        <v>9.1206436108116337E-2</v>
      </c>
      <c r="N24" s="356">
        <f>Unstructured!N19</f>
        <v>9.3486597010819239E-2</v>
      </c>
      <c r="O24" s="356">
        <f>Unstructured!O19</f>
        <v>9.5823761936089713E-2</v>
      </c>
      <c r="P24" s="356">
        <f>Unstructured!P19</f>
        <v>9.8219355984491941E-2</v>
      </c>
      <c r="Q24" s="356">
        <f>Unstructured!Q19</f>
        <v>0.10067483988410424</v>
      </c>
      <c r="R24" s="356">
        <f>Unstructured!R19</f>
        <v>0.10319171088120684</v>
      </c>
      <c r="S24" s="356">
        <f>Unstructured!S19</f>
        <v>0.105771503653237</v>
      </c>
      <c r="T24" s="356">
        <f>Unstructured!T19</f>
        <v>0.10841579124456791</v>
      </c>
      <c r="U24" s="356">
        <f>Unstructured!U19</f>
        <v>0.1111261860256821</v>
      </c>
      <c r="V24" s="356">
        <f>Unstructured!V19</f>
        <v>0.11390434067632414</v>
      </c>
      <c r="W24" s="356">
        <f>Unstructured!W19</f>
        <v>0.11675194919323223</v>
      </c>
      <c r="X24" s="356">
        <f>Unstructured!X19</f>
        <v>0.11967074792306302</v>
      </c>
      <c r="Y24" s="356">
        <f>Unstructured!Y19</f>
        <v>0.12266251662113958</v>
      </c>
      <c r="Z24" s="356">
        <f>Unstructured!Z19</f>
        <v>0.12572907953666806</v>
      </c>
      <c r="AA24" s="356">
        <f>Unstructured!AA19</f>
        <v>0.12887230652508475</v>
      </c>
      <c r="AB24" s="356">
        <f>Unstructured!AB19</f>
        <v>0.13209411418821185</v>
      </c>
    </row>
    <row r="25" spans="1:28" ht="14" x14ac:dyDescent="0.2">
      <c r="A25" s="34"/>
      <c r="B25" s="351" t="s">
        <v>401</v>
      </c>
      <c r="C25" s="352"/>
      <c r="D25" s="357">
        <f t="shared" ref="D25:V25" si="8">D21*(D22+D23)</f>
        <v>45225.653236414299</v>
      </c>
      <c r="E25" s="357">
        <f t="shared" si="8"/>
        <v>46124.513094488029</v>
      </c>
      <c r="F25" s="357">
        <f t="shared" si="8"/>
        <v>47041.237792240972</v>
      </c>
      <c r="G25" s="357">
        <f t="shared" si="8"/>
        <v>47976.182393361763</v>
      </c>
      <c r="H25" s="357">
        <f t="shared" si="8"/>
        <v>48929.709018429821</v>
      </c>
      <c r="I25" s="357">
        <f t="shared" si="8"/>
        <v>49902.186985171102</v>
      </c>
      <c r="J25" s="357">
        <f t="shared" si="8"/>
        <v>50893.992951501372</v>
      </c>
      <c r="K25" s="357">
        <f t="shared" si="8"/>
        <v>51905.511061412457</v>
      </c>
      <c r="L25" s="357">
        <f t="shared" si="8"/>
        <v>52937.133093758021</v>
      </c>
      <c r="M25" s="357">
        <f t="shared" si="8"/>
        <v>53989.258613996455</v>
      </c>
      <c r="N25" s="357">
        <f t="shared" si="8"/>
        <v>55062.29512894962</v>
      </c>
      <c r="O25" s="357">
        <f t="shared" si="8"/>
        <v>56156.658244637489</v>
      </c>
      <c r="P25" s="357">
        <f t="shared" si="8"/>
        <v>57272.771827249657</v>
      </c>
      <c r="Q25" s="357">
        <f t="shared" si="8"/>
        <v>58411.06816731624</v>
      </c>
      <c r="R25" s="357">
        <f t="shared" si="8"/>
        <v>59571.988147141645</v>
      </c>
      <c r="S25" s="357">
        <f t="shared" si="8"/>
        <v>60755.981411566077</v>
      </c>
      <c r="T25" s="357">
        <f t="shared" si="8"/>
        <v>61963.506542120951</v>
      </c>
      <c r="U25" s="357">
        <f t="shared" si="8"/>
        <v>63195.031234645598</v>
      </c>
      <c r="V25" s="357">
        <f t="shared" si="8"/>
        <v>64451.032480434165</v>
      </c>
      <c r="W25" s="357">
        <f t="shared" ref="W25:AB25" si="9">W21*(W22+W23)</f>
        <v>65731.996750982784</v>
      </c>
      <c r="X25" s="357">
        <f t="shared" si="9"/>
        <v>67038.420186408563</v>
      </c>
      <c r="Y25" s="357">
        <f t="shared" si="9"/>
        <v>68370.808787613423</v>
      </c>
      <c r="Z25" s="357">
        <f t="shared" si="9"/>
        <v>69729.678612267235</v>
      </c>
      <c r="AA25" s="357">
        <f t="shared" si="9"/>
        <v>71115.555974686053</v>
      </c>
      <c r="AB25" s="357">
        <f t="shared" si="9"/>
        <v>72528.977649682914</v>
      </c>
    </row>
    <row r="26" spans="1:28" ht="14" x14ac:dyDescent="0.2">
      <c r="A26" s="34"/>
      <c r="B26" s="351" t="s">
        <v>384</v>
      </c>
      <c r="C26" s="352"/>
      <c r="D26" s="358">
        <f>D21*D24</f>
        <v>44846.942813964553</v>
      </c>
      <c r="E26" s="358">
        <f t="shared" ref="E26:V26" si="10">E21*E24</f>
        <v>45738.275802392098</v>
      </c>
      <c r="F26" s="358">
        <f t="shared" si="10"/>
        <v>46647.324033964636</v>
      </c>
      <c r="G26" s="358">
        <f t="shared" si="10"/>
        <v>47574.439599139674</v>
      </c>
      <c r="H26" s="358">
        <f t="shared" si="10"/>
        <v>48519.98158617258</v>
      </c>
      <c r="I26" s="358">
        <f t="shared" si="10"/>
        <v>49484.316220197754</v>
      </c>
      <c r="J26" s="358">
        <f t="shared" si="10"/>
        <v>50467.817005074176</v>
      </c>
      <c r="K26" s="358">
        <f t="shared" si="10"/>
        <v>51470.864868050019</v>
      </c>
      <c r="L26" s="358">
        <f t="shared" si="10"/>
        <v>52493.848307302505</v>
      </c>
      <c r="M26" s="358">
        <f t="shared" si="10"/>
        <v>53537.163542410133</v>
      </c>
      <c r="N26" s="358">
        <f t="shared" si="10"/>
        <v>54601.214667815526</v>
      </c>
      <c r="O26" s="358">
        <f t="shared" si="10"/>
        <v>55686.413809338352</v>
      </c>
      <c r="P26" s="358">
        <f t="shared" si="10"/>
        <v>56793.181283798949</v>
      </c>
      <c r="Q26" s="358">
        <f t="shared" si="10"/>
        <v>57921.945761814452</v>
      </c>
      <c r="R26" s="358">
        <f t="shared" si="10"/>
        <v>59073.144433830515</v>
      </c>
      <c r="S26" s="358">
        <f t="shared" si="10"/>
        <v>60247.223179452885</v>
      </c>
      <c r="T26" s="358">
        <f t="shared" si="10"/>
        <v>61444.636740144502</v>
      </c>
      <c r="U26" s="358">
        <f t="shared" si="10"/>
        <v>62665.848895354866</v>
      </c>
      <c r="V26" s="358">
        <f t="shared" si="10"/>
        <v>63911.332642150031</v>
      </c>
      <c r="W26" s="358">
        <f t="shared" ref="W26:AB26" si="11">W21*W24</f>
        <v>65181.570378412747</v>
      </c>
      <c r="X26" s="358">
        <f t="shared" si="11"/>
        <v>66477.05408968369</v>
      </c>
      <c r="Y26" s="358">
        <f t="shared" si="11"/>
        <v>67798.285539716147</v>
      </c>
      <c r="Z26" s="358">
        <f t="shared" si="11"/>
        <v>69145.776464818002</v>
      </c>
      <c r="AA26" s="358">
        <f t="shared" si="11"/>
        <v>70520.048772056252</v>
      </c>
      <c r="AB26" s="358">
        <f t="shared" si="11"/>
        <v>71921.634741400863</v>
      </c>
    </row>
    <row r="27" spans="1:28" ht="14" x14ac:dyDescent="0.2">
      <c r="A27" s="34"/>
      <c r="B27" s="351" t="s">
        <v>402</v>
      </c>
      <c r="C27" s="352"/>
      <c r="D27" s="357">
        <f t="shared" ref="D27:V27" si="12">D25-D26</f>
        <v>378.71042244974524</v>
      </c>
      <c r="E27" s="357">
        <f t="shared" si="12"/>
        <v>386.23729209593148</v>
      </c>
      <c r="F27" s="357">
        <f t="shared" si="12"/>
        <v>393.91375827633601</v>
      </c>
      <c r="G27" s="357">
        <f t="shared" si="12"/>
        <v>401.74279422208929</v>
      </c>
      <c r="H27" s="357">
        <f t="shared" si="12"/>
        <v>409.72743225724116</v>
      </c>
      <c r="I27" s="357">
        <f t="shared" si="12"/>
        <v>417.87076497334783</v>
      </c>
      <c r="J27" s="357">
        <f t="shared" si="12"/>
        <v>426.17594642719632</v>
      </c>
      <c r="K27" s="357">
        <f t="shared" si="12"/>
        <v>434.64619336243777</v>
      </c>
      <c r="L27" s="357">
        <f t="shared" si="12"/>
        <v>443.28478645551513</v>
      </c>
      <c r="M27" s="357">
        <f t="shared" si="12"/>
        <v>452.09507158632186</v>
      </c>
      <c r="N27" s="357">
        <f t="shared" si="12"/>
        <v>461.08046113409364</v>
      </c>
      <c r="O27" s="357">
        <f t="shared" si="12"/>
        <v>470.24443529913697</v>
      </c>
      <c r="P27" s="357">
        <f t="shared" si="12"/>
        <v>479.59054345070763</v>
      </c>
      <c r="Q27" s="357">
        <f t="shared" si="12"/>
        <v>489.12240550178831</v>
      </c>
      <c r="R27" s="357">
        <f t="shared" si="12"/>
        <v>498.84371331112925</v>
      </c>
      <c r="S27" s="357">
        <f t="shared" si="12"/>
        <v>508.75823211319221</v>
      </c>
      <c r="T27" s="357">
        <f t="shared" si="12"/>
        <v>518.8698019764488</v>
      </c>
      <c r="U27" s="357">
        <f t="shared" si="12"/>
        <v>529.18233929073176</v>
      </c>
      <c r="V27" s="357">
        <f t="shared" si="12"/>
        <v>539.69983828413388</v>
      </c>
      <c r="W27" s="357">
        <f t="shared" ref="W27:AB27" si="13">W25-W26</f>
        <v>550.42637257003662</v>
      </c>
      <c r="X27" s="357">
        <f t="shared" si="13"/>
        <v>561.36609672487248</v>
      </c>
      <c r="Y27" s="357">
        <f t="shared" si="13"/>
        <v>572.52324789727572</v>
      </c>
      <c r="Z27" s="357">
        <f t="shared" si="13"/>
        <v>583.90214744923287</v>
      </c>
      <c r="AA27" s="357">
        <f t="shared" si="13"/>
        <v>595.5072026298003</v>
      </c>
      <c r="AB27" s="357">
        <f t="shared" si="13"/>
        <v>607.34290828205121</v>
      </c>
    </row>
    <row r="28" spans="1:28" ht="14" x14ac:dyDescent="0.2">
      <c r="A28" s="34"/>
      <c r="B28" s="351" t="s">
        <v>451</v>
      </c>
      <c r="C28" s="352"/>
      <c r="D28" s="357">
        <f>NPV(Customer_Discount_Rate,D27:AB27)</f>
        <v>5841.4415953765747</v>
      </c>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row>
    <row r="29" spans="1:28" ht="14" x14ac:dyDescent="0.2">
      <c r="A29" s="34"/>
      <c r="B29" s="351"/>
      <c r="C29" s="352"/>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row>
    <row r="30" spans="1:28" ht="14" x14ac:dyDescent="0.2">
      <c r="A30" s="34"/>
      <c r="B30" s="397" t="s">
        <v>140</v>
      </c>
      <c r="C30" s="352"/>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row>
    <row r="31" spans="1:28" ht="14" x14ac:dyDescent="0.2">
      <c r="A31" s="34"/>
      <c r="B31" s="355" t="s">
        <v>394</v>
      </c>
      <c r="C31" s="352"/>
      <c r="D31" s="359"/>
      <c r="E31" s="359"/>
      <c r="F31" s="359"/>
      <c r="G31" s="359"/>
      <c r="H31" s="359"/>
      <c r="I31" s="359"/>
      <c r="J31" s="357">
        <f>NPV(Customer_Discount_Rate,Unstructured!K87:$AB$87)</f>
        <v>400082.43097280426</v>
      </c>
      <c r="K31" s="357">
        <f>NPV(Customer_Discount_Rate,Unstructured!L87:$AB$87)</f>
        <v>394893.53169355274</v>
      </c>
      <c r="L31" s="357">
        <f>NPV(Customer_Discount_Rate,Unstructured!M87:$AB$87)</f>
        <v>388814.03033645736</v>
      </c>
      <c r="M31" s="357">
        <f>NPV(Customer_Discount_Rate,Unstructured!N87:$AB$87)</f>
        <v>381778.99701396108</v>
      </c>
      <c r="N31" s="357">
        <f>NPV(Customer_Discount_Rate,Unstructured!O87:$AB$87)</f>
        <v>373719.37799053668</v>
      </c>
      <c r="O31" s="357">
        <f>NPV(Customer_Discount_Rate,Unstructured!P87:$AB$87)</f>
        <v>364561.74372689752</v>
      </c>
      <c r="P31" s="357">
        <f>NPV(Customer_Discount_Rate,Unstructured!Q87:$AB$87)</f>
        <v>354228.02171708085</v>
      </c>
      <c r="Q31" s="357">
        <f>NPV(Customer_Discount_Rate,Unstructured!R87:$AB$87)</f>
        <v>342635.21320419828</v>
      </c>
      <c r="R31" s="357">
        <f>NPV(Customer_Discount_Rate,Unstructured!S87:$AB$87)</f>
        <v>329695.09280575108</v>
      </c>
      <c r="S31" s="357">
        <f>NPV(Customer_Discount_Rate,Unstructured!T87:$AB$87)</f>
        <v>315313.89002123749</v>
      </c>
      <c r="T31" s="357">
        <f>NPV(Customer_Discount_Rate,Unstructured!U87:$AB$87)</f>
        <v>299391.95153309574</v>
      </c>
      <c r="U31" s="357">
        <f>NPV(Customer_Discount_Rate,Unstructured!V87:$AB$87)</f>
        <v>281823.38314665807</v>
      </c>
      <c r="V31" s="357">
        <f>NPV(Customer_Discount_Rate,Unstructured!W87:$AB$87)</f>
        <v>262495.67014549114</v>
      </c>
      <c r="W31" s="357">
        <f>NPV(Customer_Discount_Rate,Unstructured!X87:$AB$87)</f>
        <v>241289.2747650411</v>
      </c>
      <c r="X31" s="357">
        <f>NPV(Customer_Discount_Rate,Unstructured!Y87:$AB$87)</f>
        <v>218077.20940963837</v>
      </c>
      <c r="Y31" s="357">
        <f>NPV(Customer_Discount_Rate,Unstructured!Z87:$AB$87)</f>
        <v>192724.58415537898</v>
      </c>
      <c r="Z31" s="357">
        <f>NPV(Customer_Discount_Rate,Unstructured!AA87:$AB$87)</f>
        <v>165088.12699390936</v>
      </c>
      <c r="AA31" s="357">
        <f>NPV(Customer_Discount_Rate,Unstructured!AB87:$AB$87)</f>
        <v>135015.6751794006</v>
      </c>
      <c r="AB31" s="357">
        <f>NPV(Customer_Discount_Rate,Unstructured!$AB87:AC$87)</f>
        <v>135015.6751794006</v>
      </c>
    </row>
    <row r="32" spans="1:28" ht="14" x14ac:dyDescent="0.2">
      <c r="A32" s="34"/>
      <c r="B32" s="355" t="s">
        <v>395</v>
      </c>
      <c r="C32" s="352"/>
      <c r="D32" s="359"/>
      <c r="E32" s="359"/>
      <c r="F32" s="359"/>
      <c r="G32" s="359"/>
      <c r="H32" s="359"/>
      <c r="I32" s="359"/>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0</v>
      </c>
      <c r="AB32" s="357">
        <v>0</v>
      </c>
    </row>
    <row r="33" spans="1:28" ht="14" x14ac:dyDescent="0.2">
      <c r="A33" s="34"/>
      <c r="B33" s="355" t="s">
        <v>393</v>
      </c>
      <c r="C33" s="352"/>
      <c r="D33" s="359"/>
      <c r="E33" s="359"/>
      <c r="F33" s="359"/>
      <c r="G33" s="359"/>
      <c r="H33" s="359"/>
      <c r="I33" s="359"/>
      <c r="J33" s="358">
        <f t="shared" ref="J33:V33" si="14">NPV(Customer_Discount_Rate,J32:W32)</f>
        <v>0</v>
      </c>
      <c r="K33" s="358">
        <f>NPV(Customer_Discount_Rate,K32:AB32)</f>
        <v>0</v>
      </c>
      <c r="L33" s="358">
        <f t="shared" si="14"/>
        <v>0</v>
      </c>
      <c r="M33" s="358">
        <f t="shared" si="14"/>
        <v>0</v>
      </c>
      <c r="N33" s="358">
        <f t="shared" si="14"/>
        <v>0</v>
      </c>
      <c r="O33" s="358">
        <f t="shared" si="14"/>
        <v>0</v>
      </c>
      <c r="P33" s="358">
        <f t="shared" si="14"/>
        <v>0</v>
      </c>
      <c r="Q33" s="358">
        <f t="shared" si="14"/>
        <v>0</v>
      </c>
      <c r="R33" s="358">
        <f t="shared" si="14"/>
        <v>0</v>
      </c>
      <c r="S33" s="358">
        <f t="shared" si="14"/>
        <v>0</v>
      </c>
      <c r="T33" s="358">
        <f t="shared" si="14"/>
        <v>0</v>
      </c>
      <c r="U33" s="358">
        <f t="shared" si="14"/>
        <v>0</v>
      </c>
      <c r="V33" s="358">
        <f t="shared" si="14"/>
        <v>0</v>
      </c>
      <c r="W33" s="358">
        <f t="shared" ref="W33:AB33" si="15">NPV(Customer_Discount_Rate,W32:AJ32)</f>
        <v>0</v>
      </c>
      <c r="X33" s="358">
        <f t="shared" si="15"/>
        <v>0</v>
      </c>
      <c r="Y33" s="358">
        <f t="shared" si="15"/>
        <v>0</v>
      </c>
      <c r="Z33" s="358">
        <f t="shared" si="15"/>
        <v>0</v>
      </c>
      <c r="AA33" s="358">
        <f t="shared" si="15"/>
        <v>0</v>
      </c>
      <c r="AB33" s="358">
        <f t="shared" si="15"/>
        <v>0</v>
      </c>
    </row>
    <row r="34" spans="1:28" ht="14" x14ac:dyDescent="0.2">
      <c r="A34" s="34"/>
      <c r="B34" s="361" t="s">
        <v>210</v>
      </c>
      <c r="C34" s="352"/>
      <c r="D34" s="359"/>
      <c r="E34" s="359"/>
      <c r="F34" s="359"/>
      <c r="G34" s="359"/>
      <c r="H34" s="359"/>
      <c r="I34" s="359"/>
      <c r="J34" s="357">
        <f>SUM(J31+J33)</f>
        <v>400082.43097280426</v>
      </c>
      <c r="K34" s="357">
        <f t="shared" ref="K34:V34" si="16">SUM(K31+K33)</f>
        <v>394893.53169355274</v>
      </c>
      <c r="L34" s="357">
        <f t="shared" si="16"/>
        <v>388814.03033645736</v>
      </c>
      <c r="M34" s="357">
        <f t="shared" si="16"/>
        <v>381778.99701396108</v>
      </c>
      <c r="N34" s="357">
        <f t="shared" si="16"/>
        <v>373719.37799053668</v>
      </c>
      <c r="O34" s="357">
        <f t="shared" si="16"/>
        <v>364561.74372689752</v>
      </c>
      <c r="P34" s="357">
        <f t="shared" si="16"/>
        <v>354228.02171708085</v>
      </c>
      <c r="Q34" s="357">
        <f t="shared" si="16"/>
        <v>342635.21320419828</v>
      </c>
      <c r="R34" s="357">
        <f t="shared" si="16"/>
        <v>329695.09280575108</v>
      </c>
      <c r="S34" s="357">
        <f t="shared" si="16"/>
        <v>315313.89002123749</v>
      </c>
      <c r="T34" s="357">
        <f t="shared" si="16"/>
        <v>299391.95153309574</v>
      </c>
      <c r="U34" s="357">
        <f t="shared" si="16"/>
        <v>281823.38314665807</v>
      </c>
      <c r="V34" s="357">
        <f t="shared" si="16"/>
        <v>262495.67014549114</v>
      </c>
      <c r="W34" s="357">
        <f t="shared" ref="W34:AB34" si="17">SUM(W31+W33)</f>
        <v>241289.2747650411</v>
      </c>
      <c r="X34" s="357">
        <f t="shared" si="17"/>
        <v>218077.20940963837</v>
      </c>
      <c r="Y34" s="357">
        <f t="shared" si="17"/>
        <v>192724.58415537898</v>
      </c>
      <c r="Z34" s="357">
        <f t="shared" si="17"/>
        <v>165088.12699390936</v>
      </c>
      <c r="AA34" s="357">
        <f t="shared" si="17"/>
        <v>135015.6751794006</v>
      </c>
      <c r="AB34" s="357">
        <f t="shared" si="17"/>
        <v>135015.6751794006</v>
      </c>
    </row>
    <row r="35" spans="1:28" ht="14" x14ac:dyDescent="0.2">
      <c r="A35" s="34"/>
      <c r="B35" s="360"/>
      <c r="C35" s="352"/>
      <c r="D35" s="357"/>
      <c r="E35" s="357"/>
      <c r="F35" s="357"/>
      <c r="G35" s="357"/>
      <c r="H35" s="357"/>
      <c r="I35" s="357"/>
      <c r="J35" s="357"/>
      <c r="K35" s="357"/>
      <c r="L35" s="357"/>
      <c r="M35" s="357"/>
      <c r="N35" s="357"/>
      <c r="O35" s="357"/>
      <c r="P35" s="357"/>
      <c r="Q35" s="357"/>
      <c r="R35" s="357"/>
      <c r="S35" s="357"/>
      <c r="T35" s="357"/>
      <c r="U35" s="357"/>
      <c r="V35" s="357"/>
      <c r="W35" s="357"/>
      <c r="X35" s="357"/>
      <c r="Y35" s="357"/>
      <c r="Z35" s="357"/>
      <c r="AA35" s="357"/>
      <c r="AB35" s="357"/>
    </row>
    <row r="36" spans="1:28" ht="14" x14ac:dyDescent="0.2">
      <c r="A36" s="34"/>
      <c r="B36" s="361" t="s">
        <v>391</v>
      </c>
      <c r="C36" s="352"/>
      <c r="D36" s="357"/>
      <c r="E36" s="357"/>
      <c r="F36" s="357"/>
      <c r="G36" s="357"/>
      <c r="H36" s="357"/>
      <c r="I36" s="357"/>
      <c r="J36" s="357"/>
      <c r="K36" s="357"/>
      <c r="L36" s="357"/>
      <c r="M36" s="357"/>
      <c r="N36" s="357"/>
      <c r="O36" s="357"/>
      <c r="P36" s="357"/>
      <c r="Q36" s="357"/>
      <c r="R36" s="357"/>
      <c r="S36" s="357"/>
      <c r="T36" s="357"/>
      <c r="U36" s="357"/>
      <c r="V36" s="357"/>
      <c r="W36" s="357"/>
      <c r="X36" s="357"/>
      <c r="Y36" s="357"/>
      <c r="Z36" s="357"/>
      <c r="AA36" s="357"/>
      <c r="AB36" s="357"/>
    </row>
    <row r="37" spans="1:28" ht="14" x14ac:dyDescent="0.2">
      <c r="A37" s="34"/>
      <c r="B37" s="361" t="s">
        <v>472</v>
      </c>
      <c r="C37" s="352"/>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row>
    <row r="38" spans="1:28" ht="14" x14ac:dyDescent="0.2">
      <c r="A38" s="34"/>
      <c r="B38" s="355" t="s">
        <v>396</v>
      </c>
      <c r="C38" s="352"/>
      <c r="D38" s="354">
        <f>SUM(D21:AB21)</f>
        <v>14465145.124872949</v>
      </c>
      <c r="E38" s="357"/>
      <c r="F38" s="357"/>
      <c r="G38" s="357"/>
      <c r="H38" s="357"/>
      <c r="I38" s="357"/>
      <c r="J38" s="357"/>
      <c r="K38" s="357"/>
      <c r="L38" s="357"/>
      <c r="M38" s="357"/>
      <c r="N38" s="357"/>
      <c r="O38" s="357"/>
      <c r="P38" s="357"/>
      <c r="Q38" s="357"/>
      <c r="R38" s="357"/>
      <c r="S38" s="357"/>
      <c r="T38" s="357"/>
      <c r="U38" s="357"/>
      <c r="V38" s="357"/>
      <c r="W38" s="357"/>
      <c r="X38" s="357"/>
      <c r="Y38" s="357"/>
      <c r="Z38" s="357"/>
      <c r="AA38" s="357"/>
      <c r="AB38" s="357"/>
    </row>
    <row r="39" spans="1:28" ht="14" x14ac:dyDescent="0.2">
      <c r="A39" s="34"/>
      <c r="B39" s="355" t="s">
        <v>473</v>
      </c>
      <c r="C39" s="352"/>
      <c r="D39" s="357">
        <f>SUM(D25:AB25)</f>
        <v>1446281.1493864765</v>
      </c>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row>
    <row r="40" spans="1:28" ht="14" x14ac:dyDescent="0.2">
      <c r="A40" s="34"/>
      <c r="B40" s="361" t="s">
        <v>398</v>
      </c>
      <c r="C40" s="352"/>
      <c r="D40" s="356">
        <f>D39/D38</f>
        <v>9.9983867213304545E-2</v>
      </c>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row>
    <row r="41" spans="1:28" ht="14" x14ac:dyDescent="0.2">
      <c r="A41" s="34"/>
      <c r="B41" s="361"/>
      <c r="C41" s="352"/>
      <c r="D41" s="357"/>
      <c r="E41" s="357"/>
      <c r="F41" s="357"/>
      <c r="G41" s="357"/>
      <c r="H41" s="357"/>
      <c r="I41" s="357"/>
      <c r="J41" s="357"/>
      <c r="K41" s="357"/>
      <c r="L41" s="357"/>
      <c r="M41" s="357"/>
      <c r="N41" s="357"/>
      <c r="O41" s="357"/>
      <c r="P41" s="357"/>
      <c r="Q41" s="357"/>
      <c r="R41" s="357"/>
      <c r="S41" s="357"/>
      <c r="T41" s="357"/>
      <c r="U41" s="357"/>
      <c r="V41" s="357"/>
      <c r="W41" s="357"/>
      <c r="X41" s="357"/>
      <c r="Y41" s="357"/>
      <c r="Z41" s="357"/>
      <c r="AA41" s="357"/>
      <c r="AB41" s="357"/>
    </row>
    <row r="42" spans="1:28" ht="14" x14ac:dyDescent="0.2">
      <c r="A42" s="34"/>
      <c r="B42" s="361" t="s">
        <v>400</v>
      </c>
      <c r="C42" s="352"/>
      <c r="D42" s="357"/>
      <c r="E42" s="357"/>
      <c r="F42" s="357"/>
      <c r="G42" s="357"/>
      <c r="H42" s="357"/>
      <c r="I42" s="357"/>
      <c r="J42" s="357"/>
      <c r="K42" s="357"/>
      <c r="L42" s="357"/>
      <c r="M42" s="357"/>
      <c r="N42" s="357"/>
      <c r="O42" s="357"/>
      <c r="P42" s="357"/>
      <c r="Q42" s="357"/>
      <c r="R42" s="357"/>
      <c r="S42" s="357"/>
      <c r="T42" s="357"/>
      <c r="U42" s="357"/>
      <c r="V42" s="357"/>
      <c r="W42" s="357"/>
      <c r="X42" s="357"/>
      <c r="Y42" s="357"/>
      <c r="Z42" s="357"/>
      <c r="AA42" s="357"/>
      <c r="AB42" s="357"/>
    </row>
    <row r="43" spans="1:28" ht="14" x14ac:dyDescent="0.2">
      <c r="A43" s="34"/>
      <c r="B43" s="355" t="s">
        <v>385</v>
      </c>
      <c r="C43" s="352"/>
      <c r="D43" s="354">
        <f>SUM(D21:AB21)</f>
        <v>14465145.124872949</v>
      </c>
      <c r="E43" s="357"/>
      <c r="F43" s="357"/>
      <c r="G43" s="357"/>
      <c r="H43" s="357"/>
      <c r="I43" s="357"/>
      <c r="J43" s="357"/>
      <c r="K43" s="357"/>
      <c r="L43" s="357"/>
      <c r="M43" s="357"/>
      <c r="N43" s="357"/>
      <c r="O43" s="357"/>
      <c r="P43" s="357"/>
      <c r="Q43" s="357"/>
      <c r="R43" s="357"/>
      <c r="S43" s="357"/>
      <c r="T43" s="357"/>
      <c r="U43" s="357"/>
      <c r="V43" s="357"/>
      <c r="W43" s="357"/>
      <c r="X43" s="357"/>
      <c r="Y43" s="357"/>
      <c r="Z43" s="357"/>
      <c r="AA43" s="357"/>
      <c r="AB43" s="357"/>
    </row>
    <row r="44" spans="1:28" ht="14" x14ac:dyDescent="0.2">
      <c r="A44" s="34"/>
      <c r="B44" s="355" t="s">
        <v>386</v>
      </c>
      <c r="C44" s="352"/>
      <c r="D44" s="357">
        <f>SUM(D26:AB26)</f>
        <v>1434170.2851784565</v>
      </c>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row>
    <row r="45" spans="1:28" ht="14" x14ac:dyDescent="0.2">
      <c r="A45" s="34"/>
      <c r="B45" s="361" t="s">
        <v>397</v>
      </c>
      <c r="C45" s="352"/>
      <c r="D45" s="362">
        <f>D44/D43</f>
        <v>9.9146622643445703E-2</v>
      </c>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357"/>
    </row>
    <row r="46" spans="1:28" ht="14" x14ac:dyDescent="0.2">
      <c r="A46" s="34"/>
      <c r="B46" s="361"/>
      <c r="C46" s="352"/>
      <c r="D46" s="357"/>
      <c r="E46" s="357"/>
      <c r="F46" s="357"/>
      <c r="G46" s="357"/>
      <c r="H46" s="357"/>
      <c r="I46" s="357"/>
      <c r="J46" s="357"/>
      <c r="K46" s="357"/>
      <c r="L46" s="357"/>
      <c r="M46" s="357"/>
      <c r="N46" s="357"/>
      <c r="O46" s="357"/>
      <c r="P46" s="357"/>
      <c r="Q46" s="357"/>
      <c r="R46" s="357"/>
      <c r="S46" s="357"/>
      <c r="T46" s="357"/>
      <c r="U46" s="357"/>
      <c r="V46" s="357"/>
      <c r="W46" s="357"/>
      <c r="X46" s="357"/>
      <c r="Y46" s="357"/>
      <c r="Z46" s="357"/>
      <c r="AA46" s="357"/>
      <c r="AB46" s="357"/>
    </row>
    <row r="47" spans="1:28" ht="14" x14ac:dyDescent="0.2">
      <c r="A47" s="34"/>
      <c r="B47" s="603" t="s">
        <v>404</v>
      </c>
      <c r="C47" s="352"/>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row>
    <row r="48" spans="1:28" ht="14" x14ac:dyDescent="0.2">
      <c r="A48" s="34"/>
      <c r="B48" s="603"/>
      <c r="C48" s="352"/>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row>
    <row r="49" spans="1:28" ht="14" x14ac:dyDescent="0.2">
      <c r="A49" s="34"/>
      <c r="B49" s="355" t="s">
        <v>295</v>
      </c>
      <c r="C49" s="357">
        <f>-Unstructured!C80</f>
        <v>682304.23961795389</v>
      </c>
      <c r="D49" s="363"/>
      <c r="E49" s="359"/>
      <c r="F49" s="359"/>
      <c r="G49" s="359"/>
      <c r="H49" s="359"/>
      <c r="I49" s="359"/>
      <c r="J49" s="359"/>
      <c r="K49" s="359"/>
      <c r="L49" s="359"/>
      <c r="M49" s="359"/>
      <c r="N49" s="359"/>
      <c r="O49" s="359"/>
      <c r="P49" s="359"/>
      <c r="Q49" s="359"/>
      <c r="R49" s="359"/>
      <c r="S49" s="359"/>
      <c r="T49" s="359"/>
      <c r="U49" s="359"/>
      <c r="V49" s="359"/>
      <c r="W49" s="359"/>
      <c r="X49" s="359"/>
      <c r="Y49" s="359"/>
      <c r="Z49" s="359"/>
      <c r="AA49" s="359"/>
      <c r="AB49" s="359"/>
    </row>
    <row r="50" spans="1:28" ht="14" x14ac:dyDescent="0.2">
      <c r="A50" s="34"/>
      <c r="B50" s="355" t="s">
        <v>296</v>
      </c>
      <c r="C50" s="364"/>
      <c r="D50" s="359"/>
      <c r="E50" s="359"/>
      <c r="F50" s="359"/>
      <c r="G50" s="359"/>
      <c r="H50" s="359"/>
      <c r="I50" s="359"/>
      <c r="J50" s="357">
        <f t="shared" ref="J50:V50" si="18">J31</f>
        <v>400082.43097280426</v>
      </c>
      <c r="K50" s="357">
        <f t="shared" si="18"/>
        <v>394893.53169355274</v>
      </c>
      <c r="L50" s="357">
        <f t="shared" si="18"/>
        <v>388814.03033645736</v>
      </c>
      <c r="M50" s="357">
        <f t="shared" si="18"/>
        <v>381778.99701396108</v>
      </c>
      <c r="N50" s="357">
        <f t="shared" si="18"/>
        <v>373719.37799053668</v>
      </c>
      <c r="O50" s="357">
        <f t="shared" si="18"/>
        <v>364561.74372689752</v>
      </c>
      <c r="P50" s="357">
        <f t="shared" si="18"/>
        <v>354228.02171708085</v>
      </c>
      <c r="Q50" s="357">
        <f t="shared" si="18"/>
        <v>342635.21320419828</v>
      </c>
      <c r="R50" s="357">
        <f t="shared" si="18"/>
        <v>329695.09280575108</v>
      </c>
      <c r="S50" s="357">
        <f t="shared" si="18"/>
        <v>315313.89002123749</v>
      </c>
      <c r="T50" s="357">
        <f t="shared" si="18"/>
        <v>299391.95153309574</v>
      </c>
      <c r="U50" s="357">
        <f t="shared" si="18"/>
        <v>281823.38314665807</v>
      </c>
      <c r="V50" s="357">
        <f t="shared" si="18"/>
        <v>262495.67014549114</v>
      </c>
      <c r="W50" s="357">
        <f t="shared" ref="W50:AB50" si="19">W31</f>
        <v>241289.2747650411</v>
      </c>
      <c r="X50" s="357">
        <f t="shared" si="19"/>
        <v>218077.20940963837</v>
      </c>
      <c r="Y50" s="357">
        <f t="shared" si="19"/>
        <v>192724.58415537898</v>
      </c>
      <c r="Z50" s="357">
        <f t="shared" si="19"/>
        <v>165088.12699390936</v>
      </c>
      <c r="AA50" s="357">
        <f t="shared" si="19"/>
        <v>135015.6751794006</v>
      </c>
      <c r="AB50" s="357">
        <f t="shared" si="19"/>
        <v>135015.6751794006</v>
      </c>
    </row>
    <row r="51" spans="1:28" ht="14" x14ac:dyDescent="0.2">
      <c r="A51" s="34"/>
      <c r="B51" s="355" t="s">
        <v>389</v>
      </c>
      <c r="C51" s="357">
        <v>0</v>
      </c>
      <c r="D51" s="357">
        <v>0</v>
      </c>
      <c r="E51" s="357">
        <f>SUM($D$26:E26)</f>
        <v>90585.218616356651</v>
      </c>
      <c r="F51" s="357">
        <f>SUM($D$26:F26)</f>
        <v>137232.54265032129</v>
      </c>
      <c r="G51" s="357">
        <f>SUM($D$26:G26)</f>
        <v>184806.98224946097</v>
      </c>
      <c r="H51" s="357">
        <f>SUM($D$26:H26)</f>
        <v>233326.96383563353</v>
      </c>
      <c r="I51" s="357">
        <f>SUM($D$26:I26)</f>
        <v>282811.2800558313</v>
      </c>
      <c r="J51" s="357">
        <f>SUM($D$26:J26)</f>
        <v>333279.09706090548</v>
      </c>
      <c r="K51" s="357">
        <f>SUM($D$26:K26)</f>
        <v>384749.96192895551</v>
      </c>
      <c r="L51" s="357">
        <f>SUM($D$26:L26)</f>
        <v>437243.81023625802</v>
      </c>
      <c r="M51" s="357">
        <f>SUM($D$26:M26)</f>
        <v>490780.97377866815</v>
      </c>
      <c r="N51" s="357">
        <f>SUM($D$26:N26)</f>
        <v>545382.18844648369</v>
      </c>
      <c r="O51" s="357">
        <f>SUM($D$26:O26)</f>
        <v>601068.60225582204</v>
      </c>
      <c r="P51" s="357">
        <f>SUM($D$26:P26)</f>
        <v>657861.78353962104</v>
      </c>
      <c r="Q51" s="357">
        <f>SUM($D$26:Q26)</f>
        <v>715783.72930143552</v>
      </c>
      <c r="R51" s="357">
        <f>SUM($D$26:R26)</f>
        <v>774856.87373526604</v>
      </c>
      <c r="S51" s="357">
        <f>SUM($D$26:S26)</f>
        <v>835104.09691471898</v>
      </c>
      <c r="T51" s="357">
        <f>SUM($D$26:T26)</f>
        <v>896548.73365486343</v>
      </c>
      <c r="U51" s="357">
        <f>SUM($D$26:U26)</f>
        <v>959214.58255021833</v>
      </c>
      <c r="V51" s="357">
        <f>SUM($D$26:V26)</f>
        <v>1023125.9151923683</v>
      </c>
      <c r="W51" s="357">
        <f>SUM($D$26:W26)</f>
        <v>1088307.4855707812</v>
      </c>
      <c r="X51" s="357">
        <f>SUM($D$26:X26)</f>
        <v>1154784.539660465</v>
      </c>
      <c r="Y51" s="357">
        <f>SUM($D$26:Y26)</f>
        <v>1222582.8252001812</v>
      </c>
      <c r="Z51" s="357">
        <f>SUM($D$26:Z26)</f>
        <v>1291728.6016649993</v>
      </c>
      <c r="AA51" s="357">
        <f>SUM($D$26:AA26)</f>
        <v>1362248.6504370556</v>
      </c>
      <c r="AB51" s="357">
        <f>SUM($D$26:AB26)</f>
        <v>1434170.2851784565</v>
      </c>
    </row>
    <row r="52" spans="1:28" ht="14" x14ac:dyDescent="0.2">
      <c r="A52" s="34"/>
      <c r="B52" s="355" t="s">
        <v>181</v>
      </c>
      <c r="C52" s="357">
        <f>NPV(Customer_Discount_Rate,Unstructured!D38:$AB$38)</f>
        <v>133989.76344016317</v>
      </c>
      <c r="D52" s="357">
        <f>NPV(Customer_Discount_Rate,Unstructured!E38:$AB$38)</f>
        <v>133353.03724657293</v>
      </c>
      <c r="E52" s="357">
        <f>NPV(Customer_Discount_Rate,Unstructured!F38:$AB$38)</f>
        <v>132504.58524136728</v>
      </c>
      <c r="F52" s="357">
        <f>NPV(Customer_Discount_Rate,Unstructured!G38:$AB$38)</f>
        <v>131428.23343104939</v>
      </c>
      <c r="G52" s="357">
        <f>NPV(Customer_Discount_Rate,Unstructured!H38:$AB$38)</f>
        <v>130106.76797361633</v>
      </c>
      <c r="H52" s="357">
        <f>NPV(Customer_Discount_Rate,Unstructured!I38:$AB$38)</f>
        <v>128521.87139947142</v>
      </c>
      <c r="I52" s="357">
        <f>NPV(Customer_Discount_Rate,Unstructured!J38:$AB$38)</f>
        <v>126654.0549778265</v>
      </c>
      <c r="J52" s="357">
        <f>NPV(Customer_Discount_Rate,Unstructured!K38:$AB$38)</f>
        <v>124482.58699677068</v>
      </c>
      <c r="K52" s="357">
        <f>NPV(Customer_Discount_Rate,Unstructured!L38:$AB$38)</f>
        <v>121985.41671125701</v>
      </c>
      <c r="L52" s="357">
        <f>NPV(Customer_Discount_Rate,Unstructured!M38:$AB$38)</f>
        <v>119139.09369850614</v>
      </c>
      <c r="M52" s="357">
        <f>NPV(Customer_Discount_Rate,Unstructured!N38:$AB$38)</f>
        <v>115918.68234468164</v>
      </c>
      <c r="N52" s="357">
        <f>NPV(Customer_Discount_Rate,Unstructured!O38:$AB$38)</f>
        <v>112297.67117011298</v>
      </c>
      <c r="O52" s="357">
        <f>NPV(Customer_Discount_Rate,Unstructured!P38:$AB$38)</f>
        <v>108247.87668276526</v>
      </c>
      <c r="P52" s="357">
        <f>NPV(Customer_Discount_Rate,Unstructured!Q38:$AB$38)</f>
        <v>103739.34143102552</v>
      </c>
      <c r="Q52" s="357">
        <f>NPV(Customer_Discount_Rate,Unstructured!R38:$AB$38)</f>
        <v>98740.225907127315</v>
      </c>
      <c r="R52" s="357">
        <f>NPV(Customer_Discount_Rate,Unstructured!S38:$AB$38)</f>
        <v>93216.693931600006</v>
      </c>
      <c r="S52" s="357">
        <f>NPV(Customer_Discount_Rate,Unstructured!T38:$AB$38)</f>
        <v>87132.791126941986</v>
      </c>
      <c r="T52" s="357">
        <f>NPV(Customer_Discount_Rate,Unstructured!U38:$AB$38)</f>
        <v>80450.316065193387</v>
      </c>
      <c r="U52" s="357">
        <f>NPV(Customer_Discount_Rate,Unstructured!V38:$AB$38)</f>
        <v>73128.683649152561</v>
      </c>
      <c r="V52" s="357">
        <f>NPV(Customer_Discount_Rate,Unstructured!W38:$AB$38)</f>
        <v>65124.780260550251</v>
      </c>
      <c r="W52" s="357">
        <f>NPV(Customer_Discount_Rate,Unstructured!X38:$AB$38)</f>
        <v>56392.810180480767</v>
      </c>
      <c r="X52" s="357">
        <f>NPV(Customer_Discount_Rate,Unstructured!Y38:$AB$38)</f>
        <v>46884.132757693071</v>
      </c>
      <c r="Y52" s="357">
        <f>NPV(Customer_Discount_Rate,Unstructured!Z38:$AB$38)</f>
        <v>36547.089768865779</v>
      </c>
      <c r="Z52" s="357">
        <f>NPV(Customer_Discount_Rate,Unstructured!AA38:$AB$38)</f>
        <v>25326.82238162306</v>
      </c>
      <c r="AA52" s="357">
        <f>NPV(Customer_Discount_Rate,Unstructured!AB38:$AB$38)</f>
        <v>13165.077095678296</v>
      </c>
      <c r="AB52" s="357">
        <f>NPV(Customer_Discount_Rate,Unstructured!$AB38:AC$38)</f>
        <v>13165.077095678296</v>
      </c>
    </row>
    <row r="53" spans="1:28" ht="14" x14ac:dyDescent="0.2">
      <c r="A53" s="34"/>
      <c r="B53" s="360" t="s">
        <v>182</v>
      </c>
      <c r="C53" s="344">
        <f>SUM(C49:C52)</f>
        <v>816294.00305811712</v>
      </c>
      <c r="D53" s="357">
        <f>SUM(D49:D52)</f>
        <v>133353.03724657293</v>
      </c>
      <c r="E53" s="357">
        <f t="shared" ref="E53:V53" si="20">SUM(E49:E52)</f>
        <v>223089.80385772395</v>
      </c>
      <c r="F53" s="357">
        <f t="shared" si="20"/>
        <v>268660.77608137066</v>
      </c>
      <c r="G53" s="357">
        <f t="shared" si="20"/>
        <v>314913.75022307731</v>
      </c>
      <c r="H53" s="357">
        <f t="shared" si="20"/>
        <v>361848.83523510495</v>
      </c>
      <c r="I53" s="357">
        <f t="shared" si="20"/>
        <v>409465.33503365779</v>
      </c>
      <c r="J53" s="357">
        <f t="shared" si="20"/>
        <v>857844.11503048043</v>
      </c>
      <c r="K53" s="357">
        <f t="shared" si="20"/>
        <v>901628.9103337652</v>
      </c>
      <c r="L53" s="357">
        <f t="shared" si="20"/>
        <v>945196.93427122151</v>
      </c>
      <c r="M53" s="357">
        <f t="shared" si="20"/>
        <v>988478.65313731087</v>
      </c>
      <c r="N53" s="357">
        <f t="shared" si="20"/>
        <v>1031399.2376071335</v>
      </c>
      <c r="O53" s="357">
        <f t="shared" si="20"/>
        <v>1073878.2226654848</v>
      </c>
      <c r="P53" s="357">
        <f t="shared" si="20"/>
        <v>1115829.1466877274</v>
      </c>
      <c r="Q53" s="357">
        <f t="shared" si="20"/>
        <v>1157159.1684127613</v>
      </c>
      <c r="R53" s="357">
        <f t="shared" si="20"/>
        <v>1197768.6604726173</v>
      </c>
      <c r="S53" s="357">
        <f t="shared" si="20"/>
        <v>1237550.7780628984</v>
      </c>
      <c r="T53" s="357">
        <f t="shared" si="20"/>
        <v>1276391.0012531525</v>
      </c>
      <c r="U53" s="357">
        <f t="shared" si="20"/>
        <v>1314166.6493460289</v>
      </c>
      <c r="V53" s="357">
        <f t="shared" si="20"/>
        <v>1350746.3655984099</v>
      </c>
      <c r="W53" s="357">
        <f t="shared" ref="W53:AB53" si="21">SUM(W49:W52)</f>
        <v>1385989.5705163032</v>
      </c>
      <c r="X53" s="357">
        <f t="shared" si="21"/>
        <v>1419745.8818277963</v>
      </c>
      <c r="Y53" s="357">
        <f t="shared" si="21"/>
        <v>1451854.4991244262</v>
      </c>
      <c r="Z53" s="357">
        <f t="shared" si="21"/>
        <v>1482143.5510405316</v>
      </c>
      <c r="AA53" s="357">
        <f t="shared" si="21"/>
        <v>1510429.4027121344</v>
      </c>
      <c r="AB53" s="357">
        <f t="shared" si="21"/>
        <v>1582351.0374535352</v>
      </c>
    </row>
    <row r="54" spans="1:28" ht="14" x14ac:dyDescent="0.2">
      <c r="A54" s="34"/>
      <c r="B54" s="366"/>
      <c r="C54" s="604" t="s">
        <v>403</v>
      </c>
      <c r="D54" s="604"/>
      <c r="E54" s="367"/>
      <c r="F54" s="367"/>
      <c r="G54" s="367"/>
      <c r="H54" s="367"/>
      <c r="I54" s="367"/>
      <c r="J54" s="367"/>
      <c r="K54" s="367"/>
      <c r="L54" s="367"/>
      <c r="M54" s="367"/>
      <c r="N54" s="367"/>
      <c r="O54" s="367"/>
      <c r="P54" s="367"/>
      <c r="Q54" s="367"/>
      <c r="R54" s="367"/>
      <c r="S54" s="367"/>
      <c r="T54" s="367"/>
      <c r="U54" s="367"/>
      <c r="V54" s="367"/>
      <c r="W54" s="367"/>
      <c r="X54" s="367"/>
      <c r="Y54" s="367"/>
      <c r="Z54" s="367"/>
      <c r="AA54" s="367"/>
      <c r="AB54" s="367"/>
    </row>
    <row r="55" spans="1:28" ht="14" customHeight="1" x14ac:dyDescent="0.2">
      <c r="A55" s="34"/>
      <c r="B55" s="368" t="s">
        <v>390</v>
      </c>
      <c r="C55" s="604"/>
      <c r="D55" s="604"/>
      <c r="E55" s="367"/>
      <c r="F55" s="367"/>
      <c r="G55" s="367"/>
      <c r="H55" s="367"/>
      <c r="I55" s="367"/>
      <c r="J55" s="367"/>
      <c r="K55" s="367"/>
      <c r="L55" s="367"/>
      <c r="M55" s="367"/>
      <c r="N55" s="367"/>
      <c r="O55" s="367"/>
      <c r="P55" s="367"/>
      <c r="Q55" s="367"/>
      <c r="R55" s="367"/>
      <c r="S55" s="367"/>
      <c r="T55" s="367"/>
      <c r="U55" s="367"/>
      <c r="V55" s="367"/>
      <c r="W55" s="367"/>
      <c r="X55" s="367"/>
      <c r="Y55" s="367"/>
      <c r="Z55" s="367"/>
      <c r="AA55" s="367"/>
      <c r="AB55" s="367"/>
    </row>
    <row r="56" spans="1:28" ht="15" x14ac:dyDescent="0.2">
      <c r="A56" s="34"/>
      <c r="B56" s="355" t="s">
        <v>405</v>
      </c>
      <c r="C56" s="356">
        <f>$C$53/$D$43</f>
        <v>5.6431787998759315E-2</v>
      </c>
      <c r="D56" s="369" t="s">
        <v>399</v>
      </c>
      <c r="E56" s="370"/>
      <c r="F56" s="367"/>
      <c r="G56" s="367"/>
      <c r="H56" s="367"/>
      <c r="I56" s="367"/>
      <c r="J56" s="367"/>
      <c r="K56" s="367"/>
      <c r="L56" s="367"/>
      <c r="M56" s="367"/>
      <c r="N56" s="367"/>
      <c r="O56" s="367"/>
      <c r="P56" s="367"/>
      <c r="Q56" s="367"/>
      <c r="R56" s="367"/>
      <c r="S56" s="367"/>
      <c r="T56" s="367"/>
      <c r="U56" s="367"/>
      <c r="V56" s="367"/>
      <c r="W56" s="367"/>
      <c r="X56" s="367"/>
      <c r="Y56" s="367"/>
      <c r="Z56" s="367"/>
      <c r="AA56" s="367"/>
      <c r="AB56" s="367"/>
    </row>
    <row r="57" spans="1:28" ht="15" x14ac:dyDescent="0.2">
      <c r="A57" s="34"/>
      <c r="B57" s="355" t="s">
        <v>124</v>
      </c>
      <c r="C57" s="356">
        <f>$J$53/$D$43</f>
        <v>5.9304217664253478E-2</v>
      </c>
      <c r="D57" s="369" t="s">
        <v>399</v>
      </c>
      <c r="E57" s="370"/>
      <c r="F57" s="367"/>
      <c r="G57" s="367"/>
      <c r="H57" s="367"/>
      <c r="I57" s="367"/>
      <c r="J57" s="367"/>
      <c r="K57" s="367"/>
      <c r="L57" s="367"/>
      <c r="M57" s="367"/>
      <c r="N57" s="367"/>
      <c r="O57" s="367"/>
      <c r="P57" s="367"/>
      <c r="Q57" s="367"/>
      <c r="R57" s="367"/>
      <c r="S57" s="367"/>
      <c r="T57" s="367"/>
      <c r="U57" s="367"/>
      <c r="V57" s="367"/>
      <c r="W57" s="367"/>
      <c r="X57" s="367"/>
      <c r="Y57" s="367"/>
      <c r="Z57" s="367"/>
      <c r="AA57" s="367"/>
      <c r="AB57" s="367"/>
    </row>
    <row r="58" spans="1:28" ht="15" x14ac:dyDescent="0.2">
      <c r="A58" s="34"/>
      <c r="B58" s="355" t="s">
        <v>191</v>
      </c>
      <c r="C58" s="356">
        <f>$M$53/$D$43</f>
        <v>6.8335204700961674E-2</v>
      </c>
      <c r="D58" s="369" t="s">
        <v>399</v>
      </c>
      <c r="E58" s="370"/>
      <c r="F58" s="367"/>
      <c r="G58" s="367"/>
      <c r="H58" s="367"/>
      <c r="I58" s="367"/>
      <c r="J58" s="367"/>
      <c r="K58" s="367"/>
      <c r="L58" s="367"/>
      <c r="M58" s="367"/>
      <c r="N58" s="367"/>
      <c r="O58" s="367"/>
      <c r="P58" s="367"/>
      <c r="Q58" s="367"/>
      <c r="R58" s="367"/>
      <c r="S58" s="367"/>
      <c r="T58" s="367"/>
      <c r="U58" s="367"/>
      <c r="V58" s="367"/>
      <c r="W58" s="367"/>
      <c r="X58" s="367"/>
      <c r="Y58" s="367"/>
      <c r="Z58" s="367"/>
      <c r="AA58" s="367"/>
      <c r="AB58" s="367"/>
    </row>
    <row r="59" spans="1:28" ht="15" x14ac:dyDescent="0.2">
      <c r="A59" s="34"/>
      <c r="B59" s="355" t="s">
        <v>174</v>
      </c>
      <c r="C59" s="356">
        <f>$R$53/$D$43</f>
        <v>8.2803777641542162E-2</v>
      </c>
      <c r="D59" s="369" t="s">
        <v>399</v>
      </c>
      <c r="E59" s="370"/>
      <c r="F59" s="367"/>
      <c r="G59" s="367"/>
      <c r="H59" s="367"/>
      <c r="I59" s="367"/>
      <c r="J59" s="367"/>
      <c r="K59" s="367"/>
      <c r="L59" s="367"/>
      <c r="M59" s="367"/>
      <c r="N59" s="367"/>
      <c r="O59" s="367"/>
      <c r="P59" s="367"/>
      <c r="Q59" s="367"/>
      <c r="R59" s="367"/>
      <c r="S59" s="367"/>
      <c r="T59" s="367"/>
      <c r="U59" s="367"/>
      <c r="V59" s="367"/>
      <c r="W59" s="367"/>
      <c r="X59" s="367"/>
      <c r="Y59" s="367"/>
      <c r="Z59" s="367"/>
      <c r="AA59" s="367"/>
      <c r="AB59" s="367"/>
    </row>
    <row r="60" spans="1:28" ht="15" x14ac:dyDescent="0.2">
      <c r="A60" s="34"/>
      <c r="B60" s="355" t="s">
        <v>91</v>
      </c>
      <c r="C60" s="356">
        <f>$W$53/$D$43</f>
        <v>9.5815808175548925E-2</v>
      </c>
      <c r="D60" s="369" t="s">
        <v>399</v>
      </c>
      <c r="E60" s="370"/>
      <c r="F60" s="367"/>
      <c r="G60" s="367"/>
      <c r="H60" s="367"/>
      <c r="I60" s="367"/>
      <c r="J60" s="367"/>
      <c r="K60" s="367"/>
      <c r="L60" s="367"/>
      <c r="M60" s="367"/>
      <c r="N60" s="367"/>
      <c r="O60" s="367"/>
      <c r="P60" s="367"/>
      <c r="Q60" s="367"/>
      <c r="R60" s="367"/>
      <c r="S60" s="367"/>
      <c r="T60" s="367"/>
      <c r="U60" s="367"/>
      <c r="V60" s="367"/>
      <c r="W60" s="367"/>
      <c r="X60" s="367"/>
      <c r="Y60" s="367"/>
      <c r="Z60" s="367"/>
      <c r="AA60" s="367"/>
      <c r="AB60" s="367"/>
    </row>
    <row r="61" spans="1:28" ht="16" thickBot="1" x14ac:dyDescent="0.25">
      <c r="A61" s="34"/>
      <c r="B61" s="371" t="s">
        <v>449</v>
      </c>
      <c r="C61" s="372">
        <f>$AB$53/$D$43</f>
        <v>0.10939060920534203</v>
      </c>
      <c r="D61" s="373" t="s">
        <v>399</v>
      </c>
      <c r="E61" s="374"/>
      <c r="F61" s="375"/>
      <c r="G61" s="375"/>
      <c r="H61" s="375"/>
      <c r="I61" s="375"/>
      <c r="J61" s="375"/>
      <c r="K61" s="375"/>
      <c r="L61" s="375"/>
      <c r="M61" s="375"/>
      <c r="N61" s="375"/>
      <c r="O61" s="375"/>
      <c r="P61" s="375"/>
      <c r="Q61" s="375"/>
      <c r="R61" s="375"/>
      <c r="S61" s="375"/>
      <c r="T61" s="375"/>
      <c r="U61" s="375"/>
      <c r="V61" s="375"/>
      <c r="W61" s="375"/>
      <c r="X61" s="375"/>
      <c r="Y61" s="375"/>
      <c r="Z61" s="375"/>
      <c r="AA61" s="375"/>
      <c r="AB61" s="375"/>
    </row>
    <row r="62" spans="1:28" ht="14" x14ac:dyDescent="0.2">
      <c r="A62" s="34"/>
      <c r="B62" s="376"/>
      <c r="C62" s="377"/>
      <c r="D62" s="365"/>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row>
    <row r="63" spans="1:28" ht="15" thickBot="1" x14ac:dyDescent="0.25">
      <c r="A63" s="34"/>
      <c r="B63" s="347"/>
      <c r="C63" s="377"/>
      <c r="D63" s="365"/>
      <c r="E63" s="365"/>
      <c r="F63" s="365"/>
      <c r="G63" s="365"/>
      <c r="H63" s="365"/>
      <c r="I63" s="365"/>
      <c r="J63" s="365"/>
      <c r="K63" s="365"/>
      <c r="L63" s="365"/>
      <c r="M63" s="365"/>
      <c r="N63" s="365"/>
      <c r="O63" s="365"/>
      <c r="P63" s="365"/>
      <c r="Q63" s="365"/>
      <c r="R63" s="365"/>
      <c r="S63" s="365"/>
      <c r="T63" s="365"/>
      <c r="U63" s="365"/>
      <c r="V63" s="365"/>
      <c r="W63" s="365"/>
      <c r="X63" s="365"/>
      <c r="Y63" s="365"/>
      <c r="Z63" s="365"/>
      <c r="AA63" s="365"/>
      <c r="AB63" s="365"/>
    </row>
    <row r="64" spans="1:28" ht="17" customHeight="1" thickBot="1" x14ac:dyDescent="0.25">
      <c r="A64" s="34"/>
      <c r="B64" s="600" t="s">
        <v>266</v>
      </c>
      <c r="C64" s="600"/>
      <c r="D64" s="600">
        <v>1</v>
      </c>
      <c r="E64" s="605" t="s">
        <v>474</v>
      </c>
      <c r="F64" s="606"/>
      <c r="G64" s="606"/>
      <c r="H64" s="606"/>
      <c r="I64" s="606"/>
      <c r="J64" s="606"/>
      <c r="K64" s="606"/>
      <c r="L64" s="606"/>
      <c r="M64" s="606"/>
      <c r="N64" s="606"/>
      <c r="O64" s="607"/>
      <c r="P64" s="346"/>
      <c r="Q64" s="346"/>
      <c r="R64" s="346"/>
      <c r="S64" s="346"/>
      <c r="T64" s="346"/>
      <c r="U64" s="346"/>
      <c r="V64" s="346"/>
      <c r="W64" s="346"/>
      <c r="X64" s="346"/>
      <c r="Y64" s="346"/>
      <c r="Z64" s="346"/>
      <c r="AA64" s="346"/>
      <c r="AB64" s="346"/>
    </row>
    <row r="65" spans="1:28" ht="14" x14ac:dyDescent="0.2">
      <c r="A65" s="34"/>
      <c r="B65" s="348" t="s">
        <v>286</v>
      </c>
      <c r="C65" s="349">
        <v>0</v>
      </c>
      <c r="D65" s="350">
        <v>1</v>
      </c>
      <c r="E65" s="350">
        <v>2</v>
      </c>
      <c r="F65" s="350">
        <v>3</v>
      </c>
      <c r="G65" s="350">
        <v>4</v>
      </c>
      <c r="H65" s="350">
        <v>5</v>
      </c>
      <c r="I65" s="350">
        <v>6</v>
      </c>
      <c r="J65" s="350">
        <v>7</v>
      </c>
      <c r="K65" s="350">
        <v>8</v>
      </c>
      <c r="L65" s="350">
        <v>9</v>
      </c>
      <c r="M65" s="350">
        <v>10</v>
      </c>
      <c r="N65" s="350">
        <v>11</v>
      </c>
      <c r="O65" s="350">
        <v>12</v>
      </c>
      <c r="P65" s="350">
        <v>13</v>
      </c>
      <c r="Q65" s="350">
        <v>14</v>
      </c>
      <c r="R65" s="350">
        <v>15</v>
      </c>
      <c r="S65" s="350">
        <v>16</v>
      </c>
      <c r="T65" s="350">
        <v>17</v>
      </c>
      <c r="U65" s="350">
        <v>18</v>
      </c>
      <c r="V65" s="350">
        <v>19</v>
      </c>
      <c r="W65" s="350">
        <v>20</v>
      </c>
      <c r="X65" s="350">
        <v>21</v>
      </c>
      <c r="Y65" s="350">
        <v>22</v>
      </c>
      <c r="Z65" s="350">
        <v>23</v>
      </c>
      <c r="AA65" s="350">
        <v>24</v>
      </c>
      <c r="AB65" s="350">
        <v>25</v>
      </c>
    </row>
    <row r="66" spans="1:28" ht="14" x14ac:dyDescent="0.2">
      <c r="A66" s="34"/>
      <c r="B66" s="351" t="s">
        <v>267</v>
      </c>
      <c r="C66" s="378"/>
      <c r="D66" s="357">
        <f t="shared" ref="D66:V66" si="22">D25</f>
        <v>45225.653236414299</v>
      </c>
      <c r="E66" s="357">
        <f t="shared" si="22"/>
        <v>46124.513094488029</v>
      </c>
      <c r="F66" s="357">
        <f t="shared" si="22"/>
        <v>47041.237792240972</v>
      </c>
      <c r="G66" s="357">
        <f t="shared" si="22"/>
        <v>47976.182393361763</v>
      </c>
      <c r="H66" s="357">
        <f t="shared" si="22"/>
        <v>48929.709018429821</v>
      </c>
      <c r="I66" s="357">
        <f t="shared" si="22"/>
        <v>49902.186985171102</v>
      </c>
      <c r="J66" s="357">
        <f t="shared" si="22"/>
        <v>50893.992951501372</v>
      </c>
      <c r="K66" s="357">
        <f t="shared" si="22"/>
        <v>51905.511061412457</v>
      </c>
      <c r="L66" s="357">
        <f t="shared" si="22"/>
        <v>52937.133093758021</v>
      </c>
      <c r="M66" s="357">
        <f t="shared" si="22"/>
        <v>53989.258613996455</v>
      </c>
      <c r="N66" s="357">
        <f t="shared" si="22"/>
        <v>55062.29512894962</v>
      </c>
      <c r="O66" s="357">
        <f t="shared" si="22"/>
        <v>56156.658244637489</v>
      </c>
      <c r="P66" s="357">
        <f t="shared" si="22"/>
        <v>57272.771827249657</v>
      </c>
      <c r="Q66" s="357">
        <f t="shared" si="22"/>
        <v>58411.06816731624</v>
      </c>
      <c r="R66" s="357">
        <f t="shared" si="22"/>
        <v>59571.988147141645</v>
      </c>
      <c r="S66" s="357">
        <f t="shared" si="22"/>
        <v>60755.981411566077</v>
      </c>
      <c r="T66" s="357">
        <f t="shared" si="22"/>
        <v>61963.506542120951</v>
      </c>
      <c r="U66" s="357">
        <f t="shared" si="22"/>
        <v>63195.031234645598</v>
      </c>
      <c r="V66" s="357">
        <f t="shared" si="22"/>
        <v>64451.032480434165</v>
      </c>
      <c r="W66" s="357">
        <f t="shared" ref="W66:AB66" si="23">W25</f>
        <v>65731.996750982784</v>
      </c>
      <c r="X66" s="357">
        <f t="shared" si="23"/>
        <v>67038.420186408563</v>
      </c>
      <c r="Y66" s="357">
        <f t="shared" si="23"/>
        <v>68370.808787613423</v>
      </c>
      <c r="Z66" s="357">
        <f t="shared" si="23"/>
        <v>69729.678612267235</v>
      </c>
      <c r="AA66" s="357">
        <f t="shared" si="23"/>
        <v>71115.555974686053</v>
      </c>
      <c r="AB66" s="357">
        <f t="shared" si="23"/>
        <v>72528.977649682914</v>
      </c>
    </row>
    <row r="67" spans="1:28" ht="14" x14ac:dyDescent="0.2">
      <c r="A67" s="34"/>
      <c r="B67" s="351" t="s">
        <v>297</v>
      </c>
      <c r="C67" s="378"/>
      <c r="D67" s="357">
        <f>D66*(Taxpayer_Marginal_Rate+IF(Tax_Efficient_Status?="State &amp; Federal",State_Income_Tax_Rate,0))</f>
        <v>10628.02851055736</v>
      </c>
      <c r="E67" s="357">
        <f t="shared" ref="E67:V67" si="24">E66*(Taxpayer_Marginal_Rate+IF(Tax_Efficient_Status?="State &amp; Federal",State_Income_Tax_Rate,0))</f>
        <v>10839.260577204686</v>
      </c>
      <c r="F67" s="357">
        <f t="shared" si="24"/>
        <v>11054.690881176628</v>
      </c>
      <c r="G67" s="357">
        <f t="shared" si="24"/>
        <v>11274.402862440014</v>
      </c>
      <c r="H67" s="357">
        <f t="shared" si="24"/>
        <v>11498.481619331007</v>
      </c>
      <c r="I67" s="357">
        <f t="shared" si="24"/>
        <v>11727.013941515208</v>
      </c>
      <c r="J67" s="357">
        <f t="shared" si="24"/>
        <v>11960.088343602822</v>
      </c>
      <c r="K67" s="357">
        <f t="shared" si="24"/>
        <v>12197.795099431927</v>
      </c>
      <c r="L67" s="357">
        <f t="shared" si="24"/>
        <v>12440.226277033134</v>
      </c>
      <c r="M67" s="357">
        <f t="shared" si="24"/>
        <v>12687.475774289167</v>
      </c>
      <c r="N67" s="357">
        <f t="shared" si="24"/>
        <v>12939.639355303159</v>
      </c>
      <c r="O67" s="357">
        <f t="shared" si="24"/>
        <v>13196.814687489808</v>
      </c>
      <c r="P67" s="357">
        <f t="shared" si="24"/>
        <v>13459.101379403668</v>
      </c>
      <c r="Q67" s="357">
        <f t="shared" si="24"/>
        <v>13726.601019319316</v>
      </c>
      <c r="R67" s="357">
        <f t="shared" si="24"/>
        <v>13999.417214578285</v>
      </c>
      <c r="S67" s="357">
        <f t="shared" si="24"/>
        <v>14277.655631718028</v>
      </c>
      <c r="T67" s="357">
        <f t="shared" si="24"/>
        <v>14561.424037398423</v>
      </c>
      <c r="U67" s="357">
        <f t="shared" si="24"/>
        <v>14850.832340141715</v>
      </c>
      <c r="V67" s="357">
        <f t="shared" si="24"/>
        <v>15145.992632902027</v>
      </c>
      <c r="W67" s="357">
        <f t="shared" ref="W67:AB67" si="25">W66*(Taxpayer_Marginal_Rate+IF(Tax_Efficient_Status?="State &amp; Federal",State_Income_Tax_Rate,0))</f>
        <v>15447.019236480954</v>
      </c>
      <c r="X67" s="357">
        <f t="shared" si="25"/>
        <v>15754.028743806011</v>
      </c>
      <c r="Y67" s="357">
        <f t="shared" si="25"/>
        <v>16067.140065089154</v>
      </c>
      <c r="Z67" s="357">
        <f t="shared" si="25"/>
        <v>16386.474473882798</v>
      </c>
      <c r="AA67" s="357">
        <f t="shared" si="25"/>
        <v>16712.155654051221</v>
      </c>
      <c r="AB67" s="357">
        <f t="shared" si="25"/>
        <v>17044.309747675485</v>
      </c>
    </row>
    <row r="68" spans="1:28" ht="14" x14ac:dyDescent="0.2">
      <c r="B68" s="351" t="s">
        <v>299</v>
      </c>
      <c r="C68" s="357">
        <f>Unstructured!C87</f>
        <v>-682304.23961795389</v>
      </c>
      <c r="D68" s="357">
        <f>Unstructured!D87</f>
        <v>235424.78835424915</v>
      </c>
      <c r="E68" s="357">
        <f>Unstructured!E87</f>
        <v>64649.402842600866</v>
      </c>
      <c r="F68" s="357">
        <f>Unstructured!F87</f>
        <v>49683.446953579056</v>
      </c>
      <c r="G68" s="357">
        <f>Unstructured!G87</f>
        <v>40920.029936854749</v>
      </c>
      <c r="H68" s="357">
        <f>Unstructured!H87</f>
        <v>41455.516100748922</v>
      </c>
      <c r="I68" s="357">
        <f>Unstructured!I87</f>
        <v>35035.263692960158</v>
      </c>
      <c r="J68" s="357">
        <f>Unstructured!J87</f>
        <v>28625.847161578786</v>
      </c>
      <c r="K68" s="357">
        <f>Unstructured!K87</f>
        <v>29193.845137619763</v>
      </c>
      <c r="L68" s="357">
        <f>Unstructured!L87</f>
        <v>29773.113258708647</v>
      </c>
      <c r="M68" s="357">
        <f>Unstructured!M87</f>
        <v>30363.875142683733</v>
      </c>
      <c r="N68" s="357">
        <f>Unstructured!N87</f>
        <v>30966.358844261995</v>
      </c>
      <c r="O68" s="357">
        <f>Unstructured!O87</f>
        <v>31580.796943071477</v>
      </c>
      <c r="P68" s="357">
        <f>Unstructured!P87</f>
        <v>32207.426633430401</v>
      </c>
      <c r="Q68" s="357">
        <f>Unstructured!Q87</f>
        <v>32846.489815907509</v>
      </c>
      <c r="R68" s="357">
        <f>Unstructured!R87</f>
        <v>33498.233190699102</v>
      </c>
      <c r="S68" s="357">
        <f>Unstructured!S87</f>
        <v>34162.908352858678</v>
      </c>
      <c r="T68" s="357">
        <f>Unstructured!T87</f>
        <v>34840.771889416079</v>
      </c>
      <c r="U68" s="357">
        <f>Unstructured!U87</f>
        <v>35532.085478423433</v>
      </c>
      <c r="V68" s="357">
        <f>Unstructured!V87</f>
        <v>36237.11598996642</v>
      </c>
      <c r="W68" s="357">
        <f>Unstructured!W87</f>
        <v>36956.135589179503</v>
      </c>
      <c r="X68" s="357">
        <f>Unstructured!X87</f>
        <v>37689.421841305193</v>
      </c>
      <c r="Y68" s="357">
        <f>Unstructured!Y87</f>
        <v>38437.257818837708</v>
      </c>
      <c r="Z68" s="357">
        <f>Unstructured!Z87</f>
        <v>39199.932210792409</v>
      </c>
      <c r="AA68" s="357">
        <f>Unstructured!AA87</f>
        <v>39977.739434143325</v>
      </c>
      <c r="AB68" s="357">
        <f>Unstructured!AB87</f>
        <v>143116.61569016465</v>
      </c>
    </row>
    <row r="69" spans="1:28" ht="14" x14ac:dyDescent="0.2">
      <c r="A69" s="34"/>
      <c r="B69" s="351" t="s">
        <v>243</v>
      </c>
      <c r="C69" s="357">
        <f t="shared" ref="C69:V69" si="26">C68+C67</f>
        <v>-682304.23961795389</v>
      </c>
      <c r="D69" s="357">
        <f t="shared" si="26"/>
        <v>246052.81686480652</v>
      </c>
      <c r="E69" s="357">
        <f t="shared" si="26"/>
        <v>75488.663419805554</v>
      </c>
      <c r="F69" s="357">
        <f t="shared" si="26"/>
        <v>60738.137834755682</v>
      </c>
      <c r="G69" s="357">
        <f t="shared" si="26"/>
        <v>52194.432799294766</v>
      </c>
      <c r="H69" s="357">
        <f t="shared" si="26"/>
        <v>52953.997720079933</v>
      </c>
      <c r="I69" s="357">
        <f t="shared" si="26"/>
        <v>46762.277634475366</v>
      </c>
      <c r="J69" s="357">
        <f t="shared" si="26"/>
        <v>40585.935505181609</v>
      </c>
      <c r="K69" s="357">
        <f t="shared" si="26"/>
        <v>41391.640237051688</v>
      </c>
      <c r="L69" s="357">
        <f t="shared" si="26"/>
        <v>42213.339535741783</v>
      </c>
      <c r="M69" s="357">
        <f t="shared" si="26"/>
        <v>43051.3509169729</v>
      </c>
      <c r="N69" s="357">
        <f t="shared" si="26"/>
        <v>43905.998199565154</v>
      </c>
      <c r="O69" s="357">
        <f t="shared" si="26"/>
        <v>44777.611630561281</v>
      </c>
      <c r="P69" s="357">
        <f t="shared" si="26"/>
        <v>45666.528012834067</v>
      </c>
      <c r="Q69" s="357">
        <f t="shared" si="26"/>
        <v>46573.090835226823</v>
      </c>
      <c r="R69" s="357">
        <f t="shared" si="26"/>
        <v>47497.650405277389</v>
      </c>
      <c r="S69" s="357">
        <f t="shared" si="26"/>
        <v>48440.563984576707</v>
      </c>
      <c r="T69" s="357">
        <f t="shared" si="26"/>
        <v>49402.1959268145</v>
      </c>
      <c r="U69" s="357">
        <f t="shared" si="26"/>
        <v>50382.917818565147</v>
      </c>
      <c r="V69" s="357">
        <f t="shared" si="26"/>
        <v>51383.108622868443</v>
      </c>
      <c r="W69" s="357">
        <f t="shared" ref="W69:AB69" si="27">W68+W67</f>
        <v>52403.154825660458</v>
      </c>
      <c r="X69" s="357">
        <f t="shared" si="27"/>
        <v>53443.450585111204</v>
      </c>
      <c r="Y69" s="357">
        <f t="shared" si="27"/>
        <v>54504.39788392686</v>
      </c>
      <c r="Z69" s="357">
        <f t="shared" si="27"/>
        <v>55586.40668467521</v>
      </c>
      <c r="AA69" s="357">
        <f t="shared" si="27"/>
        <v>56689.895088194549</v>
      </c>
      <c r="AB69" s="357">
        <f t="shared" si="27"/>
        <v>160160.92543784014</v>
      </c>
    </row>
    <row r="70" spans="1:28" ht="14" x14ac:dyDescent="0.2">
      <c r="A70" s="34"/>
      <c r="B70" s="351" t="s">
        <v>244</v>
      </c>
      <c r="C70" s="357">
        <f>NPV(Customer_Discount_Rate,C68:AB68)</f>
        <v>11558.465950343054</v>
      </c>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row>
    <row r="71" spans="1:28" ht="15" thickBot="1" x14ac:dyDescent="0.25">
      <c r="A71" s="34"/>
      <c r="B71" s="379" t="s">
        <v>114</v>
      </c>
      <c r="C71" s="380">
        <f>IRR(C69:AB69)</f>
        <v>9.2927658268719071E-2</v>
      </c>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row>
    <row r="72" spans="1:28" ht="14" x14ac:dyDescent="0.2">
      <c r="A72" s="34"/>
      <c r="B72" s="347"/>
      <c r="C72" s="377"/>
      <c r="D72" s="365"/>
      <c r="E72" s="365"/>
      <c r="F72" s="365"/>
      <c r="G72" s="365"/>
      <c r="H72" s="365"/>
      <c r="I72" s="365"/>
      <c r="J72" s="365"/>
      <c r="K72" s="365"/>
      <c r="L72" s="365"/>
      <c r="M72" s="365"/>
      <c r="N72" s="365"/>
      <c r="O72" s="365"/>
      <c r="P72" s="365"/>
      <c r="Q72" s="365"/>
      <c r="R72" s="365"/>
      <c r="S72" s="365"/>
      <c r="T72" s="365"/>
      <c r="U72" s="365"/>
      <c r="V72" s="365"/>
      <c r="W72" s="365"/>
      <c r="X72" s="365"/>
      <c r="Y72" s="365"/>
      <c r="Z72" s="365"/>
      <c r="AA72" s="365"/>
      <c r="AB72" s="365"/>
    </row>
    <row r="73" spans="1:28" ht="14" x14ac:dyDescent="0.2">
      <c r="A73" s="34"/>
      <c r="B73" s="347"/>
      <c r="C73" s="377"/>
      <c r="D73" s="365"/>
      <c r="E73" s="365"/>
      <c r="F73" s="365"/>
      <c r="G73" s="365"/>
      <c r="H73" s="365"/>
      <c r="I73" s="365"/>
      <c r="J73" s="365"/>
      <c r="K73" s="365"/>
      <c r="L73" s="365"/>
      <c r="M73" s="365"/>
      <c r="N73" s="365"/>
      <c r="O73" s="365"/>
      <c r="P73" s="365"/>
      <c r="Q73" s="365"/>
      <c r="R73" s="365"/>
      <c r="S73" s="365"/>
      <c r="T73" s="365"/>
      <c r="U73" s="365"/>
      <c r="V73" s="365"/>
      <c r="W73" s="365"/>
      <c r="X73" s="365"/>
      <c r="Y73" s="365"/>
      <c r="Z73" s="365"/>
      <c r="AA73" s="365"/>
      <c r="AB73" s="365"/>
    </row>
    <row r="74" spans="1:28" ht="15" thickBot="1" x14ac:dyDescent="0.25">
      <c r="A74" s="34"/>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c r="AA74" s="382"/>
      <c r="AB74" s="382"/>
    </row>
    <row r="75" spans="1:28" ht="15" thickTop="1" x14ac:dyDescent="0.2">
      <c r="A75" s="34"/>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row>
    <row r="76" spans="1:28" ht="19" x14ac:dyDescent="0.25">
      <c r="A76" s="34"/>
      <c r="B76" s="345" t="s">
        <v>363</v>
      </c>
      <c r="C76" s="346"/>
      <c r="D76" s="346"/>
      <c r="E76" s="346"/>
      <c r="F76" s="346"/>
      <c r="G76" s="346"/>
      <c r="H76" s="346"/>
      <c r="I76" s="346"/>
      <c r="J76" s="346"/>
      <c r="K76" s="346"/>
      <c r="L76" s="346"/>
      <c r="M76" s="346"/>
      <c r="N76" s="346"/>
      <c r="O76" s="346"/>
      <c r="P76" s="346"/>
      <c r="Q76" s="346"/>
      <c r="R76" s="346"/>
      <c r="S76" s="346"/>
      <c r="T76" s="346"/>
      <c r="U76" s="346"/>
      <c r="V76" s="346"/>
      <c r="W76" s="346"/>
      <c r="X76" s="346"/>
      <c r="Y76" s="346"/>
      <c r="Z76" s="346"/>
      <c r="AA76" s="346"/>
      <c r="AB76" s="346"/>
    </row>
    <row r="77" spans="1:28" ht="19" x14ac:dyDescent="0.25">
      <c r="A77" s="34"/>
      <c r="B77" s="345"/>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row>
    <row r="78" spans="1:28" ht="16" x14ac:dyDescent="0.2">
      <c r="A78" s="34"/>
      <c r="B78" s="600" t="s">
        <v>266</v>
      </c>
      <c r="C78" s="600"/>
      <c r="D78" s="600">
        <v>1</v>
      </c>
      <c r="E78" s="346"/>
      <c r="F78" s="346"/>
      <c r="G78" s="346"/>
      <c r="H78" s="346"/>
      <c r="I78" s="346"/>
      <c r="J78" s="346"/>
      <c r="K78" s="346"/>
      <c r="L78" s="346"/>
      <c r="M78" s="346"/>
      <c r="N78" s="346"/>
      <c r="O78" s="346"/>
      <c r="P78" s="346"/>
      <c r="Q78" s="346"/>
      <c r="R78" s="346"/>
      <c r="S78" s="346"/>
      <c r="T78" s="346"/>
      <c r="U78" s="346"/>
      <c r="V78" s="346"/>
      <c r="W78" s="346"/>
      <c r="X78" s="346"/>
      <c r="Y78" s="346"/>
      <c r="Z78" s="346"/>
      <c r="AA78" s="346"/>
      <c r="AB78" s="346"/>
    </row>
    <row r="79" spans="1:28" ht="14" x14ac:dyDescent="0.2">
      <c r="B79" s="383" t="s">
        <v>286</v>
      </c>
      <c r="C79" s="384">
        <v>0</v>
      </c>
      <c r="D79" s="385">
        <v>1</v>
      </c>
      <c r="E79" s="385">
        <v>2</v>
      </c>
      <c r="F79" s="385">
        <v>3</v>
      </c>
      <c r="G79" s="385">
        <v>4</v>
      </c>
      <c r="H79" s="385">
        <v>5</v>
      </c>
      <c r="I79" s="385">
        <v>6</v>
      </c>
      <c r="J79" s="385">
        <v>7</v>
      </c>
      <c r="K79" s="385">
        <v>8</v>
      </c>
      <c r="L79" s="385">
        <v>9</v>
      </c>
      <c r="M79" s="385">
        <v>10</v>
      </c>
      <c r="N79" s="385">
        <v>11</v>
      </c>
      <c r="O79" s="385">
        <v>12</v>
      </c>
      <c r="P79" s="385">
        <v>13</v>
      </c>
      <c r="Q79" s="385">
        <v>14</v>
      </c>
      <c r="R79" s="385">
        <v>15</v>
      </c>
      <c r="S79" s="385">
        <v>16</v>
      </c>
      <c r="T79" s="385">
        <v>17</v>
      </c>
      <c r="U79" s="385">
        <v>18</v>
      </c>
      <c r="V79" s="385">
        <v>19</v>
      </c>
      <c r="W79" s="385">
        <v>20</v>
      </c>
      <c r="X79" s="385">
        <v>21</v>
      </c>
      <c r="Y79" s="385">
        <v>22</v>
      </c>
      <c r="Z79" s="385">
        <v>23</v>
      </c>
      <c r="AA79" s="385">
        <v>24</v>
      </c>
      <c r="AB79" s="385">
        <v>25</v>
      </c>
    </row>
    <row r="80" spans="1:28" ht="14" x14ac:dyDescent="0.2">
      <c r="B80" s="386" t="s">
        <v>298</v>
      </c>
      <c r="C80" s="387"/>
      <c r="D80" s="357">
        <f t="shared" ref="D80:V80" si="28">D27</f>
        <v>378.71042244974524</v>
      </c>
      <c r="E80" s="357">
        <f t="shared" si="28"/>
        <v>386.23729209593148</v>
      </c>
      <c r="F80" s="357">
        <f t="shared" si="28"/>
        <v>393.91375827633601</v>
      </c>
      <c r="G80" s="357">
        <f t="shared" si="28"/>
        <v>401.74279422208929</v>
      </c>
      <c r="H80" s="357">
        <f t="shared" si="28"/>
        <v>409.72743225724116</v>
      </c>
      <c r="I80" s="357">
        <f t="shared" si="28"/>
        <v>417.87076497334783</v>
      </c>
      <c r="J80" s="357">
        <f t="shared" si="28"/>
        <v>426.17594642719632</v>
      </c>
      <c r="K80" s="357">
        <f t="shared" si="28"/>
        <v>434.64619336243777</v>
      </c>
      <c r="L80" s="357">
        <f t="shared" si="28"/>
        <v>443.28478645551513</v>
      </c>
      <c r="M80" s="357">
        <f t="shared" si="28"/>
        <v>452.09507158632186</v>
      </c>
      <c r="N80" s="357">
        <f t="shared" si="28"/>
        <v>461.08046113409364</v>
      </c>
      <c r="O80" s="357">
        <f t="shared" si="28"/>
        <v>470.24443529913697</v>
      </c>
      <c r="P80" s="357">
        <f t="shared" si="28"/>
        <v>479.59054345070763</v>
      </c>
      <c r="Q80" s="357">
        <f t="shared" si="28"/>
        <v>489.12240550178831</v>
      </c>
      <c r="R80" s="357">
        <f t="shared" si="28"/>
        <v>498.84371331112925</v>
      </c>
      <c r="S80" s="357">
        <f t="shared" si="28"/>
        <v>508.75823211319221</v>
      </c>
      <c r="T80" s="357">
        <f t="shared" si="28"/>
        <v>518.8698019764488</v>
      </c>
      <c r="U80" s="357">
        <f t="shared" si="28"/>
        <v>529.18233929073176</v>
      </c>
      <c r="V80" s="357">
        <f t="shared" si="28"/>
        <v>539.69983828413388</v>
      </c>
      <c r="W80" s="357">
        <f t="shared" ref="W80:AB80" si="29">W27</f>
        <v>550.42637257003662</v>
      </c>
      <c r="X80" s="357">
        <f t="shared" si="29"/>
        <v>561.36609672487248</v>
      </c>
      <c r="Y80" s="357">
        <f t="shared" si="29"/>
        <v>572.52324789727572</v>
      </c>
      <c r="Z80" s="357">
        <f t="shared" si="29"/>
        <v>583.90214744923287</v>
      </c>
      <c r="AA80" s="357">
        <f t="shared" si="29"/>
        <v>595.5072026298003</v>
      </c>
      <c r="AB80" s="357">
        <f t="shared" si="29"/>
        <v>607.34290828205121</v>
      </c>
    </row>
    <row r="81" spans="1:28" ht="14" x14ac:dyDescent="0.2">
      <c r="B81" s="386" t="s">
        <v>450</v>
      </c>
      <c r="C81" s="387"/>
      <c r="D81" s="357">
        <f>D28</f>
        <v>5841.4415953765747</v>
      </c>
      <c r="E81" s="367"/>
      <c r="F81" s="367"/>
      <c r="G81" s="367"/>
      <c r="H81" s="367"/>
      <c r="I81" s="367"/>
      <c r="J81" s="367"/>
      <c r="K81" s="367"/>
      <c r="L81" s="367"/>
      <c r="M81" s="367"/>
      <c r="N81" s="367"/>
      <c r="O81" s="367"/>
      <c r="P81" s="367"/>
      <c r="Q81" s="367"/>
      <c r="R81" s="367"/>
      <c r="S81" s="367"/>
      <c r="T81" s="367"/>
      <c r="U81" s="367"/>
      <c r="V81" s="367"/>
      <c r="W81" s="367"/>
      <c r="X81" s="367"/>
      <c r="Y81" s="367"/>
      <c r="Z81" s="367"/>
      <c r="AA81" s="367"/>
      <c r="AB81" s="367"/>
    </row>
    <row r="82" spans="1:28" ht="14" x14ac:dyDescent="0.2">
      <c r="B82" s="388"/>
      <c r="C82" s="387"/>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row>
    <row r="83" spans="1:28" ht="14" x14ac:dyDescent="0.2">
      <c r="B83" s="601" t="s">
        <v>207</v>
      </c>
      <c r="C83" s="602"/>
      <c r="D83" s="357"/>
      <c r="E83" s="367"/>
      <c r="F83" s="367"/>
      <c r="G83" s="367"/>
      <c r="H83" s="367"/>
      <c r="I83" s="367"/>
      <c r="J83" s="367"/>
      <c r="K83" s="367"/>
      <c r="L83" s="367"/>
      <c r="M83" s="367"/>
      <c r="N83" s="367"/>
      <c r="O83" s="367"/>
      <c r="P83" s="367"/>
      <c r="Q83" s="367"/>
      <c r="R83" s="367"/>
      <c r="S83" s="367"/>
      <c r="T83" s="367"/>
      <c r="U83" s="367"/>
      <c r="V83" s="367"/>
      <c r="W83" s="367"/>
      <c r="X83" s="367"/>
      <c r="Y83" s="367"/>
      <c r="Z83" s="367"/>
      <c r="AA83" s="367"/>
      <c r="AB83" s="367"/>
    </row>
    <row r="84" spans="1:28" ht="14" x14ac:dyDescent="0.2">
      <c r="B84" s="389" t="s">
        <v>208</v>
      </c>
      <c r="C84" s="390">
        <f t="shared" ref="C84:C89" si="30">C56</f>
        <v>5.6431787998759315E-2</v>
      </c>
      <c r="D84" s="367"/>
      <c r="E84" s="367"/>
      <c r="F84" s="367"/>
      <c r="G84" s="367"/>
      <c r="H84" s="367"/>
      <c r="I84" s="367"/>
      <c r="J84" s="367"/>
      <c r="K84" s="367"/>
      <c r="L84" s="367"/>
      <c r="M84" s="367"/>
      <c r="N84" s="367"/>
      <c r="O84" s="367"/>
      <c r="P84" s="367"/>
      <c r="Q84" s="367"/>
      <c r="R84" s="367"/>
      <c r="S84" s="367"/>
      <c r="T84" s="367"/>
      <c r="U84" s="367"/>
      <c r="V84" s="367"/>
      <c r="W84" s="367"/>
      <c r="X84" s="367"/>
      <c r="Y84" s="367"/>
      <c r="Z84" s="367"/>
      <c r="AA84" s="367"/>
      <c r="AB84" s="367"/>
    </row>
    <row r="85" spans="1:28" ht="14" x14ac:dyDescent="0.2">
      <c r="B85" s="389" t="s">
        <v>209</v>
      </c>
      <c r="C85" s="390">
        <f t="shared" si="30"/>
        <v>5.9304217664253478E-2</v>
      </c>
      <c r="D85" s="367"/>
      <c r="E85" s="367"/>
      <c r="F85" s="367"/>
      <c r="G85" s="367"/>
      <c r="H85" s="367"/>
      <c r="I85" s="367"/>
      <c r="J85" s="367"/>
      <c r="K85" s="367"/>
      <c r="L85" s="367"/>
      <c r="M85" s="367"/>
      <c r="N85" s="367"/>
      <c r="O85" s="367"/>
      <c r="P85" s="367"/>
      <c r="Q85" s="367"/>
      <c r="R85" s="367"/>
      <c r="S85" s="367"/>
      <c r="T85" s="367"/>
      <c r="U85" s="367"/>
      <c r="V85" s="367"/>
      <c r="W85" s="367"/>
      <c r="X85" s="367"/>
      <c r="Y85" s="367"/>
      <c r="Z85" s="367"/>
      <c r="AA85" s="367"/>
      <c r="AB85" s="367"/>
    </row>
    <row r="86" spans="1:28" ht="14" x14ac:dyDescent="0.2">
      <c r="B86" s="389" t="s">
        <v>89</v>
      </c>
      <c r="C86" s="390">
        <f t="shared" si="30"/>
        <v>6.8335204700961674E-2</v>
      </c>
      <c r="D86" s="367"/>
      <c r="E86" s="367"/>
      <c r="F86" s="367"/>
      <c r="G86" s="367"/>
      <c r="H86" s="367"/>
      <c r="I86" s="367"/>
      <c r="J86" s="367"/>
      <c r="K86" s="367"/>
      <c r="L86" s="367"/>
      <c r="M86" s="367"/>
      <c r="N86" s="367"/>
      <c r="O86" s="367"/>
      <c r="P86" s="367"/>
      <c r="Q86" s="367"/>
      <c r="R86" s="367"/>
      <c r="S86" s="367"/>
      <c r="T86" s="367"/>
      <c r="U86" s="367"/>
      <c r="V86" s="367"/>
      <c r="W86" s="367"/>
      <c r="X86" s="367"/>
      <c r="Y86" s="367"/>
      <c r="Z86" s="367"/>
      <c r="AA86" s="367"/>
      <c r="AB86" s="367"/>
    </row>
    <row r="87" spans="1:28" ht="14" x14ac:dyDescent="0.2">
      <c r="B87" s="389" t="s">
        <v>90</v>
      </c>
      <c r="C87" s="390">
        <f t="shared" si="30"/>
        <v>8.2803777641542162E-2</v>
      </c>
      <c r="D87" s="367"/>
      <c r="E87" s="367"/>
      <c r="F87" s="367"/>
      <c r="G87" s="367"/>
      <c r="H87" s="367"/>
      <c r="I87" s="367"/>
      <c r="J87" s="367"/>
      <c r="K87" s="367"/>
      <c r="L87" s="367"/>
      <c r="M87" s="367"/>
      <c r="N87" s="367"/>
      <c r="O87" s="367"/>
      <c r="P87" s="367"/>
      <c r="Q87" s="367"/>
      <c r="R87" s="367"/>
      <c r="S87" s="367"/>
      <c r="T87" s="367"/>
      <c r="U87" s="367"/>
      <c r="V87" s="367"/>
      <c r="W87" s="367"/>
      <c r="X87" s="367"/>
      <c r="Y87" s="367"/>
      <c r="Z87" s="367"/>
      <c r="AA87" s="367"/>
      <c r="AB87" s="367"/>
    </row>
    <row r="88" spans="1:28" ht="14" x14ac:dyDescent="0.2">
      <c r="B88" s="389" t="s">
        <v>91</v>
      </c>
      <c r="C88" s="390">
        <f t="shared" si="30"/>
        <v>9.5815808175548925E-2</v>
      </c>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c r="AB88" s="367"/>
    </row>
    <row r="89" spans="1:28" ht="14" x14ac:dyDescent="0.2">
      <c r="B89" s="391" t="s">
        <v>449</v>
      </c>
      <c r="C89" s="392">
        <f t="shared" si="30"/>
        <v>0.10939060920534203</v>
      </c>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c r="AB89" s="367"/>
    </row>
    <row r="90" spans="1:28" ht="14" x14ac:dyDescent="0.2">
      <c r="B90" s="388"/>
      <c r="C90" s="387"/>
      <c r="D90" s="367"/>
      <c r="E90" s="367"/>
      <c r="F90" s="367"/>
      <c r="G90" s="367"/>
      <c r="H90" s="367"/>
      <c r="I90" s="367"/>
      <c r="J90" s="367"/>
      <c r="K90" s="367"/>
      <c r="L90" s="367"/>
      <c r="M90" s="367"/>
      <c r="N90" s="367"/>
      <c r="O90" s="367"/>
      <c r="P90" s="367"/>
      <c r="Q90" s="367"/>
      <c r="R90" s="367"/>
      <c r="S90" s="367"/>
      <c r="T90" s="367"/>
      <c r="U90" s="367"/>
      <c r="V90" s="367"/>
      <c r="W90" s="367"/>
      <c r="X90" s="367"/>
      <c r="Y90" s="367"/>
      <c r="Z90" s="367"/>
      <c r="AA90" s="367"/>
      <c r="AB90" s="367"/>
    </row>
    <row r="91" spans="1:28" ht="14" x14ac:dyDescent="0.2">
      <c r="B91" s="389" t="s">
        <v>139</v>
      </c>
      <c r="C91" s="387"/>
      <c r="D91" s="393">
        <f t="shared" ref="D91:V91" si="31">D22+D23</f>
        <v>7.3648296020305801E-2</v>
      </c>
      <c r="E91" s="393">
        <f t="shared" si="31"/>
        <v>7.5489503420813439E-2</v>
      </c>
      <c r="F91" s="393">
        <f t="shared" si="31"/>
        <v>7.7376741006333766E-2</v>
      </c>
      <c r="G91" s="393">
        <f t="shared" si="31"/>
        <v>7.9311159531492106E-2</v>
      </c>
      <c r="H91" s="393">
        <f t="shared" si="31"/>
        <v>8.1293938519779396E-2</v>
      </c>
      <c r="I91" s="393">
        <f t="shared" si="31"/>
        <v>8.3326286982773876E-2</v>
      </c>
      <c r="J91" s="393">
        <f t="shared" si="31"/>
        <v>8.5409444157343209E-2</v>
      </c>
      <c r="K91" s="393">
        <f t="shared" si="31"/>
        <v>8.7544680261276778E-2</v>
      </c>
      <c r="L91" s="393">
        <f t="shared" si="31"/>
        <v>8.9733297267808695E-2</v>
      </c>
      <c r="M91" s="393">
        <f t="shared" si="31"/>
        <v>9.1976629699503903E-2</v>
      </c>
      <c r="N91" s="393">
        <f t="shared" si="31"/>
        <v>9.4276045441991488E-2</v>
      </c>
      <c r="O91" s="393">
        <f t="shared" si="31"/>
        <v>9.6632946578041265E-2</v>
      </c>
      <c r="P91" s="393">
        <f t="shared" si="31"/>
        <v>9.9048770242492284E-2</v>
      </c>
      <c r="Q91" s="393">
        <f t="shared" si="31"/>
        <v>0.10152498949855458</v>
      </c>
      <c r="R91" s="393">
        <f t="shared" si="31"/>
        <v>0.10406311423601844</v>
      </c>
      <c r="S91" s="393">
        <f t="shared" si="31"/>
        <v>0.10666469209191889</v>
      </c>
      <c r="T91" s="393">
        <f t="shared" si="31"/>
        <v>0.10933130939421686</v>
      </c>
      <c r="U91" s="393">
        <f t="shared" si="31"/>
        <v>0.11206459212907227</v>
      </c>
      <c r="V91" s="393">
        <f t="shared" si="31"/>
        <v>0.11486620693229907</v>
      </c>
      <c r="W91" s="393">
        <f t="shared" ref="W91:AB91" si="32">W22+W23</f>
        <v>0.11773786210560654</v>
      </c>
      <c r="X91" s="393">
        <f t="shared" si="32"/>
        <v>0.12068130865824669</v>
      </c>
      <c r="Y91" s="393">
        <f t="shared" si="32"/>
        <v>0.12369834137470286</v>
      </c>
      <c r="Z91" s="393">
        <f t="shared" si="32"/>
        <v>0.12679079990907041</v>
      </c>
      <c r="AA91" s="393">
        <f t="shared" si="32"/>
        <v>0.12996056990679716</v>
      </c>
      <c r="AB91" s="393">
        <f t="shared" si="32"/>
        <v>0.13320958415446707</v>
      </c>
    </row>
    <row r="92" spans="1:28" ht="14" x14ac:dyDescent="0.2">
      <c r="B92" s="389" t="s">
        <v>115</v>
      </c>
      <c r="C92" s="387"/>
      <c r="D92" s="393">
        <f t="shared" ref="D92:V92" si="33">D24</f>
        <v>7.3031580167629145E-2</v>
      </c>
      <c r="E92" s="393">
        <f t="shared" si="33"/>
        <v>7.4857369671819871E-2</v>
      </c>
      <c r="F92" s="393">
        <f t="shared" si="33"/>
        <v>7.6728803913615362E-2</v>
      </c>
      <c r="G92" s="393">
        <f t="shared" si="33"/>
        <v>7.8647024011455735E-2</v>
      </c>
      <c r="H92" s="393">
        <f t="shared" si="33"/>
        <v>8.0613199611742126E-2</v>
      </c>
      <c r="I92" s="393">
        <f t="shared" si="33"/>
        <v>8.2628529602035677E-2</v>
      </c>
      <c r="J92" s="393">
        <f t="shared" si="33"/>
        <v>8.4694242842086556E-2</v>
      </c>
      <c r="K92" s="393">
        <f t="shared" si="33"/>
        <v>8.6811598913138707E-2</v>
      </c>
      <c r="L92" s="393">
        <f t="shared" si="33"/>
        <v>8.898188888596717E-2</v>
      </c>
      <c r="M92" s="393">
        <f t="shared" si="33"/>
        <v>9.1206436108116337E-2</v>
      </c>
      <c r="N92" s="393">
        <f t="shared" si="33"/>
        <v>9.3486597010819239E-2</v>
      </c>
      <c r="O92" s="393">
        <f t="shared" si="33"/>
        <v>9.5823761936089713E-2</v>
      </c>
      <c r="P92" s="393">
        <f t="shared" si="33"/>
        <v>9.8219355984491941E-2</v>
      </c>
      <c r="Q92" s="393">
        <f t="shared" si="33"/>
        <v>0.10067483988410424</v>
      </c>
      <c r="R92" s="393">
        <f t="shared" si="33"/>
        <v>0.10319171088120684</v>
      </c>
      <c r="S92" s="393">
        <f t="shared" si="33"/>
        <v>0.105771503653237</v>
      </c>
      <c r="T92" s="393">
        <f t="shared" si="33"/>
        <v>0.10841579124456791</v>
      </c>
      <c r="U92" s="393">
        <f t="shared" si="33"/>
        <v>0.1111261860256821</v>
      </c>
      <c r="V92" s="393">
        <f t="shared" si="33"/>
        <v>0.11390434067632414</v>
      </c>
      <c r="W92" s="393">
        <f t="shared" ref="W92:AB92" si="34">W24</f>
        <v>0.11675194919323223</v>
      </c>
      <c r="X92" s="393">
        <f t="shared" si="34"/>
        <v>0.11967074792306302</v>
      </c>
      <c r="Y92" s="393">
        <f t="shared" si="34"/>
        <v>0.12266251662113958</v>
      </c>
      <c r="Z92" s="393">
        <f t="shared" si="34"/>
        <v>0.12572907953666806</v>
      </c>
      <c r="AA92" s="393">
        <f t="shared" si="34"/>
        <v>0.12887230652508475</v>
      </c>
      <c r="AB92" s="393">
        <f t="shared" si="34"/>
        <v>0.13209411418821185</v>
      </c>
    </row>
    <row r="93" spans="1:28" ht="14" x14ac:dyDescent="0.2">
      <c r="B93" s="388"/>
      <c r="C93" s="387"/>
      <c r="D93" s="367"/>
      <c r="E93" s="367"/>
      <c r="F93" s="367"/>
      <c r="G93" s="367"/>
      <c r="H93" s="367"/>
      <c r="I93" s="367"/>
      <c r="J93" s="367"/>
      <c r="K93" s="367"/>
      <c r="L93" s="367"/>
      <c r="M93" s="367"/>
      <c r="N93" s="367"/>
      <c r="O93" s="367"/>
      <c r="P93" s="367"/>
      <c r="Q93" s="367"/>
      <c r="R93" s="367"/>
      <c r="S93" s="367"/>
      <c r="T93" s="367"/>
      <c r="U93" s="367"/>
      <c r="V93" s="367"/>
      <c r="W93" s="367"/>
      <c r="X93" s="367"/>
      <c r="Y93" s="367"/>
      <c r="Z93" s="367"/>
      <c r="AA93" s="367"/>
      <c r="AB93" s="367"/>
    </row>
    <row r="94" spans="1:28" ht="14" x14ac:dyDescent="0.2">
      <c r="B94" s="389" t="s">
        <v>120</v>
      </c>
      <c r="C94" s="387"/>
      <c r="D94" s="394">
        <f t="shared" ref="D94:V94" si="35">D19</f>
        <v>1194182.2365632909</v>
      </c>
      <c r="E94" s="394">
        <f t="shared" si="35"/>
        <v>1197252.616713291</v>
      </c>
      <c r="F94" s="394">
        <f t="shared" si="35"/>
        <v>1200307.6449625411</v>
      </c>
      <c r="G94" s="394">
        <f t="shared" si="35"/>
        <v>1203347.3980705449</v>
      </c>
      <c r="H94" s="394">
        <f t="shared" si="35"/>
        <v>1206371.9524130085</v>
      </c>
      <c r="I94" s="394">
        <f t="shared" si="35"/>
        <v>1209381.3839837601</v>
      </c>
      <c r="J94" s="394">
        <f t="shared" si="35"/>
        <v>1212375.7683966577</v>
      </c>
      <c r="K94" s="394">
        <f t="shared" si="35"/>
        <v>1215355.180887491</v>
      </c>
      <c r="L94" s="394">
        <f t="shared" si="35"/>
        <v>1218319.6963158699</v>
      </c>
      <c r="M94" s="394">
        <f t="shared" si="35"/>
        <v>1221269.3891671072</v>
      </c>
      <c r="N94" s="394">
        <f t="shared" si="35"/>
        <v>1224204.3335540881</v>
      </c>
      <c r="O94" s="394">
        <f t="shared" si="35"/>
        <v>1227124.603219134</v>
      </c>
      <c r="P94" s="394">
        <f t="shared" si="35"/>
        <v>1230030.2715358548</v>
      </c>
      <c r="Q94" s="394">
        <f t="shared" si="35"/>
        <v>1232921.4115109919</v>
      </c>
      <c r="R94" s="394">
        <f t="shared" si="35"/>
        <v>1235798.0957862535</v>
      </c>
      <c r="S94" s="394">
        <f t="shared" si="35"/>
        <v>1238660.3966401387</v>
      </c>
      <c r="T94" s="394">
        <f t="shared" si="35"/>
        <v>1241508.3859897545</v>
      </c>
      <c r="U94" s="394">
        <f t="shared" si="35"/>
        <v>1244342.1353926221</v>
      </c>
      <c r="V94" s="394">
        <f t="shared" si="35"/>
        <v>1247161.7160484756</v>
      </c>
      <c r="W94" s="394">
        <f t="shared" ref="W94:AB94" si="36">W19</f>
        <v>1249967.1988010497</v>
      </c>
      <c r="X94" s="394">
        <f t="shared" si="36"/>
        <v>1252758.654139861</v>
      </c>
      <c r="Y94" s="394">
        <f t="shared" si="36"/>
        <v>1255536.152201978</v>
      </c>
      <c r="Z94" s="394">
        <f t="shared" si="36"/>
        <v>1258299.7627737848</v>
      </c>
      <c r="AA94" s="394">
        <f t="shared" si="36"/>
        <v>1261049.5552927321</v>
      </c>
      <c r="AB94" s="394">
        <f t="shared" si="36"/>
        <v>1263785.5988490852</v>
      </c>
    </row>
    <row r="95" spans="1:28" ht="14" x14ac:dyDescent="0.2">
      <c r="A95" t="s">
        <v>246</v>
      </c>
      <c r="B95" s="391" t="s">
        <v>121</v>
      </c>
      <c r="C95" s="395"/>
      <c r="D95" s="396">
        <f t="shared" ref="D95:V95" si="37">D21</f>
        <v>614076.03000000154</v>
      </c>
      <c r="E95" s="396">
        <f t="shared" si="37"/>
        <v>611005.64985000156</v>
      </c>
      <c r="F95" s="396">
        <f t="shared" si="37"/>
        <v>607950.62160075153</v>
      </c>
      <c r="G95" s="396">
        <f t="shared" si="37"/>
        <v>604910.86849274777</v>
      </c>
      <c r="H95" s="396">
        <f t="shared" si="37"/>
        <v>601886.31415028404</v>
      </c>
      <c r="I95" s="396">
        <f t="shared" si="37"/>
        <v>598876.88257953257</v>
      </c>
      <c r="J95" s="396">
        <f t="shared" si="37"/>
        <v>595882.49816663493</v>
      </c>
      <c r="K95" s="396">
        <f t="shared" si="37"/>
        <v>592903.08567580173</v>
      </c>
      <c r="L95" s="396">
        <f t="shared" si="37"/>
        <v>589938.57024742267</v>
      </c>
      <c r="M95" s="396">
        <f t="shared" si="37"/>
        <v>586988.87739618553</v>
      </c>
      <c r="N95" s="396">
        <f t="shared" si="37"/>
        <v>584053.93300920457</v>
      </c>
      <c r="O95" s="396">
        <f t="shared" si="37"/>
        <v>581133.66334415856</v>
      </c>
      <c r="P95" s="396">
        <f t="shared" si="37"/>
        <v>578227.99502743781</v>
      </c>
      <c r="Q95" s="396">
        <f t="shared" si="37"/>
        <v>575336.85505230061</v>
      </c>
      <c r="R95" s="396">
        <f t="shared" si="37"/>
        <v>572460.17077703914</v>
      </c>
      <c r="S95" s="396">
        <f t="shared" si="37"/>
        <v>569597.86992315389</v>
      </c>
      <c r="T95" s="396">
        <f t="shared" si="37"/>
        <v>566749.88057353813</v>
      </c>
      <c r="U95" s="396">
        <f t="shared" si="37"/>
        <v>563916.13117067039</v>
      </c>
      <c r="V95" s="396">
        <f t="shared" si="37"/>
        <v>561096.55051481701</v>
      </c>
      <c r="W95" s="396">
        <f t="shared" ref="W95:AB95" si="38">W21</f>
        <v>558291.06776224286</v>
      </c>
      <c r="X95" s="396">
        <f t="shared" si="38"/>
        <v>555499.61242343159</v>
      </c>
      <c r="Y95" s="396">
        <f t="shared" si="38"/>
        <v>552722.11436131445</v>
      </c>
      <c r="Z95" s="396">
        <f t="shared" si="38"/>
        <v>549958.5037895079</v>
      </c>
      <c r="AA95" s="396">
        <f t="shared" si="38"/>
        <v>547208.71127056039</v>
      </c>
      <c r="AB95" s="396">
        <f t="shared" si="38"/>
        <v>544472.66771420755</v>
      </c>
    </row>
    <row r="96" spans="1:28" ht="14" x14ac:dyDescent="0.2">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row>
    <row r="97" spans="2:28" ht="14" x14ac:dyDescent="0.2">
      <c r="B97" s="346"/>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s="346"/>
      <c r="AA97" s="346"/>
      <c r="AB97" s="346"/>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F42D91D2-3B12-4406-A8FE-17A41E451AE9}"/>
</file>

<file path=customXml/itemProps2.xml><?xml version="1.0" encoding="utf-8"?>
<ds:datastoreItem xmlns:ds="http://schemas.openxmlformats.org/officeDocument/2006/customXml" ds:itemID="{CFB14BEC-A4A5-4779-97C8-67F35790C209}"/>
</file>

<file path=customXml/itemProps3.xml><?xml version="1.0" encoding="utf-8"?>
<ds:datastoreItem xmlns:ds="http://schemas.openxmlformats.org/officeDocument/2006/customXml" ds:itemID="{23A2AD4E-FECA-447C-BD5E-B85E4145ACD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2023-04-20T03:28:13Z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