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A0C7B30B-7CFE-0A45-BCCC-B0DA189D35F7}" xr6:coauthVersionLast="47" xr6:coauthVersionMax="47" xr10:uidLastSave="{00000000-0000-0000-0000-000000000000}"/>
  <bookViews>
    <workbookView xWindow="6860" yWindow="8480" windowWidth="14400" windowHeight="9660" tabRatio="500" firstSheet="1"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23" i="15" l="1"/>
  <c r="Y51" i="1" s="1"/>
  <c r="D144" i="4"/>
  <c r="C88" i="1"/>
  <c r="P34" i="1"/>
  <c r="C86" i="1"/>
  <c r="D21" i="4"/>
  <c r="E21" i="4" s="1"/>
  <c r="C83" i="1"/>
  <c r="D20" i="4"/>
  <c r="X19" i="4"/>
  <c r="W24" i="15"/>
  <c r="W92" i="15" s="1"/>
  <c r="P35" i="1"/>
  <c r="P56" i="1"/>
  <c r="P64" i="1"/>
  <c r="E17" i="4"/>
  <c r="E34" i="4"/>
  <c r="P18" i="1"/>
  <c r="D36" i="4"/>
  <c r="D38" i="4" s="1"/>
  <c r="E36" i="4"/>
  <c r="E29" i="1"/>
  <c r="P36" i="1"/>
  <c r="E22" i="15"/>
  <c r="F22" i="15" s="1"/>
  <c r="F23" i="15" s="1"/>
  <c r="F91" i="15" s="1"/>
  <c r="P63" i="1"/>
  <c r="E22" i="1"/>
  <c r="G18" i="15"/>
  <c r="D24" i="15"/>
  <c r="D91" i="15" l="1"/>
  <c r="D21" i="15"/>
  <c r="D26" i="15" s="1"/>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Y56" i="1" l="1"/>
  <c r="D19" i="15"/>
  <c r="D94" i="15" s="1"/>
  <c r="D25" i="15"/>
  <c r="D66" i="15" s="1"/>
  <c r="D67" i="15" s="1"/>
  <c r="D95" i="15"/>
  <c r="F37" i="4"/>
  <c r="F34" i="4"/>
  <c r="D28" i="4"/>
  <c r="D29" i="4" s="1"/>
  <c r="D30" i="4" s="1"/>
  <c r="E38" i="4"/>
  <c r="E27" i="4"/>
  <c r="E28" i="4" s="1"/>
  <c r="F20" i="4"/>
  <c r="F22" i="4"/>
  <c r="F23" i="4"/>
  <c r="G17" i="4"/>
  <c r="Z19" i="4"/>
  <c r="Y24" i="15"/>
  <c r="Y92" i="15" s="1"/>
  <c r="G21" i="4"/>
  <c r="G23" i="4" s="1"/>
  <c r="F26" i="4"/>
  <c r="F36" i="4"/>
  <c r="G37" i="4"/>
  <c r="H17" i="4"/>
  <c r="G33" i="4"/>
  <c r="H22" i="15"/>
  <c r="I22" i="15" s="1"/>
  <c r="F21" i="15"/>
  <c r="F24" i="15"/>
  <c r="F92" i="15" s="1"/>
  <c r="E95" i="15"/>
  <c r="E26" i="15"/>
  <c r="E51" i="15" s="1"/>
  <c r="E25" i="15"/>
  <c r="E19" i="15"/>
  <c r="E94" i="15" s="1"/>
  <c r="I18" i="15"/>
  <c r="D40" i="4" l="1"/>
  <c r="D167" i="4" s="1"/>
  <c r="D172" i="4" s="1"/>
  <c r="D103" i="4"/>
  <c r="Y55" i="1"/>
  <c r="D27" i="15"/>
  <c r="D80" i="15" s="1"/>
  <c r="F38" i="4"/>
  <c r="G36" i="4"/>
  <c r="G34" i="4"/>
  <c r="G22" i="4"/>
  <c r="H22" i="4" s="1"/>
  <c r="F27" i="4"/>
  <c r="F28" i="4" s="1"/>
  <c r="F29" i="4" s="1"/>
  <c r="F30" i="4" s="1"/>
  <c r="G20" i="4"/>
  <c r="H20" i="4" s="1"/>
  <c r="AA19" i="4"/>
  <c r="Z24" i="15"/>
  <c r="H21" i="4"/>
  <c r="H23" i="4" s="1"/>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G38" i="4" l="1"/>
  <c r="F40" i="4"/>
  <c r="F167" i="4" s="1"/>
  <c r="G27" i="4"/>
  <c r="G28" i="4" s="1"/>
  <c r="G29" i="4" s="1"/>
  <c r="G30" i="4" s="1"/>
  <c r="I20" i="4"/>
  <c r="I22" i="4"/>
  <c r="AB19" i="4"/>
  <c r="AB24" i="15" s="1"/>
  <c r="AB92" i="15" s="1"/>
  <c r="AA24" i="15"/>
  <c r="AA92" i="15" s="1"/>
  <c r="Z92" i="15"/>
  <c r="F51" i="15"/>
  <c r="E172" i="4"/>
  <c r="E115" i="4"/>
  <c r="E51" i="4"/>
  <c r="I21" i="4"/>
  <c r="I23" i="4" s="1"/>
  <c r="H26" i="4"/>
  <c r="H38" i="4"/>
  <c r="I34" i="4"/>
  <c r="I37" i="4"/>
  <c r="I36" i="4"/>
  <c r="J17" i="4"/>
  <c r="I33" i="4"/>
  <c r="E58" i="4"/>
  <c r="H24" i="15"/>
  <c r="H92" i="15" s="1"/>
  <c r="F27" i="15"/>
  <c r="F80" i="15" s="1"/>
  <c r="F66" i="15"/>
  <c r="F67" i="15" s="1"/>
  <c r="G26" i="15"/>
  <c r="G25" i="15"/>
  <c r="G95" i="15"/>
  <c r="G19" i="15"/>
  <c r="G94" i="15" s="1"/>
  <c r="K18" i="15"/>
  <c r="F103" i="4"/>
  <c r="H21" i="15"/>
  <c r="H27" i="4"/>
  <c r="E103" i="4"/>
  <c r="J23" i="15"/>
  <c r="J91" i="15" s="1"/>
  <c r="K22" i="15"/>
  <c r="G40" i="4" l="1"/>
  <c r="G167" i="4" s="1"/>
  <c r="F172" i="4"/>
  <c r="J20" i="4"/>
  <c r="J121" i="4"/>
  <c r="J166" i="4" s="1"/>
  <c r="J114" i="4"/>
  <c r="J22" i="4"/>
  <c r="E52" i="4"/>
  <c r="F51" i="4" s="1"/>
  <c r="J21" i="4"/>
  <c r="J23" i="4" s="1"/>
  <c r="I26" i="4"/>
  <c r="G51" i="15"/>
  <c r="J33" i="4"/>
  <c r="J34" i="4"/>
  <c r="J37" i="4"/>
  <c r="K17" i="4"/>
  <c r="J36" i="4"/>
  <c r="I38" i="4"/>
  <c r="G103" i="4"/>
  <c r="I21" i="15"/>
  <c r="I27" i="4"/>
  <c r="L18" i="15"/>
  <c r="H95" i="15"/>
  <c r="H26" i="15"/>
  <c r="H25" i="15"/>
  <c r="H19" i="15"/>
  <c r="H94" i="15" s="1"/>
  <c r="G66" i="15"/>
  <c r="G67" i="15" s="1"/>
  <c r="G27" i="15"/>
  <c r="I24" i="15"/>
  <c r="I92" i="15" s="1"/>
  <c r="K23" i="15"/>
  <c r="K91" i="15" s="1"/>
  <c r="L22" i="15"/>
  <c r="H28" i="4"/>
  <c r="G172" i="4" l="1"/>
  <c r="K20" i="4"/>
  <c r="K114" i="4"/>
  <c r="K121" i="4"/>
  <c r="K166" i="4" s="1"/>
  <c r="K22" i="4"/>
  <c r="H51" i="15"/>
  <c r="J171" i="4"/>
  <c r="E122" i="4"/>
  <c r="K21" i="4"/>
  <c r="J26" i="4"/>
  <c r="K34" i="4"/>
  <c r="K36" i="4"/>
  <c r="K33" i="4"/>
  <c r="L17" i="4"/>
  <c r="K37" i="4"/>
  <c r="J38" i="4"/>
  <c r="F115" i="4"/>
  <c r="M18" i="15"/>
  <c r="I28" i="4"/>
  <c r="H29" i="4"/>
  <c r="H30" i="4" s="1"/>
  <c r="H40" i="4" s="1"/>
  <c r="H167" i="4" s="1"/>
  <c r="G80" i="15"/>
  <c r="J21" i="15"/>
  <c r="J27" i="4"/>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L23" i="4" s="1"/>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M20" i="4" l="1"/>
  <c r="M114" i="4"/>
  <c r="M121" i="4"/>
  <c r="M166" i="4" s="1"/>
  <c r="M22" i="4"/>
  <c r="I172" i="4"/>
  <c r="L171" i="4"/>
  <c r="F122" i="4"/>
  <c r="M21" i="4"/>
  <c r="M23" i="4" s="1"/>
  <c r="L26" i="4"/>
  <c r="J51" i="15"/>
  <c r="L38" i="4"/>
  <c r="M36" i="4"/>
  <c r="M33" i="4"/>
  <c r="M37" i="4"/>
  <c r="N17" i="4"/>
  <c r="M34" i="4"/>
  <c r="G115" i="4"/>
  <c r="I103" i="4"/>
  <c r="K28" i="4"/>
  <c r="O18" i="15"/>
  <c r="L21" i="15"/>
  <c r="L27" i="4"/>
  <c r="J27" i="15"/>
  <c r="J66" i="15"/>
  <c r="J67" i="15" s="1"/>
  <c r="O22" i="15"/>
  <c r="N23" i="15"/>
  <c r="N91" i="15" s="1"/>
  <c r="J29" i="4"/>
  <c r="J30" i="4" s="1"/>
  <c r="J40" i="4" s="1"/>
  <c r="J167" i="4" s="1"/>
  <c r="J173" i="4" s="1"/>
  <c r="K26" i="15"/>
  <c r="K51" i="15" s="1"/>
  <c r="K95" i="15"/>
  <c r="K25" i="15"/>
  <c r="K19" i="15"/>
  <c r="K94" i="15" s="1"/>
  <c r="L24" i="15"/>
  <c r="L92" i="15" s="1"/>
  <c r="N121" i="4" l="1"/>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M27" i="4"/>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W21" i="4" s="1"/>
  <c r="W21" i="15" s="1"/>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U28" i="4" l="1"/>
  <c r="U29" i="4" s="1"/>
  <c r="U30" i="4" s="1"/>
  <c r="U40" i="4" s="1"/>
  <c r="W22" i="4"/>
  <c r="W114" i="4"/>
  <c r="W121" i="4"/>
  <c r="W20" i="4"/>
  <c r="W23" i="4"/>
  <c r="W33" i="4"/>
  <c r="W34" i="4"/>
  <c r="D149" i="4" s="1"/>
  <c r="P17" i="1" s="1"/>
  <c r="P19" i="1" s="1"/>
  <c r="X17" i="4"/>
  <c r="W37" i="4"/>
  <c r="W36" i="4"/>
  <c r="W95" i="15"/>
  <c r="W26" i="15"/>
  <c r="W19" i="15"/>
  <c r="W94" i="15" s="1"/>
  <c r="W25" i="15"/>
  <c r="Z18" i="15"/>
  <c r="Y23" i="15"/>
  <c r="Y91" i="15" s="1"/>
  <c r="Z22" i="15"/>
  <c r="W26" i="4"/>
  <c r="X21" i="4"/>
  <c r="X21" i="15" s="1"/>
  <c r="I59" i="4"/>
  <c r="J58" i="4" s="1"/>
  <c r="V26" i="4"/>
  <c r="V27" i="4"/>
  <c r="V38" i="4"/>
  <c r="T103" i="4"/>
  <c r="V21" i="15"/>
  <c r="U26" i="15"/>
  <c r="U51" i="15" s="1"/>
  <c r="U95" i="15"/>
  <c r="U25" i="15"/>
  <c r="U19" i="15"/>
  <c r="U94" i="15" s="1"/>
  <c r="T66" i="15"/>
  <c r="T67" i="15" s="1"/>
  <c r="T27" i="15"/>
  <c r="T80" i="15" s="1"/>
  <c r="Z51" i="1"/>
  <c r="V24" i="15"/>
  <c r="V92" i="15" s="1"/>
  <c r="X22" i="4" l="1"/>
  <c r="X114" i="4"/>
  <c r="X121" i="4"/>
  <c r="X98" i="4"/>
  <c r="W27" i="4"/>
  <c r="W28" i="4" s="1"/>
  <c r="W29" i="4" s="1"/>
  <c r="W30" i="4" s="1"/>
  <c r="X20" i="4"/>
  <c r="X23" i="4"/>
  <c r="X33" i="4"/>
  <c r="X34" i="4"/>
  <c r="Y17" i="4"/>
  <c r="X37" i="4"/>
  <c r="X36" i="4"/>
  <c r="W38" i="4"/>
  <c r="X26" i="15"/>
  <c r="X95" i="15"/>
  <c r="X25" i="15"/>
  <c r="X19" i="15"/>
  <c r="X94" i="15" s="1"/>
  <c r="W27" i="15"/>
  <c r="W80" i="15" s="1"/>
  <c r="W66" i="15"/>
  <c r="W67" i="15" s="1"/>
  <c r="AA22" i="15"/>
  <c r="Z23" i="15"/>
  <c r="Z91" i="15" s="1"/>
  <c r="AA18" i="15"/>
  <c r="Y21" i="4"/>
  <c r="Y21" i="15" s="1"/>
  <c r="X26" i="4"/>
  <c r="V28" i="4"/>
  <c r="V29" i="4" s="1"/>
  <c r="V30" i="4" s="1"/>
  <c r="V40" i="4" s="1"/>
  <c r="J52" i="4"/>
  <c r="K51" i="4" s="1"/>
  <c r="U103" i="4"/>
  <c r="Z52" i="1"/>
  <c r="U27" i="15"/>
  <c r="U80" i="15" s="1"/>
  <c r="U66" i="15"/>
  <c r="U67" i="15" s="1"/>
  <c r="V25" i="15"/>
  <c r="V95" i="15"/>
  <c r="V26" i="15"/>
  <c r="V19" i="15"/>
  <c r="V94" i="15" s="1"/>
  <c r="Y22" i="4" l="1"/>
  <c r="Y114" i="4"/>
  <c r="Y121" i="4"/>
  <c r="Y98" i="4"/>
  <c r="W40" i="4"/>
  <c r="W103" i="4"/>
  <c r="X27" i="4"/>
  <c r="X28" i="4" s="1"/>
  <c r="X29" i="4" s="1"/>
  <c r="X30" i="4" s="1"/>
  <c r="X27" i="15"/>
  <c r="X80" i="15" s="1"/>
  <c r="X66" i="15"/>
  <c r="X67" i="15" s="1"/>
  <c r="X38" i="4"/>
  <c r="Y37" i="4"/>
  <c r="Y20" i="4"/>
  <c r="Y23" i="4"/>
  <c r="Y33" i="4"/>
  <c r="Y34" i="4"/>
  <c r="Z17" i="4"/>
  <c r="Y36" i="4"/>
  <c r="Y26" i="15"/>
  <c r="Y95" i="15"/>
  <c r="Y19" i="15"/>
  <c r="Y94" i="15" s="1"/>
  <c r="Y25" i="15"/>
  <c r="V51" i="15"/>
  <c r="W51" i="15"/>
  <c r="X51" i="15"/>
  <c r="AB18" i="15"/>
  <c r="AB22" i="15"/>
  <c r="AA23" i="15"/>
  <c r="AA91" i="15" s="1"/>
  <c r="Z21" i="4"/>
  <c r="Z21" i="15" s="1"/>
  <c r="Y26" i="4"/>
  <c r="J59" i="4"/>
  <c r="K58" i="4" s="1"/>
  <c r="K115" i="4"/>
  <c r="K45" i="4" s="1"/>
  <c r="V103" i="4"/>
  <c r="V27" i="15"/>
  <c r="V80" i="15" s="1"/>
  <c r="V66" i="15"/>
  <c r="V67" i="15" s="1"/>
  <c r="Z56" i="1"/>
  <c r="Z22" i="4" l="1"/>
  <c r="Z121" i="4"/>
  <c r="Z114" i="4"/>
  <c r="Z98" i="4"/>
  <c r="X40" i="4"/>
  <c r="X103" i="4"/>
  <c r="X104" i="4" s="1"/>
  <c r="Y66" i="15"/>
  <c r="Y67" i="15" s="1"/>
  <c r="Y27" i="15"/>
  <c r="Y80" i="15" s="1"/>
  <c r="Y38" i="4"/>
  <c r="Y51" i="15"/>
  <c r="Y27" i="4"/>
  <c r="Y28" i="4" s="1"/>
  <c r="Z95" i="15"/>
  <c r="Z26" i="15"/>
  <c r="Z51" i="15" s="1"/>
  <c r="Z19" i="15"/>
  <c r="Z94" i="15" s="1"/>
  <c r="Z25" i="15"/>
  <c r="Z66" i="15" s="1"/>
  <c r="Z67" i="15" s="1"/>
  <c r="AA17" i="4"/>
  <c r="Z37" i="4"/>
  <c r="Z20" i="4"/>
  <c r="Z23" i="4"/>
  <c r="Z33" i="4"/>
  <c r="Z34" i="4"/>
  <c r="Z36" i="4"/>
  <c r="AB23" i="15"/>
  <c r="AB91" i="15" s="1"/>
  <c r="Z26" i="4"/>
  <c r="AA21" i="4"/>
  <c r="AA21" i="15" s="1"/>
  <c r="Z55" i="1"/>
  <c r="AA22" i="4" l="1"/>
  <c r="AA114" i="4"/>
  <c r="AA121" i="4"/>
  <c r="AA98" i="4"/>
  <c r="K122" i="4"/>
  <c r="K46" i="4" s="1"/>
  <c r="K22" i="16" s="1"/>
  <c r="Y29" i="4"/>
  <c r="Y30" i="4" s="1"/>
  <c r="Z27" i="4"/>
  <c r="Z28" i="4" s="1"/>
  <c r="Z29" i="4" s="1"/>
  <c r="Z30" i="4" s="1"/>
  <c r="Z27" i="15"/>
  <c r="Z80" i="15" s="1"/>
  <c r="Z38" i="4"/>
  <c r="AA20" i="4"/>
  <c r="AB17" i="4"/>
  <c r="AA23" i="4"/>
  <c r="AA34" i="4"/>
  <c r="AA33" i="4"/>
  <c r="AA37" i="4"/>
  <c r="AA36" i="4"/>
  <c r="AA95" i="15"/>
  <c r="AA26" i="15"/>
  <c r="AA51" i="15" s="1"/>
  <c r="AA19" i="15"/>
  <c r="AA94" i="15" s="1"/>
  <c r="AA25" i="15"/>
  <c r="AA26" i="4"/>
  <c r="AB21" i="4"/>
  <c r="K52" i="4"/>
  <c r="L51" i="4" s="1"/>
  <c r="AB22" i="4" l="1"/>
  <c r="AB114" i="4"/>
  <c r="AB121" i="4"/>
  <c r="AB98" i="4"/>
  <c r="AA27" i="15"/>
  <c r="AA80" i="15" s="1"/>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103" i="4" l="1"/>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66" i="1" l="1"/>
  <c r="P37" i="1"/>
  <c r="E39" i="1"/>
  <c r="D98" i="4" l="1"/>
  <c r="E98" i="4"/>
  <c r="E104" i="4" s="1"/>
  <c r="C101" i="4"/>
  <c r="D99" i="4" s="1"/>
  <c r="C92" i="1"/>
  <c r="D134" i="4"/>
  <c r="F98" i="4"/>
  <c r="H98" i="4"/>
  <c r="G98" i="4"/>
  <c r="I98" i="4"/>
  <c r="J98" i="4"/>
  <c r="K98" i="4"/>
  <c r="L98" i="4"/>
  <c r="M98" i="4"/>
  <c r="N98" i="4"/>
  <c r="O98" i="4"/>
  <c r="P98" i="4"/>
  <c r="Q98" i="4"/>
  <c r="R98" i="4"/>
  <c r="S98" i="4"/>
  <c r="T98" i="4"/>
  <c r="U98" i="4"/>
  <c r="V98" i="4"/>
  <c r="W98" i="4"/>
  <c r="H23" i="1"/>
  <c r="E73" i="1"/>
  <c r="D73" i="1"/>
  <c r="C73" i="1"/>
  <c r="G104" i="4" l="1"/>
  <c r="P104" i="4"/>
  <c r="O104" i="4"/>
  <c r="V104" i="4"/>
  <c r="F104" i="4"/>
  <c r="M104" i="4"/>
  <c r="T104" i="4"/>
  <c r="S104" i="4"/>
  <c r="K104" i="4"/>
  <c r="D160" i="4"/>
  <c r="D42" i="4"/>
  <c r="D113" i="4" s="1"/>
  <c r="W104" i="4"/>
  <c r="H104" i="4"/>
  <c r="N104" i="4"/>
  <c r="U104" i="4"/>
  <c r="L104" i="4"/>
  <c r="R104" i="4"/>
  <c r="J104" i="4"/>
  <c r="Q104" i="4"/>
  <c r="I104" i="4"/>
  <c r="D100" i="4"/>
  <c r="D104" i="4"/>
  <c r="D105" i="4" s="1"/>
  <c r="C69" i="16"/>
  <c r="E51" i="1"/>
  <c r="H49" i="1"/>
  <c r="H50" i="1" s="1"/>
  <c r="P38" i="1"/>
  <c r="P39" i="1" s="1"/>
  <c r="C56" i="16"/>
  <c r="Y60" i="1"/>
  <c r="Z65" i="1" s="1"/>
  <c r="P67" i="1"/>
  <c r="P68" i="1" s="1"/>
  <c r="P22" i="1"/>
  <c r="H24" i="1"/>
  <c r="H32" i="1" s="1"/>
  <c r="C97" i="1"/>
  <c r="D101" i="4" l="1"/>
  <c r="D75" i="4"/>
  <c r="D161" i="4"/>
  <c r="E105" i="4"/>
  <c r="F105" i="4" s="1"/>
  <c r="G105" i="4" s="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P23" i="1"/>
  <c r="P24" i="1" s="1"/>
  <c r="D76" i="4"/>
  <c r="E76" i="4" s="1"/>
  <c r="D58" i="4"/>
  <c r="E37" i="16"/>
  <c r="H37" i="16"/>
  <c r="G37" i="16"/>
  <c r="F37" i="16"/>
  <c r="D133" i="4"/>
  <c r="D37" i="16"/>
  <c r="C87" i="4"/>
  <c r="C80" i="4"/>
  <c r="E56" i="1"/>
  <c r="F114" i="4" s="1"/>
  <c r="D58" i="1"/>
  <c r="H121" i="4" s="1"/>
  <c r="D59" i="1"/>
  <c r="I121" i="4" s="1"/>
  <c r="D57" i="1"/>
  <c r="G121" i="4" s="1"/>
  <c r="E55" i="1"/>
  <c r="E114" i="4" s="1"/>
  <c r="E58" i="1"/>
  <c r="H114" i="4" s="1"/>
  <c r="D54" i="1"/>
  <c r="H55" i="1"/>
  <c r="D51" i="4" s="1"/>
  <c r="E59" i="1"/>
  <c r="I114" i="4" s="1"/>
  <c r="E57" i="1"/>
  <c r="E54" i="1"/>
  <c r="D114" i="4" s="1"/>
  <c r="D56" i="1"/>
  <c r="F121" i="4" s="1"/>
  <c r="D55" i="1"/>
  <c r="E121" i="4" s="1"/>
  <c r="C93" i="16"/>
  <c r="C71" i="16"/>
  <c r="O50" i="1"/>
  <c r="C92" i="16"/>
  <c r="P50" i="1"/>
  <c r="C58" i="16"/>
  <c r="C105" i="4" l="1"/>
  <c r="P32" i="1" s="1"/>
  <c r="E99" i="4"/>
  <c r="D121" i="4"/>
  <c r="D60" i="1"/>
  <c r="C81" i="4"/>
  <c r="C49" i="15"/>
  <c r="C53" i="15" s="1"/>
  <c r="C56" i="15" s="1"/>
  <c r="C24" i="16"/>
  <c r="E45" i="4"/>
  <c r="C88" i="4"/>
  <c r="C68" i="15"/>
  <c r="F166" i="4"/>
  <c r="F46" i="4"/>
  <c r="G166" i="4"/>
  <c r="G46" i="4"/>
  <c r="G22" i="16" s="1"/>
  <c r="F76" i="4"/>
  <c r="C73" i="16"/>
  <c r="C89" i="16" s="1"/>
  <c r="C98" i="16"/>
  <c r="C97" i="16"/>
  <c r="C60" i="16"/>
  <c r="D45" i="4"/>
  <c r="D49" i="4" s="1"/>
  <c r="D50" i="4" s="1"/>
  <c r="D116" i="4"/>
  <c r="D117" i="4"/>
  <c r="D72" i="4" s="1"/>
  <c r="I166" i="4"/>
  <c r="I46" i="4"/>
  <c r="H45" i="4"/>
  <c r="E166" i="4"/>
  <c r="E46" i="4"/>
  <c r="E60" i="1"/>
  <c r="G114" i="4"/>
  <c r="H166" i="4"/>
  <c r="H46" i="4"/>
  <c r="I45" i="4"/>
  <c r="F45" i="4"/>
  <c r="E100" i="4" l="1"/>
  <c r="E42" i="4"/>
  <c r="E113" i="4" s="1"/>
  <c r="E160" i="4"/>
  <c r="E49" i="4"/>
  <c r="E50" i="4" s="1"/>
  <c r="E53" i="4" s="1"/>
  <c r="E120" i="4" s="1"/>
  <c r="E124" i="4" s="1"/>
  <c r="E70" i="4" s="1"/>
  <c r="I171" i="4"/>
  <c r="I173" i="4"/>
  <c r="I168" i="4"/>
  <c r="I22" i="16"/>
  <c r="F171" i="4"/>
  <c r="F173" i="4"/>
  <c r="F168" i="4"/>
  <c r="C69" i="15"/>
  <c r="E22" i="16"/>
  <c r="D52" i="4"/>
  <c r="D71" i="4" s="1"/>
  <c r="D27" i="16" s="1"/>
  <c r="D53" i="4"/>
  <c r="C88" i="16"/>
  <c r="D155" i="4"/>
  <c r="D28" i="16"/>
  <c r="D46" i="4"/>
  <c r="D22" i="16" s="1"/>
  <c r="D166" i="4"/>
  <c r="E171" i="4"/>
  <c r="E173" i="4"/>
  <c r="E168" i="4"/>
  <c r="C84" i="15"/>
  <c r="Y62" i="1"/>
  <c r="G76" i="4"/>
  <c r="H171" i="4"/>
  <c r="H173" i="4"/>
  <c r="H168" i="4"/>
  <c r="G171" i="4"/>
  <c r="G173" i="4"/>
  <c r="G168" i="4"/>
  <c r="H22" i="16"/>
  <c r="G45" i="4"/>
  <c r="F22" i="16"/>
  <c r="E123" i="4" l="1"/>
  <c r="E75" i="4"/>
  <c r="E161" i="4"/>
  <c r="E101" i="4"/>
  <c r="E116" i="4"/>
  <c r="E117" i="4"/>
  <c r="E72" i="4" s="1"/>
  <c r="E56" i="4"/>
  <c r="E57" i="4" s="1"/>
  <c r="E60" i="4" s="1"/>
  <c r="E62" i="4" s="1"/>
  <c r="E21" i="16" s="1"/>
  <c r="E24" i="16" s="1"/>
  <c r="E36" i="16" s="1"/>
  <c r="E38" i="16" s="1"/>
  <c r="D56" i="4"/>
  <c r="D57" i="4" s="1"/>
  <c r="D120" i="4"/>
  <c r="E154" i="4"/>
  <c r="E29" i="16"/>
  <c r="D171" i="4"/>
  <c r="D173" i="4"/>
  <c r="D174" i="4" s="1"/>
  <c r="E174" i="4" s="1"/>
  <c r="F174" i="4" s="1"/>
  <c r="G174" i="4" s="1"/>
  <c r="H174" i="4" s="1"/>
  <c r="I174" i="4" s="1"/>
  <c r="J174" i="4" s="1"/>
  <c r="K174" i="4" s="1"/>
  <c r="L174" i="4" s="1"/>
  <c r="M174" i="4" s="1"/>
  <c r="D168" i="4"/>
  <c r="H76" i="4"/>
  <c r="I76" i="4" s="1"/>
  <c r="J76" i="4" s="1"/>
  <c r="E80" i="4" l="1"/>
  <c r="E84" i="4" s="1"/>
  <c r="E155" i="4"/>
  <c r="E28" i="16"/>
  <c r="E73" i="4"/>
  <c r="E87" i="4" s="1"/>
  <c r="E68" i="15" s="1"/>
  <c r="E69" i="15" s="1"/>
  <c r="E31" i="16"/>
  <c r="E57" i="16" s="1"/>
  <c r="E70" i="16" s="1"/>
  <c r="F99" i="4"/>
  <c r="D59" i="4"/>
  <c r="D69" i="4" s="1"/>
  <c r="D60" i="4"/>
  <c r="D62" i="4" s="1"/>
  <c r="E40" i="16"/>
  <c r="E41" i="16" s="1"/>
  <c r="E43" i="16" s="1"/>
  <c r="K76" i="4"/>
  <c r="L76" i="4" s="1"/>
  <c r="D123" i="4"/>
  <c r="D124" i="4"/>
  <c r="D70" i="4" s="1"/>
  <c r="E152" i="4" l="1"/>
  <c r="E159" i="4" s="1"/>
  <c r="F160" i="4"/>
  <c r="F42" i="4"/>
  <c r="F100" i="4"/>
  <c r="D80" i="4"/>
  <c r="D21" i="16"/>
  <c r="D24" i="16" s="1"/>
  <c r="D36" i="16" s="1"/>
  <c r="D38" i="16" s="1"/>
  <c r="E44" i="16"/>
  <c r="E48" i="16" s="1"/>
  <c r="D154" i="4"/>
  <c r="D29" i="16"/>
  <c r="M76" i="4"/>
  <c r="N76" i="4" s="1"/>
  <c r="D30" i="16"/>
  <c r="D153" i="4"/>
  <c r="E138" i="4" s="1"/>
  <c r="D73" i="4"/>
  <c r="D87" i="4" s="1"/>
  <c r="F75" i="4" l="1"/>
  <c r="F161" i="4"/>
  <c r="F101" i="4"/>
  <c r="F113" i="4"/>
  <c r="F49" i="4"/>
  <c r="F50" i="4" s="1"/>
  <c r="F53" i="4" s="1"/>
  <c r="F120" i="4" s="1"/>
  <c r="E45" i="16"/>
  <c r="E49" i="16" s="1"/>
  <c r="E69" i="16" s="1"/>
  <c r="E71" i="16" s="1"/>
  <c r="E98" i="16" s="1"/>
  <c r="O76" i="4"/>
  <c r="D40" i="16"/>
  <c r="D41" i="16" s="1"/>
  <c r="D43" i="16" s="1"/>
  <c r="D152" i="4"/>
  <c r="D84" i="4"/>
  <c r="D81" i="4"/>
  <c r="E81" i="4" s="1"/>
  <c r="E56" i="16"/>
  <c r="E58" i="16" s="1"/>
  <c r="E97" i="16" s="1"/>
  <c r="D31" i="16"/>
  <c r="D57" i="16" s="1"/>
  <c r="D70" i="16" s="1"/>
  <c r="D68" i="15"/>
  <c r="D88" i="4"/>
  <c r="E88" i="4" s="1"/>
  <c r="E50" i="16" l="1"/>
  <c r="F123" i="4"/>
  <c r="F124" i="4"/>
  <c r="F70" i="4" s="1"/>
  <c r="G99" i="4"/>
  <c r="F56" i="4"/>
  <c r="F57" i="4" s="1"/>
  <c r="F60" i="4" s="1"/>
  <c r="F62" i="4" s="1"/>
  <c r="F117" i="4"/>
  <c r="F72" i="4" s="1"/>
  <c r="F116" i="4"/>
  <c r="P76" i="4"/>
  <c r="D159" i="4"/>
  <c r="D44" i="16"/>
  <c r="D48" i="16" s="1"/>
  <c r="D69" i="15"/>
  <c r="G42" i="4" l="1"/>
  <c r="G160" i="4"/>
  <c r="G100" i="4"/>
  <c r="F80" i="4"/>
  <c r="F21" i="16"/>
  <c r="F24" i="16" s="1"/>
  <c r="F36" i="16" s="1"/>
  <c r="F38" i="16" s="1"/>
  <c r="F40" i="16" s="1"/>
  <c r="F41" i="16" s="1"/>
  <c r="F43" i="16" s="1"/>
  <c r="F155" i="4"/>
  <c r="F28" i="16"/>
  <c r="F29" i="16"/>
  <c r="F154" i="4"/>
  <c r="F73" i="4"/>
  <c r="F87" i="4" s="1"/>
  <c r="Q76" i="4"/>
  <c r="D56" i="16"/>
  <c r="D45" i="16"/>
  <c r="D49" i="16" s="1"/>
  <c r="D69" i="16" s="1"/>
  <c r="F31" i="16" l="1"/>
  <c r="F57" i="16" s="1"/>
  <c r="F70" i="16" s="1"/>
  <c r="F44" i="16"/>
  <c r="F48" i="16" s="1"/>
  <c r="F84" i="4"/>
  <c r="F152" i="4"/>
  <c r="F159" i="4" s="1"/>
  <c r="F81" i="4"/>
  <c r="G75" i="4"/>
  <c r="G161" i="4"/>
  <c r="G101" i="4"/>
  <c r="F68" i="15"/>
  <c r="F69" i="15" s="1"/>
  <c r="F88" i="4"/>
  <c r="G113" i="4"/>
  <c r="G49" i="4"/>
  <c r="G50" i="4" s="1"/>
  <c r="G53" i="4" s="1"/>
  <c r="G120" i="4" s="1"/>
  <c r="D58" i="16"/>
  <c r="R76" i="4"/>
  <c r="D71" i="16"/>
  <c r="D50" i="16"/>
  <c r="G123" i="4" l="1"/>
  <c r="G124" i="4"/>
  <c r="G70" i="4" s="1"/>
  <c r="H99" i="4"/>
  <c r="G116" i="4"/>
  <c r="G117" i="4"/>
  <c r="G72" i="4" s="1"/>
  <c r="G56" i="4"/>
  <c r="G57" i="4" s="1"/>
  <c r="G60" i="4" s="1"/>
  <c r="G62" i="4" s="1"/>
  <c r="F45" i="16"/>
  <c r="F49" i="16" s="1"/>
  <c r="F69" i="16" s="1"/>
  <c r="F71" i="16" s="1"/>
  <c r="F98" i="16" s="1"/>
  <c r="F56" i="16"/>
  <c r="F58" i="16" s="1"/>
  <c r="F97" i="16" s="1"/>
  <c r="S76" i="4"/>
  <c r="D97" i="16"/>
  <c r="E59" i="16"/>
  <c r="D59" i="16"/>
  <c r="D60" i="16"/>
  <c r="D73" i="16"/>
  <c r="D98" i="16"/>
  <c r="D72" i="16"/>
  <c r="E72" i="16"/>
  <c r="F72" i="16" l="1"/>
  <c r="F50" i="16"/>
  <c r="G80" i="4"/>
  <c r="G21" i="16"/>
  <c r="G24" i="16" s="1"/>
  <c r="G36" i="16" s="1"/>
  <c r="G38" i="16" s="1"/>
  <c r="G40" i="16" s="1"/>
  <c r="G41" i="16" s="1"/>
  <c r="G43" i="16" s="1"/>
  <c r="G155" i="4"/>
  <c r="G28" i="16"/>
  <c r="H42" i="4"/>
  <c r="H160" i="4"/>
  <c r="H100" i="4"/>
  <c r="G73" i="4"/>
  <c r="G87" i="4" s="1"/>
  <c r="G154" i="4"/>
  <c r="G29" i="16"/>
  <c r="F59" i="16"/>
  <c r="D88" i="16"/>
  <c r="E60" i="16"/>
  <c r="D89" i="16"/>
  <c r="E73" i="16"/>
  <c r="T76" i="4"/>
  <c r="G68" i="15" l="1"/>
  <c r="G69" i="15" s="1"/>
  <c r="G88" i="4"/>
  <c r="G44" i="16"/>
  <c r="G48" i="16" s="1"/>
  <c r="H75" i="4"/>
  <c r="H161" i="4"/>
  <c r="H101" i="4"/>
  <c r="H113" i="4"/>
  <c r="H49" i="4"/>
  <c r="H50" i="4" s="1"/>
  <c r="H53" i="4" s="1"/>
  <c r="H120" i="4" s="1"/>
  <c r="G31" i="16"/>
  <c r="G57" i="16" s="1"/>
  <c r="G70" i="16" s="1"/>
  <c r="G84" i="4"/>
  <c r="G152" i="4"/>
  <c r="G159" i="4" s="1"/>
  <c r="G81" i="4"/>
  <c r="E88" i="16"/>
  <c r="F60" i="16"/>
  <c r="E89" i="16"/>
  <c r="F73" i="16"/>
  <c r="U76" i="4"/>
  <c r="G45" i="16" l="1"/>
  <c r="G49" i="16" s="1"/>
  <c r="G69" i="16" s="1"/>
  <c r="G71" i="16" s="1"/>
  <c r="G98" i="16" s="1"/>
  <c r="I99" i="4"/>
  <c r="G72" i="16"/>
  <c r="H123" i="4"/>
  <c r="H124" i="4"/>
  <c r="H70" i="4" s="1"/>
  <c r="H56" i="4"/>
  <c r="H57" i="4" s="1"/>
  <c r="H60" i="4" s="1"/>
  <c r="H62" i="4" s="1"/>
  <c r="G56" i="16"/>
  <c r="G58" i="16" s="1"/>
  <c r="G50" i="16"/>
  <c r="H117" i="4"/>
  <c r="H72" i="4" s="1"/>
  <c r="H116" i="4"/>
  <c r="F88" i="16"/>
  <c r="V76" i="4"/>
  <c r="F89" i="16"/>
  <c r="G73" i="16"/>
  <c r="H155" i="4" l="1"/>
  <c r="H28" i="16"/>
  <c r="H73" i="4"/>
  <c r="H87" i="4" s="1"/>
  <c r="H29" i="16"/>
  <c r="H31" i="16" s="1"/>
  <c r="H57" i="16" s="1"/>
  <c r="H70" i="16" s="1"/>
  <c r="H154" i="4"/>
  <c r="H21" i="16"/>
  <c r="H24" i="16" s="1"/>
  <c r="H36" i="16" s="1"/>
  <c r="H38" i="16" s="1"/>
  <c r="H40" i="16" s="1"/>
  <c r="H41" i="16" s="1"/>
  <c r="H43" i="16" s="1"/>
  <c r="H80" i="4"/>
  <c r="I42" i="4"/>
  <c r="I160" i="4"/>
  <c r="I100" i="4"/>
  <c r="G97" i="16"/>
  <c r="G59" i="16"/>
  <c r="G60" i="16"/>
  <c r="G88" i="16" s="1"/>
  <c r="W76" i="4"/>
  <c r="G89" i="16"/>
  <c r="H44" i="16" l="1"/>
  <c r="H48" i="16" s="1"/>
  <c r="H152" i="4"/>
  <c r="H159" i="4" s="1"/>
  <c r="H84" i="4"/>
  <c r="H81" i="4"/>
  <c r="H68" i="15"/>
  <c r="H69" i="15" s="1"/>
  <c r="H88" i="4"/>
  <c r="I75" i="4"/>
  <c r="I161" i="4"/>
  <c r="I101" i="4"/>
  <c r="I113" i="4"/>
  <c r="I49" i="4"/>
  <c r="I50" i="4" s="1"/>
  <c r="I53" i="4" s="1"/>
  <c r="I120" i="4" s="1"/>
  <c r="X76" i="4"/>
  <c r="I124" i="4" l="1"/>
  <c r="I70" i="4" s="1"/>
  <c r="I123" i="4"/>
  <c r="I117" i="4"/>
  <c r="I72" i="4" s="1"/>
  <c r="I116" i="4"/>
  <c r="J99" i="4"/>
  <c r="I56" i="4"/>
  <c r="I57" i="4" s="1"/>
  <c r="I60" i="4" s="1"/>
  <c r="I62" i="4" s="1"/>
  <c r="H45" i="16"/>
  <c r="H49" i="16" s="1"/>
  <c r="H69" i="16" s="1"/>
  <c r="H71" i="16" s="1"/>
  <c r="H56" i="16"/>
  <c r="H58" i="16" s="1"/>
  <c r="Y76" i="4"/>
  <c r="H50" i="16" l="1"/>
  <c r="I21" i="16"/>
  <c r="I24" i="16" s="1"/>
  <c r="I36" i="16" s="1"/>
  <c r="I38" i="16" s="1"/>
  <c r="I41" i="16" s="1"/>
  <c r="I43" i="16" s="1"/>
  <c r="I80" i="4"/>
  <c r="I28" i="16"/>
  <c r="I155" i="4"/>
  <c r="H97" i="16"/>
  <c r="H59" i="16"/>
  <c r="H60" i="16"/>
  <c r="J42" i="4"/>
  <c r="J160" i="4"/>
  <c r="J100" i="4"/>
  <c r="I29" i="16"/>
  <c r="I154" i="4"/>
  <c r="I73" i="4"/>
  <c r="I87" i="4" s="1"/>
  <c r="H98" i="16"/>
  <c r="H72" i="16"/>
  <c r="H73" i="16"/>
  <c r="Z76" i="4"/>
  <c r="I31" i="16" l="1"/>
  <c r="I57" i="16" s="1"/>
  <c r="I70" i="16" s="1"/>
  <c r="J75" i="4"/>
  <c r="J161" i="4"/>
  <c r="J101" i="4"/>
  <c r="I68" i="15"/>
  <c r="I69" i="15" s="1"/>
  <c r="I88" i="4"/>
  <c r="I84" i="4"/>
  <c r="I152" i="4"/>
  <c r="I159" i="4" s="1"/>
  <c r="I81" i="4"/>
  <c r="H89" i="16"/>
  <c r="H88" i="16"/>
  <c r="J49" i="4"/>
  <c r="J50" i="4" s="1"/>
  <c r="J53" i="4" s="1"/>
  <c r="J56" i="4" s="1"/>
  <c r="J57" i="4" s="1"/>
  <c r="J60" i="4" s="1"/>
  <c r="J62" i="4" s="1"/>
  <c r="J113" i="4"/>
  <c r="I44" i="16"/>
  <c r="I48" i="16" s="1"/>
  <c r="AA76" i="4"/>
  <c r="I45" i="16" l="1"/>
  <c r="I49" i="16" s="1"/>
  <c r="I69" i="16" s="1"/>
  <c r="I71" i="16" s="1"/>
  <c r="I73" i="16" s="1"/>
  <c r="I89" i="16" s="1"/>
  <c r="J21" i="16"/>
  <c r="J24" i="16" s="1"/>
  <c r="J36" i="16" s="1"/>
  <c r="J38" i="16" s="1"/>
  <c r="J41" i="16" s="1"/>
  <c r="J43" i="16" s="1"/>
  <c r="J80" i="4"/>
  <c r="J81" i="4" s="1"/>
  <c r="J117" i="4"/>
  <c r="J72" i="4" s="1"/>
  <c r="J116" i="4"/>
  <c r="K99" i="4"/>
  <c r="J120" i="4"/>
  <c r="I56" i="16"/>
  <c r="I58" i="16" s="1"/>
  <c r="AB76" i="4"/>
  <c r="I98" i="16" l="1"/>
  <c r="I50" i="16"/>
  <c r="I72" i="16"/>
  <c r="I97" i="16"/>
  <c r="I59" i="16"/>
  <c r="C66" i="16" s="1"/>
  <c r="I60" i="16"/>
  <c r="J28" i="16"/>
  <c r="J155" i="4"/>
  <c r="J152" i="4"/>
  <c r="J159" i="4" s="1"/>
  <c r="J84" i="4"/>
  <c r="K160" i="4"/>
  <c r="K42" i="4"/>
  <c r="K100" i="4"/>
  <c r="J123" i="4"/>
  <c r="J124" i="4"/>
  <c r="J70" i="4" s="1"/>
  <c r="J44" i="16"/>
  <c r="J48" i="16" s="1"/>
  <c r="J56" i="16" l="1"/>
  <c r="I88" i="16"/>
  <c r="K75" i="4"/>
  <c r="K161" i="4"/>
  <c r="K101" i="4"/>
  <c r="J29" i="16"/>
  <c r="J31" i="16" s="1"/>
  <c r="J73" i="4"/>
  <c r="J87" i="4" s="1"/>
  <c r="J154" i="4"/>
  <c r="K49" i="4"/>
  <c r="K50" i="4" s="1"/>
  <c r="K53" i="4" s="1"/>
  <c r="K120" i="4" s="1"/>
  <c r="K113" i="4"/>
  <c r="J45" i="16"/>
  <c r="J49" i="16" s="1"/>
  <c r="J69" i="16" s="1"/>
  <c r="K56" i="4" l="1"/>
  <c r="K57" i="4" s="1"/>
  <c r="K60" i="4" s="1"/>
  <c r="K62" i="4" s="1"/>
  <c r="K80" i="4" s="1"/>
  <c r="K123" i="4"/>
  <c r="K124" i="4"/>
  <c r="K70" i="4" s="1"/>
  <c r="L99" i="4"/>
  <c r="J57" i="16"/>
  <c r="J70" i="16" s="1"/>
  <c r="J71" i="16" s="1"/>
  <c r="J50" i="16"/>
  <c r="K116" i="4"/>
  <c r="K117" i="4"/>
  <c r="K72" i="4" s="1"/>
  <c r="J68" i="15"/>
  <c r="J69" i="15" s="1"/>
  <c r="J88" i="4"/>
  <c r="K21" i="16" l="1"/>
  <c r="K24" i="16" s="1"/>
  <c r="K36" i="16" s="1"/>
  <c r="K38" i="16" s="1"/>
  <c r="K41" i="16" s="1"/>
  <c r="K43" i="16" s="1"/>
  <c r="J98" i="16"/>
  <c r="J73" i="16"/>
  <c r="J72" i="16"/>
  <c r="J58" i="16"/>
  <c r="K155" i="4"/>
  <c r="K28" i="16"/>
  <c r="L42" i="4"/>
  <c r="L160" i="4"/>
  <c r="L100" i="4"/>
  <c r="K84" i="4"/>
  <c r="K152" i="4"/>
  <c r="K81" i="4"/>
  <c r="K29" i="16"/>
  <c r="K154" i="4"/>
  <c r="K73" i="4"/>
  <c r="K87" i="4" s="1"/>
  <c r="K88" i="4" s="1"/>
  <c r="K44" i="16"/>
  <c r="K48" i="16" s="1"/>
  <c r="K45" i="16" l="1"/>
  <c r="K49" i="16" s="1"/>
  <c r="K69" i="16" s="1"/>
  <c r="K159" i="4"/>
  <c r="L75" i="4"/>
  <c r="L161" i="4"/>
  <c r="L101" i="4"/>
  <c r="K56" i="16"/>
  <c r="J97" i="16"/>
  <c r="J59" i="16"/>
  <c r="J60" i="16"/>
  <c r="J89" i="16"/>
  <c r="K68" i="15"/>
  <c r="K31" i="16"/>
  <c r="L113" i="4"/>
  <c r="L49" i="4"/>
  <c r="L50" i="4" s="1"/>
  <c r="L53" i="4" s="1"/>
  <c r="L120" i="4" s="1"/>
  <c r="K50" i="16" l="1"/>
  <c r="L124" i="4"/>
  <c r="L70" i="4" s="1"/>
  <c r="L123" i="4"/>
  <c r="L56" i="4"/>
  <c r="L117" i="4"/>
  <c r="L72" i="4" s="1"/>
  <c r="L116" i="4"/>
  <c r="J88" i="16"/>
  <c r="M99" i="4"/>
  <c r="K57" i="16"/>
  <c r="K70" i="16" s="1"/>
  <c r="K71" i="16" s="1"/>
  <c r="K69" i="15"/>
  <c r="K58" i="16" l="1"/>
  <c r="K60" i="16" s="1"/>
  <c r="K88" i="16" s="1"/>
  <c r="L155" i="4"/>
  <c r="L28" i="16"/>
  <c r="K98" i="16"/>
  <c r="K72" i="16"/>
  <c r="K73" i="16"/>
  <c r="L57" i="4"/>
  <c r="L60" i="4" s="1"/>
  <c r="L62" i="4" s="1"/>
  <c r="K97" i="16"/>
  <c r="K59" i="16"/>
  <c r="M160" i="4"/>
  <c r="M42" i="4"/>
  <c r="M100" i="4"/>
  <c r="L73" i="4"/>
  <c r="L29" i="16"/>
  <c r="L154" i="4"/>
  <c r="L31" i="16" l="1"/>
  <c r="L21" i="16"/>
  <c r="L24" i="16" s="1"/>
  <c r="L36" i="16" s="1"/>
  <c r="L38" i="16" s="1"/>
  <c r="L41" i="16" s="1"/>
  <c r="L43" i="16" s="1"/>
  <c r="L87" i="4"/>
  <c r="L80" i="4"/>
  <c r="M49" i="4"/>
  <c r="M50" i="4" s="1"/>
  <c r="M53" i="4" s="1"/>
  <c r="M120" i="4" s="1"/>
  <c r="M113" i="4"/>
  <c r="L57" i="16"/>
  <c r="L70" i="16" s="1"/>
  <c r="M75" i="4"/>
  <c r="M161" i="4"/>
  <c r="M101" i="4"/>
  <c r="K89" i="16"/>
  <c r="M116" i="4" l="1"/>
  <c r="M117" i="4"/>
  <c r="M72" i="4" s="1"/>
  <c r="L84" i="4"/>
  <c r="L152" i="4"/>
  <c r="L81" i="4"/>
  <c r="M124" i="4"/>
  <c r="M70" i="4" s="1"/>
  <c r="M123" i="4"/>
  <c r="N99" i="4"/>
  <c r="L68" i="15"/>
  <c r="L88" i="4"/>
  <c r="M56" i="4"/>
  <c r="L44" i="16"/>
  <c r="L48" i="16" s="1"/>
  <c r="M154" i="4" l="1"/>
  <c r="M29" i="16"/>
  <c r="M73" i="4"/>
  <c r="L56" i="16"/>
  <c r="L69" i="15"/>
  <c r="N42" i="4"/>
  <c r="N160" i="4"/>
  <c r="N100" i="4"/>
  <c r="M155" i="4"/>
  <c r="M28" i="16"/>
  <c r="L45" i="16"/>
  <c r="L49" i="16" s="1"/>
  <c r="L69" i="16" s="1"/>
  <c r="L159" i="4"/>
  <c r="M57" i="4"/>
  <c r="M60" i="4" s="1"/>
  <c r="M62" i="4" s="1"/>
  <c r="M31" i="16" l="1"/>
  <c r="L71" i="16"/>
  <c r="L50" i="16"/>
  <c r="M57" i="16"/>
  <c r="M70" i="16" s="1"/>
  <c r="L58" i="16"/>
  <c r="N75" i="4"/>
  <c r="N161" i="4"/>
  <c r="N101" i="4"/>
  <c r="M21" i="16"/>
  <c r="M24" i="16" s="1"/>
  <c r="M36" i="16" s="1"/>
  <c r="M38" i="16" s="1"/>
  <c r="M41" i="16" s="1"/>
  <c r="M43" i="16" s="1"/>
  <c r="M80" i="4"/>
  <c r="M87" i="4"/>
  <c r="N113" i="4"/>
  <c r="N49" i="4"/>
  <c r="N50" i="4" s="1"/>
  <c r="N53" i="4" s="1"/>
  <c r="N120" i="4" s="1"/>
  <c r="N56" i="4" l="1"/>
  <c r="N57" i="4" s="1"/>
  <c r="N60" i="4" s="1"/>
  <c r="N62" i="4" s="1"/>
  <c r="N80" i="4" s="1"/>
  <c r="N116" i="4"/>
  <c r="N117" i="4"/>
  <c r="N72" i="4" s="1"/>
  <c r="M84" i="4"/>
  <c r="M152" i="4"/>
  <c r="M81" i="4"/>
  <c r="L97" i="16"/>
  <c r="L59" i="16"/>
  <c r="L60" i="16"/>
  <c r="M44" i="16"/>
  <c r="M48" i="16" s="1"/>
  <c r="O99" i="4"/>
  <c r="M68" i="15"/>
  <c r="M88" i="4"/>
  <c r="N124" i="4"/>
  <c r="N70" i="4" s="1"/>
  <c r="N123" i="4"/>
  <c r="L98" i="16"/>
  <c r="L72" i="16"/>
  <c r="L73" i="16"/>
  <c r="N21" i="16" l="1"/>
  <c r="N24" i="16" s="1"/>
  <c r="N36" i="16" s="1"/>
  <c r="N38" i="16" s="1"/>
  <c r="N41" i="16" s="1"/>
  <c r="N43" i="16" s="1"/>
  <c r="N44" i="16" s="1"/>
  <c r="N48" i="16" s="1"/>
  <c r="M45" i="16"/>
  <c r="M49" i="16" s="1"/>
  <c r="M69" i="16" s="1"/>
  <c r="M71" i="16" s="1"/>
  <c r="M73" i="16" s="1"/>
  <c r="N81" i="4"/>
  <c r="O42" i="4"/>
  <c r="O160" i="4"/>
  <c r="O100" i="4"/>
  <c r="N73" i="4"/>
  <c r="N87" i="4" s="1"/>
  <c r="N88" i="4" s="1"/>
  <c r="N154" i="4"/>
  <c r="N29" i="16"/>
  <c r="N155" i="4"/>
  <c r="N28" i="16"/>
  <c r="M56" i="16"/>
  <c r="M159" i="4"/>
  <c r="L89" i="16"/>
  <c r="N152" i="4"/>
  <c r="N159" i="4" s="1"/>
  <c r="N84" i="4"/>
  <c r="L88" i="16"/>
  <c r="M69" i="15"/>
  <c r="M50" i="16" l="1"/>
  <c r="N45" i="16"/>
  <c r="N49" i="16" s="1"/>
  <c r="N69" i="16" s="1"/>
  <c r="N31" i="16"/>
  <c r="N57" i="16" s="1"/>
  <c r="N70" i="16" s="1"/>
  <c r="N71" i="16" s="1"/>
  <c r="M89" i="16"/>
  <c r="M58" i="16"/>
  <c r="N68" i="15"/>
  <c r="O75" i="4"/>
  <c r="O161" i="4"/>
  <c r="O101" i="4"/>
  <c r="N56" i="16"/>
  <c r="M98" i="16"/>
  <c r="M72" i="16"/>
  <c r="O113" i="4"/>
  <c r="O49" i="4"/>
  <c r="O50" i="4" s="1"/>
  <c r="O53" i="4" s="1"/>
  <c r="O56" i="4" s="1"/>
  <c r="O57" i="4" s="1"/>
  <c r="O60" i="4" s="1"/>
  <c r="O62" i="4" s="1"/>
  <c r="N50" i="16" l="1"/>
  <c r="N58" i="16"/>
  <c r="N59" i="16" s="1"/>
  <c r="P99" i="4"/>
  <c r="O21" i="16"/>
  <c r="O24" i="16" s="1"/>
  <c r="O36" i="16" s="1"/>
  <c r="O38" i="16" s="1"/>
  <c r="O41" i="16" s="1"/>
  <c r="O43" i="16" s="1"/>
  <c r="O80" i="4"/>
  <c r="N98" i="16"/>
  <c r="N72" i="16"/>
  <c r="N97" i="16"/>
  <c r="M97" i="16"/>
  <c r="M59" i="16"/>
  <c r="M60" i="16"/>
  <c r="O120" i="4"/>
  <c r="N73" i="16"/>
  <c r="N69" i="15"/>
  <c r="O117" i="4"/>
  <c r="O72" i="4" s="1"/>
  <c r="O116" i="4"/>
  <c r="O84" i="4" l="1"/>
  <c r="O152" i="4"/>
  <c r="O81" i="4"/>
  <c r="O124" i="4"/>
  <c r="O70" i="4" s="1"/>
  <c r="O123" i="4"/>
  <c r="O28" i="16"/>
  <c r="O155" i="4"/>
  <c r="O44" i="16"/>
  <c r="O48" i="16" s="1"/>
  <c r="N89" i="16"/>
  <c r="N60" i="16"/>
  <c r="M88" i="16"/>
  <c r="P42" i="4"/>
  <c r="P160" i="4"/>
  <c r="P100" i="4"/>
  <c r="O45" i="16" l="1"/>
  <c r="O49" i="16" s="1"/>
  <c r="O69" i="16" s="1"/>
  <c r="P113" i="4"/>
  <c r="P49" i="4"/>
  <c r="P50" i="4" s="1"/>
  <c r="P53" i="4" s="1"/>
  <c r="P120" i="4" s="1"/>
  <c r="N88" i="16"/>
  <c r="O56" i="16"/>
  <c r="O159" i="4"/>
  <c r="O73" i="4"/>
  <c r="O87" i="4" s="1"/>
  <c r="O154" i="4"/>
  <c r="O29" i="16"/>
  <c r="O31" i="16" s="1"/>
  <c r="P75" i="4"/>
  <c r="P161" i="4"/>
  <c r="P101" i="4"/>
  <c r="O50" i="16" l="1"/>
  <c r="P56" i="4"/>
  <c r="P57" i="4" s="1"/>
  <c r="P60" i="4" s="1"/>
  <c r="P62" i="4" s="1"/>
  <c r="P21" i="16" s="1"/>
  <c r="P24" i="16" s="1"/>
  <c r="P36" i="16" s="1"/>
  <c r="P38" i="16" s="1"/>
  <c r="P41" i="16" s="1"/>
  <c r="P43" i="16" s="1"/>
  <c r="O57" i="16"/>
  <c r="O70" i="16" s="1"/>
  <c r="O71" i="16" s="1"/>
  <c r="Q99" i="4"/>
  <c r="O68" i="15"/>
  <c r="O69" i="15" s="1"/>
  <c r="O88" i="4"/>
  <c r="P124" i="4"/>
  <c r="P70" i="4" s="1"/>
  <c r="P123" i="4"/>
  <c r="P116" i="4"/>
  <c r="P117" i="4"/>
  <c r="P72" i="4" s="1"/>
  <c r="P80" i="4" l="1"/>
  <c r="O58" i="16"/>
  <c r="O59" i="16" s="1"/>
  <c r="O98" i="16"/>
  <c r="O72" i="16"/>
  <c r="O73" i="16"/>
  <c r="P155" i="4"/>
  <c r="P28" i="16"/>
  <c r="Q160" i="4"/>
  <c r="Q42" i="4"/>
  <c r="Q100" i="4"/>
  <c r="P152" i="4"/>
  <c r="P159" i="4" s="1"/>
  <c r="P84" i="4"/>
  <c r="P81" i="4"/>
  <c r="P154" i="4"/>
  <c r="P29" i="16"/>
  <c r="P73" i="4"/>
  <c r="P87" i="4" s="1"/>
  <c r="P44" i="16"/>
  <c r="P48" i="16" s="1"/>
  <c r="O97" i="16" l="1"/>
  <c r="O60" i="16"/>
  <c r="P31" i="16"/>
  <c r="P45" i="16"/>
  <c r="P49" i="16" s="1"/>
  <c r="P69" i="16" s="1"/>
  <c r="P57" i="16"/>
  <c r="P70" i="16" s="1"/>
  <c r="O88" i="16"/>
  <c r="O89" i="16"/>
  <c r="Q75" i="4"/>
  <c r="Q161" i="4"/>
  <c r="Q101" i="4"/>
  <c r="Q49" i="4"/>
  <c r="Q50" i="4" s="1"/>
  <c r="Q53" i="4" s="1"/>
  <c r="Q120" i="4" s="1"/>
  <c r="Q113" i="4"/>
  <c r="P56" i="16"/>
  <c r="P68" i="15"/>
  <c r="P69" i="15" s="1"/>
  <c r="P88" i="4"/>
  <c r="P50" i="16" l="1"/>
  <c r="P71" i="16"/>
  <c r="P98" i="16" s="1"/>
  <c r="Q56" i="4"/>
  <c r="Q117" i="4"/>
  <c r="Q72" i="4" s="1"/>
  <c r="Q116" i="4"/>
  <c r="R99" i="4"/>
  <c r="Q123" i="4"/>
  <c r="Q124" i="4"/>
  <c r="Q70" i="4" s="1"/>
  <c r="P58" i="16"/>
  <c r="P73" i="16" l="1"/>
  <c r="P72" i="16"/>
  <c r="P89" i="16"/>
  <c r="Q154" i="4"/>
  <c r="Q29" i="16"/>
  <c r="Q73" i="4"/>
  <c r="P97" i="16"/>
  <c r="P59" i="16"/>
  <c r="P60" i="16"/>
  <c r="Q155" i="4"/>
  <c r="Q28" i="16"/>
  <c r="R42" i="4"/>
  <c r="R160" i="4"/>
  <c r="R100" i="4"/>
  <c r="Q57" i="4"/>
  <c r="Q60" i="4" s="1"/>
  <c r="Q62" i="4" s="1"/>
  <c r="Q31" i="16" l="1"/>
  <c r="Q57" i="16" s="1"/>
  <c r="Q70" i="16" s="1"/>
  <c r="R75" i="4"/>
  <c r="R161" i="4"/>
  <c r="R101" i="4"/>
  <c r="R49" i="4"/>
  <c r="R50" i="4" s="1"/>
  <c r="R53" i="4" s="1"/>
  <c r="R56" i="4" s="1"/>
  <c r="R57" i="4" s="1"/>
  <c r="R60" i="4" s="1"/>
  <c r="R62" i="4" s="1"/>
  <c r="R113" i="4"/>
  <c r="P88" i="16"/>
  <c r="Q21" i="16"/>
  <c r="Q24" i="16" s="1"/>
  <c r="Q36" i="16" s="1"/>
  <c r="Q38" i="16" s="1"/>
  <c r="Q41" i="16" s="1"/>
  <c r="Q43" i="16" s="1"/>
  <c r="Q80" i="4"/>
  <c r="Q87" i="4"/>
  <c r="R120" i="4" l="1"/>
  <c r="R124" i="4" s="1"/>
  <c r="R70" i="4" s="1"/>
  <c r="R117" i="4"/>
  <c r="R72" i="4" s="1"/>
  <c r="R116" i="4"/>
  <c r="Q84" i="4"/>
  <c r="Q152" i="4"/>
  <c r="Q159" i="4" s="1"/>
  <c r="Q81" i="4"/>
  <c r="Q68" i="15"/>
  <c r="Q69" i="15" s="1"/>
  <c r="Q88" i="4"/>
  <c r="R21" i="16"/>
  <c r="R24" i="16" s="1"/>
  <c r="R36" i="16" s="1"/>
  <c r="R38" i="16" s="1"/>
  <c r="R41" i="16" s="1"/>
  <c r="R43" i="16" s="1"/>
  <c r="R80" i="4"/>
  <c r="Q44" i="16"/>
  <c r="Q48" i="16" s="1"/>
  <c r="S99" i="4"/>
  <c r="R123" i="4" l="1"/>
  <c r="Q45" i="16"/>
  <c r="Q49" i="16" s="1"/>
  <c r="Q69" i="16" s="1"/>
  <c r="R44" i="16"/>
  <c r="R48" i="16" s="1"/>
  <c r="R81" i="4"/>
  <c r="R84" i="4"/>
  <c r="R152" i="4"/>
  <c r="R159" i="4" s="1"/>
  <c r="R155" i="4"/>
  <c r="R28" i="16"/>
  <c r="S42" i="4"/>
  <c r="S160" i="4"/>
  <c r="S100" i="4"/>
  <c r="Q56" i="16"/>
  <c r="Q50" i="16"/>
  <c r="R88" i="4"/>
  <c r="Q71" i="16"/>
  <c r="R29" i="16"/>
  <c r="R154" i="4"/>
  <c r="R73" i="4"/>
  <c r="R87" i="4" s="1"/>
  <c r="R45" i="16" l="1"/>
  <c r="R49" i="16" s="1"/>
  <c r="R69" i="16" s="1"/>
  <c r="R31" i="16"/>
  <c r="R57" i="16"/>
  <c r="R70" i="16" s="1"/>
  <c r="R71" i="16" s="1"/>
  <c r="Q58" i="16"/>
  <c r="S49" i="4"/>
  <c r="S50" i="4" s="1"/>
  <c r="S53" i="4" s="1"/>
  <c r="S120" i="4" s="1"/>
  <c r="S113" i="4"/>
  <c r="Q98" i="16"/>
  <c r="Q72" i="16"/>
  <c r="Q73" i="16"/>
  <c r="R68" i="15"/>
  <c r="R69" i="15" s="1"/>
  <c r="S75" i="4"/>
  <c r="S161" i="4"/>
  <c r="S101" i="4"/>
  <c r="R56" i="16"/>
  <c r="R58" i="16" s="1"/>
  <c r="R50" i="16"/>
  <c r="S56" i="4" l="1"/>
  <c r="S57" i="4" s="1"/>
  <c r="S60" i="4" s="1"/>
  <c r="S62" i="4" s="1"/>
  <c r="S21" i="16" s="1"/>
  <c r="S24" i="16" s="1"/>
  <c r="S36" i="16" s="1"/>
  <c r="S38" i="16" s="1"/>
  <c r="S41" i="16" s="1"/>
  <c r="S43" i="16" s="1"/>
  <c r="R98" i="16"/>
  <c r="R72" i="16"/>
  <c r="R97" i="16"/>
  <c r="R59" i="16"/>
  <c r="S123" i="4"/>
  <c r="S124" i="4"/>
  <c r="S70" i="4" s="1"/>
  <c r="Q89" i="16"/>
  <c r="R73" i="16"/>
  <c r="T99" i="4"/>
  <c r="S116" i="4"/>
  <c r="S117" i="4"/>
  <c r="S72" i="4" s="1"/>
  <c r="Q97" i="16"/>
  <c r="Q59" i="16"/>
  <c r="Q60" i="16"/>
  <c r="S80" i="4" l="1"/>
  <c r="S155" i="4"/>
  <c r="S28" i="16"/>
  <c r="R89" i="16"/>
  <c r="Q88" i="16"/>
  <c r="R60" i="16"/>
  <c r="S152" i="4"/>
  <c r="S159" i="4" s="1"/>
  <c r="S84" i="4"/>
  <c r="S81" i="4"/>
  <c r="S154" i="4"/>
  <c r="S29" i="16"/>
  <c r="S73" i="4"/>
  <c r="S87" i="4" s="1"/>
  <c r="T42" i="4"/>
  <c r="T160" i="4"/>
  <c r="T100" i="4"/>
  <c r="S44" i="16"/>
  <c r="S48" i="16" s="1"/>
  <c r="S56" i="16" l="1"/>
  <c r="T113" i="4"/>
  <c r="T49" i="4"/>
  <c r="T50" i="4" s="1"/>
  <c r="T53" i="4" s="1"/>
  <c r="T120" i="4" s="1"/>
  <c r="T75" i="4"/>
  <c r="T161" i="4"/>
  <c r="T101" i="4"/>
  <c r="R88" i="16"/>
  <c r="S31" i="16"/>
  <c r="S68" i="15"/>
  <c r="S69" i="15" s="1"/>
  <c r="S88" i="4"/>
  <c r="S45" i="16"/>
  <c r="S49" i="16" s="1"/>
  <c r="S69" i="16" s="1"/>
  <c r="U99" i="4" l="1"/>
  <c r="T123" i="4"/>
  <c r="T124" i="4"/>
  <c r="T70" i="4" s="1"/>
  <c r="S57" i="16"/>
  <c r="S58" i="16" s="1"/>
  <c r="T117" i="4"/>
  <c r="T72" i="4" s="1"/>
  <c r="T116" i="4"/>
  <c r="S50" i="16"/>
  <c r="T56" i="4"/>
  <c r="T57" i="4" s="1"/>
  <c r="T60" i="4" s="1"/>
  <c r="T62" i="4" s="1"/>
  <c r="S97" i="16" l="1"/>
  <c r="S59" i="16"/>
  <c r="S60" i="16"/>
  <c r="S70" i="16"/>
  <c r="S71" i="16" s="1"/>
  <c r="T155" i="4"/>
  <c r="T28" i="16"/>
  <c r="T154" i="4"/>
  <c r="T29" i="16"/>
  <c r="T73" i="4"/>
  <c r="T21" i="16"/>
  <c r="T24" i="16" s="1"/>
  <c r="T36" i="16" s="1"/>
  <c r="T38" i="16" s="1"/>
  <c r="T41" i="16" s="1"/>
  <c r="T43" i="16" s="1"/>
  <c r="T80" i="4"/>
  <c r="T87" i="4"/>
  <c r="U160" i="4"/>
  <c r="U42" i="4"/>
  <c r="U100" i="4"/>
  <c r="T31" i="16" l="1"/>
  <c r="U75" i="4"/>
  <c r="U161" i="4"/>
  <c r="U101" i="4"/>
  <c r="U49" i="4"/>
  <c r="U50" i="4" s="1"/>
  <c r="U53" i="4" s="1"/>
  <c r="U120" i="4" s="1"/>
  <c r="U113" i="4"/>
  <c r="T152" i="4"/>
  <c r="T159" i="4" s="1"/>
  <c r="T84" i="4"/>
  <c r="T81" i="4"/>
  <c r="S88" i="16"/>
  <c r="T57" i="16"/>
  <c r="T70" i="16" s="1"/>
  <c r="T68" i="15"/>
  <c r="T69" i="15" s="1"/>
  <c r="T88" i="4"/>
  <c r="S98" i="16"/>
  <c r="S72" i="16"/>
  <c r="S73" i="16"/>
  <c r="T44" i="16"/>
  <c r="T48" i="16" s="1"/>
  <c r="U116" i="4" l="1"/>
  <c r="U117" i="4"/>
  <c r="U72" i="4" s="1"/>
  <c r="U123" i="4"/>
  <c r="U124" i="4"/>
  <c r="U70" i="4" s="1"/>
  <c r="U56" i="4"/>
  <c r="V99" i="4"/>
  <c r="T56" i="16"/>
  <c r="T58" i="16" s="1"/>
  <c r="S89" i="16"/>
  <c r="T45" i="16"/>
  <c r="T49" i="16" s="1"/>
  <c r="T69" i="16" s="1"/>
  <c r="T71" i="16" s="1"/>
  <c r="T97" i="16" l="1"/>
  <c r="T59" i="16"/>
  <c r="T60" i="16"/>
  <c r="T98" i="16"/>
  <c r="T72" i="16"/>
  <c r="V42" i="4"/>
  <c r="V160" i="4"/>
  <c r="V100" i="4"/>
  <c r="U57" i="4"/>
  <c r="U60" i="4" s="1"/>
  <c r="U62" i="4" s="1"/>
  <c r="U155" i="4"/>
  <c r="U28" i="16"/>
  <c r="U29" i="16"/>
  <c r="U73" i="4"/>
  <c r="U154" i="4"/>
  <c r="T73" i="16"/>
  <c r="T50" i="16"/>
  <c r="T89" i="16" l="1"/>
  <c r="V113" i="4"/>
  <c r="V49" i="4"/>
  <c r="V50" i="4" s="1"/>
  <c r="V53" i="4" s="1"/>
  <c r="V120" i="4" s="1"/>
  <c r="V75" i="4"/>
  <c r="V161" i="4"/>
  <c r="V101" i="4"/>
  <c r="U31" i="16"/>
  <c r="T88" i="16"/>
  <c r="U21" i="16"/>
  <c r="U24" i="16" s="1"/>
  <c r="U36" i="16" s="1"/>
  <c r="U38" i="16" s="1"/>
  <c r="U41" i="16" s="1"/>
  <c r="U43" i="16" s="1"/>
  <c r="U80" i="4"/>
  <c r="U87" i="4"/>
  <c r="V56" i="4" l="1"/>
  <c r="V57" i="4" s="1"/>
  <c r="V60" i="4" s="1"/>
  <c r="V62" i="4" s="1"/>
  <c r="W99" i="4"/>
  <c r="U68" i="15"/>
  <c r="U69" i="15" s="1"/>
  <c r="U88" i="4"/>
  <c r="V21" i="16"/>
  <c r="V24" i="16" s="1"/>
  <c r="V36" i="16" s="1"/>
  <c r="V38" i="16" s="1"/>
  <c r="V41" i="16" s="1"/>
  <c r="V43" i="16" s="1"/>
  <c r="V80" i="4"/>
  <c r="U84" i="4"/>
  <c r="U152" i="4"/>
  <c r="U159" i="4" s="1"/>
  <c r="U81" i="4"/>
  <c r="U44" i="16"/>
  <c r="U48" i="16" s="1"/>
  <c r="V124" i="4"/>
  <c r="V70" i="4" s="1"/>
  <c r="V123" i="4"/>
  <c r="V116" i="4"/>
  <c r="V117" i="4"/>
  <c r="V72" i="4" s="1"/>
  <c r="U57" i="16"/>
  <c r="U70" i="16" s="1"/>
  <c r="V81" i="4" l="1"/>
  <c r="U56" i="16"/>
  <c r="U58" i="16" s="1"/>
  <c r="V84" i="4"/>
  <c r="V152" i="4"/>
  <c r="V159" i="4" s="1"/>
  <c r="V44" i="16"/>
  <c r="V48" i="16" s="1"/>
  <c r="V155" i="4"/>
  <c r="V28" i="16"/>
  <c r="V29" i="16"/>
  <c r="V73" i="4"/>
  <c r="V87" i="4" s="1"/>
  <c r="V88" i="4" s="1"/>
  <c r="V154" i="4"/>
  <c r="U45" i="16"/>
  <c r="U49" i="16" s="1"/>
  <c r="U69" i="16" s="1"/>
  <c r="U71" i="16" s="1"/>
  <c r="W42" i="4"/>
  <c r="W160" i="4"/>
  <c r="W100" i="4"/>
  <c r="V45" i="16" l="1"/>
  <c r="V49" i="16" s="1"/>
  <c r="V69" i="16" s="1"/>
  <c r="V56" i="16"/>
  <c r="W113" i="4"/>
  <c r="W49" i="4"/>
  <c r="W50" i="4" s="1"/>
  <c r="W53" i="4" s="1"/>
  <c r="W120" i="4" s="1"/>
  <c r="V68" i="15"/>
  <c r="V69" i="15" s="1"/>
  <c r="U98" i="16"/>
  <c r="U72" i="16"/>
  <c r="U73" i="16"/>
  <c r="U50" i="16"/>
  <c r="W75" i="4"/>
  <c r="W161" i="4"/>
  <c r="W101" i="4"/>
  <c r="V31" i="16"/>
  <c r="U97" i="16"/>
  <c r="U59" i="16"/>
  <c r="U60" i="16"/>
  <c r="V50" i="16" l="1"/>
  <c r="W56" i="4"/>
  <c r="W57" i="4" s="1"/>
  <c r="W60" i="4" s="1"/>
  <c r="W62" i="4" s="1"/>
  <c r="W21" i="16" s="1"/>
  <c r="W24" i="16" s="1"/>
  <c r="W36" i="16" s="1"/>
  <c r="W38" i="16" s="1"/>
  <c r="W41" i="16" s="1"/>
  <c r="W43" i="16" s="1"/>
  <c r="W124" i="4"/>
  <c r="W70" i="4" s="1"/>
  <c r="W123" i="4"/>
  <c r="V57" i="16"/>
  <c r="V58" i="16" s="1"/>
  <c r="W116" i="4"/>
  <c r="W117" i="4"/>
  <c r="W72" i="4" s="1"/>
  <c r="U88" i="16"/>
  <c r="U89" i="16"/>
  <c r="C106" i="4"/>
  <c r="P31" i="1" s="1"/>
  <c r="X99" i="4"/>
  <c r="W80" i="4" l="1"/>
  <c r="W152" i="4" s="1"/>
  <c r="W159" i="4" s="1"/>
  <c r="V97" i="16"/>
  <c r="V59" i="16"/>
  <c r="V60" i="16"/>
  <c r="X42" i="4"/>
  <c r="X100" i="4"/>
  <c r="X160" i="4"/>
  <c r="V70" i="16"/>
  <c r="V71" i="16" s="1"/>
  <c r="W84" i="4"/>
  <c r="W44" i="16"/>
  <c r="W48" i="16" s="1"/>
  <c r="W28" i="16"/>
  <c r="W155" i="4"/>
  <c r="W29" i="16"/>
  <c r="W154" i="4"/>
  <c r="W73" i="4"/>
  <c r="W87" i="4" s="1"/>
  <c r="W81" i="4" l="1"/>
  <c r="W45" i="16"/>
  <c r="W49" i="16" s="1"/>
  <c r="W69" i="16" s="1"/>
  <c r="W31" i="16"/>
  <c r="V98" i="16"/>
  <c r="V72" i="16"/>
  <c r="V73" i="16"/>
  <c r="W56" i="16"/>
  <c r="V88" i="16"/>
  <c r="X75" i="4"/>
  <c r="X161" i="4"/>
  <c r="X101" i="4"/>
  <c r="X113" i="4"/>
  <c r="X49" i="4"/>
  <c r="X50" i="4" s="1"/>
  <c r="X53" i="4" s="1"/>
  <c r="X120" i="4" s="1"/>
  <c r="W68" i="15"/>
  <c r="W69" i="15" s="1"/>
  <c r="W88" i="4"/>
  <c r="W50" i="16" l="1"/>
  <c r="W57" i="16"/>
  <c r="W58" i="16" s="1"/>
  <c r="X56" i="4"/>
  <c r="X57" i="4" s="1"/>
  <c r="X60" i="4" s="1"/>
  <c r="X62" i="4" s="1"/>
  <c r="X21" i="16" s="1"/>
  <c r="X24" i="16" s="1"/>
  <c r="X36" i="16" s="1"/>
  <c r="X38" i="16" s="1"/>
  <c r="X41" i="16" s="1"/>
  <c r="X43" i="16" s="1"/>
  <c r="X124" i="4"/>
  <c r="X70" i="4" s="1"/>
  <c r="X123" i="4"/>
  <c r="X117" i="4"/>
  <c r="X72" i="4" s="1"/>
  <c r="X116" i="4"/>
  <c r="Y99" i="4"/>
  <c r="V89" i="16"/>
  <c r="W60" i="16" l="1"/>
  <c r="W88" i="16" s="1"/>
  <c r="W97" i="16"/>
  <c r="W59" i="16"/>
  <c r="W70" i="16"/>
  <c r="W71" i="16" s="1"/>
  <c r="X80" i="4"/>
  <c r="X152" i="4" s="1"/>
  <c r="X159" i="4" s="1"/>
  <c r="X44" i="16"/>
  <c r="X48" i="16" s="1"/>
  <c r="Y42" i="4"/>
  <c r="Y100" i="4"/>
  <c r="Y160" i="4"/>
  <c r="X29" i="16"/>
  <c r="X73" i="4"/>
  <c r="X87" i="4" s="1"/>
  <c r="X154" i="4"/>
  <c r="X155" i="4"/>
  <c r="X28" i="16"/>
  <c r="X84" i="4" l="1"/>
  <c r="X31" i="16"/>
  <c r="W98" i="16"/>
  <c r="W72" i="16"/>
  <c r="W73" i="16"/>
  <c r="W89" i="16" s="1"/>
  <c r="X81" i="4"/>
  <c r="X57" i="16"/>
  <c r="X70" i="16" s="1"/>
  <c r="Y113" i="4"/>
  <c r="Y49" i="4"/>
  <c r="Y50" i="4" s="1"/>
  <c r="Y53" i="4" s="1"/>
  <c r="Y56" i="4" s="1"/>
  <c r="Y57" i="4" s="1"/>
  <c r="Y60" i="4" s="1"/>
  <c r="Y62" i="4" s="1"/>
  <c r="Y75" i="4"/>
  <c r="Y161" i="4"/>
  <c r="Y101" i="4"/>
  <c r="X45" i="16"/>
  <c r="X49" i="16" s="1"/>
  <c r="X69" i="16" s="1"/>
  <c r="X68" i="15"/>
  <c r="X69" i="15" s="1"/>
  <c r="X88" i="4"/>
  <c r="X56" i="16"/>
  <c r="X58" i="16" l="1"/>
  <c r="X50" i="16"/>
  <c r="Y120" i="4"/>
  <c r="Y123" i="4" s="1"/>
  <c r="X97" i="16"/>
  <c r="X59" i="16"/>
  <c r="X60" i="16"/>
  <c r="Z99" i="4"/>
  <c r="Y21" i="16"/>
  <c r="Y24" i="16" s="1"/>
  <c r="Y36" i="16" s="1"/>
  <c r="Y38" i="16" s="1"/>
  <c r="Y41" i="16" s="1"/>
  <c r="Y43" i="16" s="1"/>
  <c r="Y80" i="4"/>
  <c r="Y116" i="4"/>
  <c r="Y117" i="4"/>
  <c r="Y72" i="4" s="1"/>
  <c r="X71" i="16"/>
  <c r="Y124" i="4" l="1"/>
  <c r="Y70" i="4" s="1"/>
  <c r="Y29" i="16" s="1"/>
  <c r="Y44" i="16"/>
  <c r="Y48" i="16" s="1"/>
  <c r="Y28" i="16"/>
  <c r="Y155" i="4"/>
  <c r="X88" i="16"/>
  <c r="Y73" i="4"/>
  <c r="Y87" i="4" s="1"/>
  <c r="X98" i="16"/>
  <c r="X72" i="16"/>
  <c r="X73" i="16"/>
  <c r="Z42" i="4"/>
  <c r="Z100" i="4"/>
  <c r="Z160" i="4"/>
  <c r="Y81" i="4"/>
  <c r="Y152" i="4"/>
  <c r="Y159" i="4" s="1"/>
  <c r="Y84" i="4"/>
  <c r="Y154" i="4" l="1"/>
  <c r="Y31" i="16"/>
  <c r="Y45" i="16"/>
  <c r="Y49" i="16" s="1"/>
  <c r="Y69" i="16" s="1"/>
  <c r="Z75" i="4"/>
  <c r="Z161" i="4"/>
  <c r="Z101" i="4"/>
  <c r="Y57" i="16"/>
  <c r="Y70" i="16" s="1"/>
  <c r="Z113" i="4"/>
  <c r="Z49" i="4"/>
  <c r="Z50" i="4" s="1"/>
  <c r="Z53" i="4" s="1"/>
  <c r="Z120" i="4" s="1"/>
  <c r="X89" i="16"/>
  <c r="Y88" i="4"/>
  <c r="Y68" i="15"/>
  <c r="Y69" i="15" s="1"/>
  <c r="Y56" i="16"/>
  <c r="Y71" i="16" l="1"/>
  <c r="Y98" i="16" s="1"/>
  <c r="Y50" i="16"/>
  <c r="Z56" i="4"/>
  <c r="Z57" i="4" s="1"/>
  <c r="Z60" i="4" s="1"/>
  <c r="Z62" i="4" s="1"/>
  <c r="Z80" i="4" s="1"/>
  <c r="Z124" i="4"/>
  <c r="Z70" i="4" s="1"/>
  <c r="Z123" i="4"/>
  <c r="Z117" i="4"/>
  <c r="Z72" i="4" s="1"/>
  <c r="Z116" i="4"/>
  <c r="AA99" i="4"/>
  <c r="Y58" i="16"/>
  <c r="Y73" i="16" l="1"/>
  <c r="Y72" i="16"/>
  <c r="Z21" i="16"/>
  <c r="Z24" i="16" s="1"/>
  <c r="Z36" i="16" s="1"/>
  <c r="Z38" i="16" s="1"/>
  <c r="Z41" i="16" s="1"/>
  <c r="Z43" i="16" s="1"/>
  <c r="Z44" i="16" s="1"/>
  <c r="Z48" i="16" s="1"/>
  <c r="Y97" i="16"/>
  <c r="Y59" i="16"/>
  <c r="Y60" i="16"/>
  <c r="Z81" i="4"/>
  <c r="Z84" i="4"/>
  <c r="Z152" i="4"/>
  <c r="Z159" i="4" s="1"/>
  <c r="Z73" i="4"/>
  <c r="Z87" i="4" s="1"/>
  <c r="Z154" i="4"/>
  <c r="Z29" i="16"/>
  <c r="AA42" i="4"/>
  <c r="AA100" i="4"/>
  <c r="AA160" i="4"/>
  <c r="Y89" i="16"/>
  <c r="Z155" i="4"/>
  <c r="Z28" i="16"/>
  <c r="Z45" i="16" l="1"/>
  <c r="Z49" i="16" s="1"/>
  <c r="Z69" i="16" s="1"/>
  <c r="Z56" i="16"/>
  <c r="Z68" i="15"/>
  <c r="Z69" i="15" s="1"/>
  <c r="Z88" i="4"/>
  <c r="AA75" i="4"/>
  <c r="AA161" i="4"/>
  <c r="AA101" i="4"/>
  <c r="Y88" i="16"/>
  <c r="AA113" i="4"/>
  <c r="AA49" i="4"/>
  <c r="AA50" i="4" s="1"/>
  <c r="AA53" i="4" s="1"/>
  <c r="AA120" i="4" s="1"/>
  <c r="Z31" i="16"/>
  <c r="Z50" i="16" l="1"/>
  <c r="AB99" i="4"/>
  <c r="Z57" i="16"/>
  <c r="Z58" i="16" s="1"/>
  <c r="AA116" i="4"/>
  <c r="AA117" i="4"/>
  <c r="AA72" i="4" s="1"/>
  <c r="AA56" i="4"/>
  <c r="AA57" i="4" s="1"/>
  <c r="AA60" i="4" s="1"/>
  <c r="AA62" i="4" s="1"/>
  <c r="AA124" i="4"/>
  <c r="AA70" i="4" s="1"/>
  <c r="AA123" i="4"/>
  <c r="Z70" i="16" l="1"/>
  <c r="Z71" i="16" s="1"/>
  <c r="AA21" i="16"/>
  <c r="AA24" i="16" s="1"/>
  <c r="AA36" i="16" s="1"/>
  <c r="AA38" i="16" s="1"/>
  <c r="AA41" i="16" s="1"/>
  <c r="AA43" i="16" s="1"/>
  <c r="AA80" i="4"/>
  <c r="Z97" i="16"/>
  <c r="Z59" i="16"/>
  <c r="Z60" i="16"/>
  <c r="Z98" i="16"/>
  <c r="Z72" i="16"/>
  <c r="Z73" i="16"/>
  <c r="AA155" i="4"/>
  <c r="AA28" i="16"/>
  <c r="AA29" i="16"/>
  <c r="AA73" i="4"/>
  <c r="AA87" i="4" s="1"/>
  <c r="AA154" i="4"/>
  <c r="AB42" i="4"/>
  <c r="AB100" i="4"/>
  <c r="AB160" i="4"/>
  <c r="AA31" i="16" l="1"/>
  <c r="AA57" i="16" s="1"/>
  <c r="AA70" i="16" s="1"/>
  <c r="AA68" i="15"/>
  <c r="AA69" i="15" s="1"/>
  <c r="AA88" i="4"/>
  <c r="AB75" i="4"/>
  <c r="AB161" i="4"/>
  <c r="AB101" i="4"/>
  <c r="AB49" i="4"/>
  <c r="AB50" i="4" s="1"/>
  <c r="AB53" i="4" s="1"/>
  <c r="AB120" i="4" s="1"/>
  <c r="AB113" i="4"/>
  <c r="Z88" i="16"/>
  <c r="AA152" i="4"/>
  <c r="AA159" i="4" s="1"/>
  <c r="AA84" i="4"/>
  <c r="AA81" i="4"/>
  <c r="Z89" i="16"/>
  <c r="AA44" i="16"/>
  <c r="AA48" i="16" s="1"/>
  <c r="AB56" i="4" l="1"/>
  <c r="AB57" i="4" s="1"/>
  <c r="AB60" i="4" s="1"/>
  <c r="AB62" i="4" s="1"/>
  <c r="AB21" i="16" s="1"/>
  <c r="AA45" i="16"/>
  <c r="AA49" i="16" s="1"/>
  <c r="AA69" i="16" s="1"/>
  <c r="AA71" i="16" s="1"/>
  <c r="AA56" i="16"/>
  <c r="AA58" i="16" s="1"/>
  <c r="AB116" i="4"/>
  <c r="AB117" i="4"/>
  <c r="AB72" i="4" s="1"/>
  <c r="AB124" i="4"/>
  <c r="AB70" i="4" s="1"/>
  <c r="AB123" i="4"/>
  <c r="AA50" i="16" l="1"/>
  <c r="AB80" i="4"/>
  <c r="AB23" i="16" s="1"/>
  <c r="AB24" i="16" s="1"/>
  <c r="AB36" i="16" s="1"/>
  <c r="AB38" i="16" s="1"/>
  <c r="AB41" i="16" s="1"/>
  <c r="AB43" i="16" s="1"/>
  <c r="AA97" i="16"/>
  <c r="AA59" i="16"/>
  <c r="AA60" i="16"/>
  <c r="AB29" i="16"/>
  <c r="AB154" i="4"/>
  <c r="E139" i="4" s="1"/>
  <c r="AB73" i="4"/>
  <c r="AB87" i="4" s="1"/>
  <c r="AA98" i="16"/>
  <c r="AA72" i="16"/>
  <c r="AA73" i="16"/>
  <c r="AB155" i="4"/>
  <c r="E140" i="4" s="1"/>
  <c r="AB28" i="16"/>
  <c r="C83" i="4" l="1"/>
  <c r="P27" i="1" s="1"/>
  <c r="AB81" i="4"/>
  <c r="AB152" i="4"/>
  <c r="C82" i="4"/>
  <c r="AB84" i="4"/>
  <c r="C84" i="4" s="1"/>
  <c r="P59" i="1" s="1"/>
  <c r="AB31" i="16"/>
  <c r="AA89" i="16"/>
  <c r="U31" i="15"/>
  <c r="AB68" i="15"/>
  <c r="AB31" i="15"/>
  <c r="AA31" i="15"/>
  <c r="C90" i="4"/>
  <c r="P26" i="1" s="1"/>
  <c r="J31" i="15"/>
  <c r="C89" i="4"/>
  <c r="P25" i="1" s="1"/>
  <c r="K31" i="15"/>
  <c r="L31" i="15"/>
  <c r="M31" i="15"/>
  <c r="N31" i="15"/>
  <c r="O31" i="15"/>
  <c r="P31" i="15"/>
  <c r="Q31" i="15"/>
  <c r="R31" i="15"/>
  <c r="S31" i="15"/>
  <c r="T31" i="15"/>
  <c r="X31" i="15"/>
  <c r="Z31" i="15"/>
  <c r="Y31" i="15"/>
  <c r="V31" i="15"/>
  <c r="W31" i="15"/>
  <c r="AB88" i="4"/>
  <c r="AB159" i="4"/>
  <c r="E137" i="4"/>
  <c r="AA88" i="16"/>
  <c r="AB44" i="16"/>
  <c r="AB48" i="16" s="1"/>
  <c r="P30" i="1" l="1"/>
  <c r="AB57" i="16"/>
  <c r="AB70" i="16" s="1"/>
  <c r="U34" i="15"/>
  <c r="U50" i="15"/>
  <c r="U53" i="15" s="1"/>
  <c r="AB34" i="15"/>
  <c r="AB50" i="15"/>
  <c r="AB53" i="15" s="1"/>
  <c r="C61" i="15" s="1"/>
  <c r="C89" i="15" s="1"/>
  <c r="X34" i="15"/>
  <c r="X50" i="15"/>
  <c r="X53" i="15" s="1"/>
  <c r="L50" i="15"/>
  <c r="L53" i="15" s="1"/>
  <c r="L34" i="15"/>
  <c r="AB45" i="16"/>
  <c r="AB49" i="16" s="1"/>
  <c r="AB69" i="16" s="1"/>
  <c r="S50" i="15"/>
  <c r="S53" i="15" s="1"/>
  <c r="S34" i="15"/>
  <c r="K50" i="15"/>
  <c r="K53" i="15" s="1"/>
  <c r="K34" i="15"/>
  <c r="O50" i="15"/>
  <c r="O53" i="15" s="1"/>
  <c r="O34" i="15"/>
  <c r="N50" i="15"/>
  <c r="N53" i="15" s="1"/>
  <c r="N34" i="15"/>
  <c r="M34" i="15"/>
  <c r="AA60" i="1" s="1"/>
  <c r="M50" i="15"/>
  <c r="M53" i="15" s="1"/>
  <c r="C58" i="15" s="1"/>
  <c r="T50" i="15"/>
  <c r="T53" i="15" s="1"/>
  <c r="T34" i="15"/>
  <c r="AB56" i="16"/>
  <c r="R34" i="15"/>
  <c r="R50" i="15"/>
  <c r="R53" i="15" s="1"/>
  <c r="C59" i="15" s="1"/>
  <c r="C87" i="15" s="1"/>
  <c r="W34" i="15"/>
  <c r="W50" i="15"/>
  <c r="W53" i="15" s="1"/>
  <c r="C60" i="15" s="1"/>
  <c r="C88" i="15" s="1"/>
  <c r="Q50" i="15"/>
  <c r="Q53" i="15" s="1"/>
  <c r="Q34" i="15"/>
  <c r="J34" i="15"/>
  <c r="Z60" i="1" s="1"/>
  <c r="J50" i="15"/>
  <c r="J53" i="15" s="1"/>
  <c r="C57" i="15" s="1"/>
  <c r="Y34" i="15"/>
  <c r="Y50" i="15"/>
  <c r="Y53" i="15" s="1"/>
  <c r="AA34" i="15"/>
  <c r="AA50" i="15"/>
  <c r="AA53" i="15" s="1"/>
  <c r="Z34" i="15"/>
  <c r="Z50" i="15"/>
  <c r="Z53" i="15" s="1"/>
  <c r="E141" i="4"/>
  <c r="D137" i="4" s="1"/>
  <c r="AB69" i="15"/>
  <c r="C71" i="15" s="1"/>
  <c r="Z67" i="1" s="1"/>
  <c r="C70" i="15"/>
  <c r="V50" i="15"/>
  <c r="V53" i="15" s="1"/>
  <c r="V34" i="15"/>
  <c r="P50" i="15"/>
  <c r="P53" i="15" s="1"/>
  <c r="P34" i="15"/>
  <c r="P41" i="1"/>
  <c r="C93" i="1" l="1"/>
  <c r="AB50" i="16"/>
  <c r="C85" i="15"/>
  <c r="Z62" i="1"/>
  <c r="C86" i="15"/>
  <c r="AA62" i="1"/>
  <c r="D138" i="4"/>
  <c r="D140" i="4"/>
  <c r="D139" i="4"/>
  <c r="AB58" i="16"/>
  <c r="C64" i="16"/>
  <c r="P53" i="1" s="1"/>
  <c r="C63" i="16"/>
  <c r="Z66" i="1"/>
  <c r="AB71" i="16"/>
  <c r="C76" i="16"/>
  <c r="C77" i="16"/>
  <c r="O53" i="1" s="1"/>
  <c r="D141" i="4" l="1"/>
  <c r="AB98" i="16"/>
  <c r="C75" i="16"/>
  <c r="O51" i="1" s="1"/>
  <c r="AB72" i="16"/>
  <c r="C74" i="16"/>
  <c r="O52" i="1" s="1"/>
  <c r="AB73" i="16"/>
  <c r="AB89" i="16" s="1"/>
  <c r="AB97" i="16"/>
  <c r="AB59" i="16"/>
  <c r="C61" i="16"/>
  <c r="P52" i="1" s="1"/>
  <c r="C62" i="16"/>
  <c r="P51" i="1" s="1"/>
  <c r="P70" i="1" s="1"/>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tc={5EFD3723-89D2-064C-A344-6414C5DAC8C3}</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5EFD3723-89D2-064C-A344-6414C5DAC8C3}">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<sst xmlns="http://schemas.openxmlformats.org/spreadsheetml/2006/main" count="591" uniqueCount="477">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</sst>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42" xfId="0" applyFont="1" applyFill="1" applyBorder="1" applyAlignment="1">
      <alignment horizont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9" fillId="4" borderId="5" xfId="0" applyFont="1" applyFill="1" applyBorder="1" applyAlignment="1">
      <alignment horizontal="center" vertical="center"/>
    </xf>
    <xf numFmtId="0" fontId="9" fillId="4" borderId="0" xfId="0" applyFont="1" applyFill="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-114975.09002171065</c:v>
                </c:pt>
                <c:pt idx="1">
                  <c:v>-75678.255243533975</c:v>
                </c:pt>
                <c:pt idx="2">
                  <c:v>-65356.731079568504</c:v>
                </c:pt>
                <c:pt idx="3">
                  <c:v>-57586.144403784529</c:v>
                </c:pt>
                <c:pt idx="4">
                  <c:v>-51314.824678373698</c:v>
                </c:pt>
                <c:pt idx="5">
                  <c:v>-44965.976085197537</c:v>
                </c:pt>
                <c:pt idx="6">
                  <c:v>-39719.526632845525</c:v>
                </c:pt>
                <c:pt idx="7">
                  <c:v>-35573.907936709598</c:v>
                </c:pt>
                <c:pt idx="8">
                  <c:v>-31346.054613895711</c:v>
                </c:pt>
                <c:pt idx="9">
                  <c:v>-27034.335442096795</c:v>
                </c:pt>
                <c:pt idx="10">
                  <c:v>-22637.086842280394</c:v>
                </c:pt>
                <c:pt idx="11">
                  <c:v>-18152.612236875102</c:v>
                </c:pt>
                <c:pt idx="12">
                  <c:v>-13579.181395226486</c:v>
                </c:pt>
                <c:pt idx="13">
                  <c:v>-8915.0297660699907</c:v>
                </c:pt>
                <c:pt idx="14">
                  <c:v>-4158.3577967632955</c:v>
                </c:pt>
                <c:pt idx="15">
                  <c:v>692.66976098449595</c:v>
                </c:pt>
                <c:pt idx="16">
                  <c:v>5639.924559154676</c:v>
                </c:pt>
                <c:pt idx="17">
                  <c:v>10685.315375504882</c:v>
                </c:pt>
                <c:pt idx="18">
                  <c:v>15830.788849977769</c:v>
                </c:pt>
                <c:pt idx="19">
                  <c:v>21078.330235716479</c:v>
                </c:pt>
                <c:pt idx="20">
                  <c:v>26429.964164976638</c:v>
                </c:pt>
                <c:pt idx="21">
                  <c:v>31887.755430230329</c:v>
                </c:pt>
                <c:pt idx="22">
                  <c:v>37453.809780763411</c:v>
                </c:pt>
                <c:pt idx="23">
                  <c:v>43130.274735073464</c:v>
                </c:pt>
                <c:pt idx="24">
                  <c:v>48919.340409381759</c:v>
                </c:pt>
                <c:pt idx="25">
                  <c:v>72069.50386583549</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114975.09002171065</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876.08977443651042</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56.798364438558565</c:v>
                </c:pt>
                <c:pt idx="1">
                  <c:v>57.927231931774259</c:v>
                </c:pt>
                <c:pt idx="2">
                  <c:v>59.078535666418247</c:v>
                </c:pt>
                <c:pt idx="3">
                  <c:v>60.252721562788793</c:v>
                </c:pt>
                <c:pt idx="4">
                  <c:v>61.450244403848046</c:v>
                </c:pt>
                <c:pt idx="5">
                  <c:v>62.671568011374802</c:v>
                </c:pt>
                <c:pt idx="6">
                  <c:v>63.917165425600615</c:v>
                </c:pt>
                <c:pt idx="7">
                  <c:v>65.187519088434783</c:v>
                </c:pt>
                <c:pt idx="8">
                  <c:v>66.483121030317307</c:v>
                </c:pt>
                <c:pt idx="9">
                  <c:v>67.804473060795317</c:v>
                </c:pt>
                <c:pt idx="10">
                  <c:v>69.152086962878457</c:v>
                </c:pt>
                <c:pt idx="11">
                  <c:v>70.526484691265068</c:v>
                </c:pt>
                <c:pt idx="12">
                  <c:v>71.928198574503767</c:v>
                </c:pt>
                <c:pt idx="13">
                  <c:v>73.357771521170434</c:v>
                </c:pt>
                <c:pt idx="14">
                  <c:v>74.815757230155214</c:v>
                </c:pt>
                <c:pt idx="15">
                  <c:v>76.302720405104992</c:v>
                </c:pt>
                <c:pt idx="16">
                  <c:v>77.819236973155057</c:v>
                </c:pt>
                <c:pt idx="17">
                  <c:v>79.365894307997223</c:v>
                </c:pt>
                <c:pt idx="18">
                  <c:v>80.943291457369924</c:v>
                </c:pt>
                <c:pt idx="19">
                  <c:v>82.55203937508486</c:v>
                </c:pt>
                <c:pt idx="20">
                  <c:v>84.19276115766661</c:v>
                </c:pt>
                <c:pt idx="21">
                  <c:v>85.866092285674313</c:v>
                </c:pt>
                <c:pt idx="22">
                  <c:v>87.572680869852775</c:v>
                </c:pt>
                <c:pt idx="23">
                  <c:v>89.31318790214209</c:v>
                </c:pt>
                <c:pt idx="24">
                  <c:v>91.088287511696763</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3860724.9373546089</c:v>
                </c:pt>
                <c:pt idx="1">
                  <c:v>3861185.4279046091</c:v>
                </c:pt>
                <c:pt idx="2">
                  <c:v>3861643.6160018588</c:v>
                </c:pt>
                <c:pt idx="3">
                  <c:v>3862099.5131586227</c:v>
                </c:pt>
                <c:pt idx="4">
                  <c:v>3862553.1308296025</c:v>
                </c:pt>
                <c:pt idx="5">
                  <c:v>3863004.4804122276</c:v>
                </c:pt>
                <c:pt idx="6">
                  <c:v>3863453.5732469396</c:v>
                </c:pt>
                <c:pt idx="7">
                  <c:v>3863900.420617478</c:v>
                </c:pt>
                <c:pt idx="8">
                  <c:v>3864345.0337511636</c:v>
                </c:pt>
                <c:pt idx="9">
                  <c:v>3864787.4238191806</c:v>
                </c:pt>
                <c:pt idx="10">
                  <c:v>3865227.6019368581</c:v>
                </c:pt>
                <c:pt idx="11">
                  <c:v>3865665.5791639467</c:v>
                </c:pt>
                <c:pt idx="12">
                  <c:v>3866101.3665049002</c:v>
                </c:pt>
                <c:pt idx="13">
                  <c:v>3866534.9749091486</c:v>
                </c:pt>
                <c:pt idx="14">
                  <c:v>3866966.4152713758</c:v>
                </c:pt>
                <c:pt idx="15">
                  <c:v>3867395.6984317922</c:v>
                </c:pt>
                <c:pt idx="16">
                  <c:v>3867822.835176406</c:v>
                </c:pt>
                <c:pt idx="17">
                  <c:v>3868247.8362372969</c:v>
                </c:pt>
                <c:pt idx="18">
                  <c:v>3868670.7122928835</c:v>
                </c:pt>
                <c:pt idx="19">
                  <c:v>3869091.4739681925</c:v>
                </c:pt>
                <c:pt idx="20">
                  <c:v>3869510.1318351245</c:v>
                </c:pt>
                <c:pt idx="21">
                  <c:v>3869926.6964127216</c:v>
                </c:pt>
                <c:pt idx="22">
                  <c:v>3870341.1781674311</c:v>
                </c:pt>
                <c:pt idx="23">
                  <c:v>3870753.5875133672</c:v>
                </c:pt>
                <c:pt idx="24">
                  <c:v>3871163.9348125733</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92098.110000000306</c:v>
                </c:pt>
                <c:pt idx="1">
                  <c:v>91637.619450000304</c:v>
                </c:pt>
                <c:pt idx="2">
                  <c:v>91179.431352750296</c:v>
                </c:pt>
                <c:pt idx="3">
                  <c:v>90723.534195986547</c:v>
                </c:pt>
                <c:pt idx="4">
                  <c:v>90269.916525006614</c:v>
                </c:pt>
                <c:pt idx="5">
                  <c:v>89818.566942381585</c:v>
                </c:pt>
                <c:pt idx="6">
                  <c:v>89369.474107669681</c:v>
                </c:pt>
                <c:pt idx="7">
                  <c:v>88922.62673713133</c:v>
                </c:pt>
                <c:pt idx="8">
                  <c:v>88478.013603445666</c:v>
                </c:pt>
                <c:pt idx="9">
                  <c:v>88035.623535428444</c:v>
                </c:pt>
                <c:pt idx="10">
                  <c:v>87595.445417751296</c:v>
                </c:pt>
                <c:pt idx="11">
                  <c:v>87157.468190662534</c:v>
                </c:pt>
                <c:pt idx="12">
                  <c:v>86721.680849709228</c:v>
                </c:pt>
                <c:pt idx="13">
                  <c:v>86288.072445460683</c:v>
                </c:pt>
                <c:pt idx="14">
                  <c:v>85856.632083233373</c:v>
                </c:pt>
                <c:pt idx="15">
                  <c:v>85427.348922817211</c:v>
                </c:pt>
                <c:pt idx="16">
                  <c:v>85000.212178203132</c:v>
                </c:pt>
                <c:pt idx="17">
                  <c:v>84575.211117312123</c:v>
                </c:pt>
                <c:pt idx="18">
                  <c:v>84152.335061725564</c:v>
                </c:pt>
                <c:pt idx="19">
                  <c:v>83731.573386416931</c:v>
                </c:pt>
                <c:pt idx="20">
                  <c:v>83312.915519484843</c:v>
                </c:pt>
                <c:pt idx="21">
                  <c:v>82896.350941887416</c:v>
                </c:pt>
                <c:pt idx="22">
                  <c:v>82481.869187177974</c:v>
                </c:pt>
                <c:pt idx="23">
                  <c:v>82069.459841242089</c:v>
                </c:pt>
                <c:pt idx="24">
                  <c:v>81659.112542035873</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3860724.9373546089</c:v>
                </c:pt>
                <c:pt idx="1">
                  <c:v>92098.110000000306</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0.60434587809411189</c:v>
                </c:pt>
                <c:pt idx="1">
                  <c:v>0.28339444143410342</c:v>
                </c:pt>
                <c:pt idx="2">
                  <c:v>0.10260950119292621</c:v>
                </c:pt>
                <c:pt idx="3">
                  <c:v>9.650179278858537E-3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4783.8135684894987</c:v>
                </c:pt>
                <c:pt idx="1">
                  <c:v>4878.7079341632307</c:v>
                </c:pt>
                <c:pt idx="2">
                  <c:v>4975.4846467747211</c:v>
                </c:pt>
                <c:pt idx="3">
                  <c:v>5074.1810443977683</c:v>
                </c:pt>
                <c:pt idx="4">
                  <c:v>5174.8352057289412</c:v>
                </c:pt>
                <c:pt idx="5">
                  <c:v>5246.4494523520143</c:v>
                </c:pt>
                <c:pt idx="6">
                  <c:v>4145.6186961359308</c:v>
                </c:pt>
                <c:pt idx="7">
                  <c:v>4227.8533228138876</c:v>
                </c:pt>
                <c:pt idx="8">
                  <c:v>4311.7191717989135</c:v>
                </c:pt>
                <c:pt idx="9">
                  <c:v>4397.2485998164002</c:v>
                </c:pt>
                <c:pt idx="10">
                  <c:v>4484.474605405293</c:v>
                </c:pt>
                <c:pt idx="11">
                  <c:v>4573.4308416486165</c:v>
                </c:pt>
                <c:pt idx="12">
                  <c:v>4664.1516291564949</c:v>
                </c:pt>
                <c:pt idx="13">
                  <c:v>4756.6719693066952</c:v>
                </c:pt>
                <c:pt idx="14">
                  <c:v>4851.0275577477914</c:v>
                </c:pt>
                <c:pt idx="15">
                  <c:v>4947.25479817018</c:v>
                </c:pt>
                <c:pt idx="16">
                  <c:v>5045.3908163502065</c:v>
                </c:pt>
                <c:pt idx="17">
                  <c:v>5145.4734744728876</c:v>
                </c:pt>
                <c:pt idx="18">
                  <c:v>5247.5413857387121</c:v>
                </c:pt>
                <c:pt idx="19">
                  <c:v>5351.6339292601579</c:v>
                </c:pt>
                <c:pt idx="20">
                  <c:v>5457.7912652536907</c:v>
                </c:pt>
                <c:pt idx="21">
                  <c:v>5566.0543505330834</c:v>
                </c:pt>
                <c:pt idx="22">
                  <c:v>5676.4649543100541</c:v>
                </c:pt>
                <c:pt idx="23">
                  <c:v>5789.0656743082945</c:v>
                </c:pt>
                <c:pt idx="24">
                  <c:v>23150.163456453723</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-51784.780545778478</c:v>
                </c:pt>
                <c:pt idx="1">
                  <c:v>36274.521595381892</c:v>
                </c:pt>
                <c:pt idx="2">
                  <c:v>7504.4132074975005</c:v>
                </c:pt>
                <c:pt idx="3">
                  <c:v>4892.7570432609809</c:v>
                </c:pt>
                <c:pt idx="4">
                  <c:v>3320.5442721094323</c:v>
                </c:pt>
                <c:pt idx="5">
                  <c:v>3307.6149934510399</c:v>
                </c:pt>
                <c:pt idx="6">
                  <c:v>262.32247261760074</c:v>
                </c:pt>
                <c:pt idx="7">
                  <c:v>207.28093480679655</c:v>
                </c:pt>
                <c:pt idx="8">
                  <c:v>211.39266614069439</c:v>
                </c:pt>
                <c:pt idx="9">
                  <c:v>215.58595858994568</c:v>
                </c:pt>
                <c:pt idx="10">
                  <c:v>219.86242999082003</c:v>
                </c:pt>
                <c:pt idx="11">
                  <c:v>224.22373027026467</c:v>
                </c:pt>
                <c:pt idx="12">
                  <c:v>228.67154208243085</c:v>
                </c:pt>
                <c:pt idx="13">
                  <c:v>233.20758145782474</c:v>
                </c:pt>
                <c:pt idx="14">
                  <c:v>237.83359846533477</c:v>
                </c:pt>
                <c:pt idx="15">
                  <c:v>242.55137788738958</c:v>
                </c:pt>
                <c:pt idx="16">
                  <c:v>247.36273990850901</c:v>
                </c:pt>
                <c:pt idx="17">
                  <c:v>252.26954081751035</c:v>
                </c:pt>
                <c:pt idx="18">
                  <c:v>257.27367372364438</c:v>
                </c:pt>
                <c:pt idx="19">
                  <c:v>262.37706928693564</c:v>
                </c:pt>
                <c:pt idx="20">
                  <c:v>267.58169646300792</c:v>
                </c:pt>
                <c:pt idx="21">
                  <c:v>272.88956326268453</c:v>
                </c:pt>
                <c:pt idx="22">
                  <c:v>278.30271752665419</c:v>
                </c:pt>
                <c:pt idx="23">
                  <c:v>283.8232477155027</c:v>
                </c:pt>
                <c:pt idx="24">
                  <c:v>289.45328371541473</c:v>
                </c:pt>
                <c:pt idx="25">
                  <c:v>1157.5081728226862</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-63190.309475932176</c:v>
                </c:pt>
                <c:pt idx="1">
                  <c:v>3022.3131827947896</c:v>
                </c:pt>
                <c:pt idx="2">
                  <c:v>2817.1109564679687</c:v>
                </c:pt>
                <c:pt idx="3">
                  <c:v>2877.8296325229917</c:v>
                </c:pt>
                <c:pt idx="4">
                  <c:v>2950.7754533013949</c:v>
                </c:pt>
                <c:pt idx="5">
                  <c:v>3041.2335997251234</c:v>
                </c:pt>
                <c:pt idx="6">
                  <c:v>4984.1269797344139</c:v>
                </c:pt>
                <c:pt idx="7">
                  <c:v>3938.3377613291341</c:v>
                </c:pt>
                <c:pt idx="8">
                  <c:v>4016.4606566731932</c:v>
                </c:pt>
                <c:pt idx="9">
                  <c:v>4096.1332132089683</c:v>
                </c:pt>
                <c:pt idx="10">
                  <c:v>4177.3861698255805</c:v>
                </c:pt>
                <c:pt idx="11">
                  <c:v>4260.2508751350288</c:v>
                </c:pt>
                <c:pt idx="12">
                  <c:v>4344.7592995661853</c:v>
                </c:pt>
                <c:pt idx="13">
                  <c:v>4430.9440476986701</c:v>
                </c:pt>
                <c:pt idx="14">
                  <c:v>4518.8383708413603</c:v>
                </c:pt>
                <c:pt idx="15">
                  <c:v>4608.4761798604022</c:v>
                </c:pt>
                <c:pt idx="16">
                  <c:v>4699.8920582616711</c:v>
                </c:pt>
                <c:pt idx="17">
                  <c:v>4793.121275532696</c:v>
                </c:pt>
                <c:pt idx="18">
                  <c:v>4888.199800749243</c:v>
                </c:pt>
                <c:pt idx="19">
                  <c:v>4985.1643164517764</c:v>
                </c:pt>
                <c:pt idx="20">
                  <c:v>5084.0522327971503</c:v>
                </c:pt>
                <c:pt idx="21">
                  <c:v>5184.9017019910061</c:v>
                </c:pt>
                <c:pt idx="22">
                  <c:v>5287.7516330064291</c:v>
                </c:pt>
                <c:pt idx="23">
                  <c:v>5392.6417065945516</c:v>
                </c:pt>
                <c:pt idx="24">
                  <c:v>5499.6123905928798</c:v>
                </c:pt>
                <c:pt idx="25">
                  <c:v>21992.655283631037</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-51784.780545778478</c:v>
                </c:pt>
                <c:pt idx="1">
                  <c:v>-15510.258950396586</c:v>
                </c:pt>
                <c:pt idx="2">
                  <c:v>-8005.845742899086</c:v>
                </c:pt>
                <c:pt idx="3">
                  <c:v>-3113.088699638105</c:v>
                </c:pt>
                <c:pt idx="4">
                  <c:v>207.45557247132729</c:v>
                </c:pt>
                <c:pt idx="5">
                  <c:v>3515.0705659223672</c:v>
                </c:pt>
                <c:pt idx="6">
                  <c:v>3777.3930385399681</c:v>
                </c:pt>
                <c:pt idx="7">
                  <c:v>3984.6739733467648</c:v>
                </c:pt>
                <c:pt idx="8">
                  <c:v>4196.0666394874588</c:v>
                </c:pt>
                <c:pt idx="9">
                  <c:v>4411.652598077404</c:v>
                </c:pt>
                <c:pt idx="10">
                  <c:v>4631.5150280682237</c:v>
                </c:pt>
                <c:pt idx="11">
                  <c:v>4855.738758338488</c:v>
                </c:pt>
                <c:pt idx="12">
                  <c:v>5084.4103004209192</c:v>
                </c:pt>
                <c:pt idx="13">
                  <c:v>5317.6178818787439</c:v>
                </c:pt>
                <c:pt idx="14">
                  <c:v>5555.4514803440788</c:v>
                </c:pt>
                <c:pt idx="15">
                  <c:v>5798.0028582314681</c:v>
                </c:pt>
                <c:pt idx="16">
                  <c:v>6045.365598139977</c:v>
                </c:pt>
                <c:pt idx="17">
                  <c:v>6297.6351389574875</c:v>
                </c:pt>
                <c:pt idx="18">
                  <c:v>6554.9088126811321</c:v>
                </c:pt>
                <c:pt idx="19">
                  <c:v>6817.2858819680678</c:v>
                </c:pt>
                <c:pt idx="20">
                  <c:v>7084.8675784310753</c:v>
                </c:pt>
                <c:pt idx="21">
                  <c:v>7357.7571416937599</c:v>
                </c:pt>
                <c:pt idx="22">
                  <c:v>7636.0598592204142</c:v>
                </c:pt>
                <c:pt idx="23">
                  <c:v>7919.8831069359167</c:v>
                </c:pt>
                <c:pt idx="24">
                  <c:v>8209.3363906513314</c:v>
                </c:pt>
                <c:pt idx="25">
                  <c:v>9366.8445634740183</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-63190.309475932176</c:v>
                </c:pt>
                <c:pt idx="1">
                  <c:v>-60167.996293137388</c:v>
                </c:pt>
                <c:pt idx="2">
                  <c:v>-57350.885336669417</c:v>
                </c:pt>
                <c:pt idx="3">
                  <c:v>-54473.055704146427</c:v>
                </c:pt>
                <c:pt idx="4">
                  <c:v>-51522.280250845033</c:v>
                </c:pt>
                <c:pt idx="5">
                  <c:v>-48481.046651119912</c:v>
                </c:pt>
                <c:pt idx="6">
                  <c:v>-43496.919671385498</c:v>
                </c:pt>
                <c:pt idx="7">
                  <c:v>-39558.581910056368</c:v>
                </c:pt>
                <c:pt idx="8">
                  <c:v>-35542.121253383171</c:v>
                </c:pt>
                <c:pt idx="9">
                  <c:v>-31445.988040174205</c:v>
                </c:pt>
                <c:pt idx="10">
                  <c:v>-27268.601870348626</c:v>
                </c:pt>
                <c:pt idx="11">
                  <c:v>-23008.350995213597</c:v>
                </c:pt>
                <c:pt idx="12">
                  <c:v>-18663.59169564741</c:v>
                </c:pt>
                <c:pt idx="13">
                  <c:v>-14232.647647948739</c:v>
                </c:pt>
                <c:pt idx="14">
                  <c:v>-9713.8092771073789</c:v>
                </c:pt>
                <c:pt idx="15">
                  <c:v>-5105.3330972469766</c:v>
                </c:pt>
                <c:pt idx="16">
                  <c:v>-405.44103898530557</c:v>
                </c:pt>
                <c:pt idx="17">
                  <c:v>4387.6802365473905</c:v>
                </c:pt>
                <c:pt idx="18">
                  <c:v>9275.8800372966325</c:v>
                </c:pt>
                <c:pt idx="19">
                  <c:v>14261.04435374841</c:v>
                </c:pt>
                <c:pt idx="20">
                  <c:v>19345.096586545558</c:v>
                </c:pt>
                <c:pt idx="21">
                  <c:v>24529.998288536564</c:v>
                </c:pt>
                <c:pt idx="22">
                  <c:v>29817.749921542993</c:v>
                </c:pt>
                <c:pt idx="23">
                  <c:v>35210.391628137542</c:v>
                </c:pt>
                <c:pt idx="24">
                  <c:v>40710.004018730426</c:v>
                </c:pt>
                <c:pt idx="25">
                  <c:v>62702.659302361462</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51784.780545778478</c:v>
                </c:pt>
                <c:pt idx="1">
                  <c:v>63190.309475932176</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38242.192048167191</c:v>
                </c:pt>
                <c:pt idx="1">
                  <c:v>5999.4640666463993</c:v>
                </c:pt>
                <c:pt idx="2">
                  <c:v>3599.6784399878402</c:v>
                </c:pt>
                <c:pt idx="3">
                  <c:v>2159.8070639927037</c:v>
                </c:pt>
                <c:pt idx="4">
                  <c:v>2159.8070639927037</c:v>
                </c:pt>
                <c:pt idx="5">
                  <c:v>1079.9035319963518</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4783.8135684894996</c:v>
                </c:pt>
                <c:pt idx="1">
                  <c:v>4878.707934163227</c:v>
                </c:pt>
                <c:pt idx="2">
                  <c:v>4975.4846467747211</c:v>
                </c:pt>
                <c:pt idx="3">
                  <c:v>5074.1810443977674</c:v>
                </c:pt>
                <c:pt idx="4">
                  <c:v>5174.8352057289412</c:v>
                </c:pt>
                <c:pt idx="5">
                  <c:v>5277.4859647780477</c:v>
                </c:pt>
                <c:pt idx="6">
                  <c:v>5382.1729258499581</c:v>
                </c:pt>
                <c:pt idx="7">
                  <c:v>5488.9364788236126</c:v>
                </c:pt>
                <c:pt idx="8">
                  <c:v>5597.8178147340659</c:v>
                </c:pt>
                <c:pt idx="9">
                  <c:v>5708.858941663616</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38242.192048167191</c:v>
                </c:pt>
                <c:pt idx="1">
                  <c:v>5999.4640666463993</c:v>
                </c:pt>
                <c:pt idx="2">
                  <c:v>3599.6784399878402</c:v>
                </c:pt>
                <c:pt idx="3">
                  <c:v>2159.8070639927037</c:v>
                </c:pt>
                <c:pt idx="4">
                  <c:v>2159.8070639927037</c:v>
                </c:pt>
                <c:pt idx="5">
                  <c:v>1079.9035319963518</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33458.378479677689</c:v>
                </c:pt>
                <c:pt idx="1">
                  <c:v>34579.134612160859</c:v>
                </c:pt>
                <c:pt idx="2">
                  <c:v>33203.328405373977</c:v>
                </c:pt>
                <c:pt idx="3">
                  <c:v>30288.954424968913</c:v>
                </c:pt>
                <c:pt idx="4">
                  <c:v>27273.926283232675</c:v>
                </c:pt>
                <c:pt idx="5">
                  <c:v>23076.34385045098</c:v>
                </c:pt>
                <c:pt idx="6">
                  <c:v>17694.170924601021</c:v>
                </c:pt>
                <c:pt idx="7">
                  <c:v>12205.234445777409</c:v>
                </c:pt>
                <c:pt idx="8">
                  <c:v>6607.4166310433429</c:v>
                </c:pt>
                <c:pt idx="9">
                  <c:v>898.55768937972698</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6.3471682971862203E-2</c:v>
                </c:pt>
                <c:pt idx="1">
                  <c:v>5.9869118959708964E-2</c:v>
                </c:pt>
                <c:pt idx="2">
                  <c:v>6.8940819715710797E-2</c:v>
                </c:pt>
                <c:pt idx="3">
                  <c:v>8.3485610360261281E-2</c:v>
                </c:pt>
                <c:pt idx="4">
                  <c:v>9.658625083698244E-2</c:v>
                </c:pt>
                <c:pt idx="5">
                  <c:v>0.11024271746910086</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876.08977443651042</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56.798364438558565</c:v>
                </c:pt>
                <c:pt idx="1">
                  <c:v>57.927231931774259</c:v>
                </c:pt>
                <c:pt idx="2">
                  <c:v>59.078535666418247</c:v>
                </c:pt>
                <c:pt idx="3">
                  <c:v>60.252721562788793</c:v>
                </c:pt>
                <c:pt idx="4">
                  <c:v>61.450244403848046</c:v>
                </c:pt>
                <c:pt idx="5">
                  <c:v>62.671568011374802</c:v>
                </c:pt>
                <c:pt idx="6">
                  <c:v>63.917165425600615</c:v>
                </c:pt>
                <c:pt idx="7">
                  <c:v>65.187519088434783</c:v>
                </c:pt>
                <c:pt idx="8">
                  <c:v>66.483121030317307</c:v>
                </c:pt>
                <c:pt idx="9">
                  <c:v>67.804473060795317</c:v>
                </c:pt>
                <c:pt idx="10">
                  <c:v>69.152086962878457</c:v>
                </c:pt>
                <c:pt idx="11">
                  <c:v>70.526484691265068</c:v>
                </c:pt>
                <c:pt idx="12">
                  <c:v>71.928198574503767</c:v>
                </c:pt>
                <c:pt idx="13">
                  <c:v>73.357771521170434</c:v>
                </c:pt>
                <c:pt idx="14">
                  <c:v>74.815757230155214</c:v>
                </c:pt>
                <c:pt idx="15">
                  <c:v>76.302720405104992</c:v>
                </c:pt>
                <c:pt idx="16">
                  <c:v>77.819236973155057</c:v>
                </c:pt>
                <c:pt idx="17">
                  <c:v>79.365894307997223</c:v>
                </c:pt>
                <c:pt idx="18">
                  <c:v>80.943291457369924</c:v>
                </c:pt>
                <c:pt idx="19">
                  <c:v>82.55203937508486</c:v>
                </c:pt>
                <c:pt idx="20">
                  <c:v>84.19276115766661</c:v>
                </c:pt>
                <c:pt idx="21">
                  <c:v>85.866092285674313</c:v>
                </c:pt>
                <c:pt idx="22">
                  <c:v>87.572680869852775</c:v>
                </c:pt>
                <c:pt idx="23">
                  <c:v>89.31318790214209</c:v>
                </c:pt>
                <c:pt idx="24">
                  <c:v>91.088287511696763</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3860724.9373546089</c:v>
                </c:pt>
                <c:pt idx="1">
                  <c:v>3861185.4279046091</c:v>
                </c:pt>
                <c:pt idx="2">
                  <c:v>3861643.6160018588</c:v>
                </c:pt>
                <c:pt idx="3">
                  <c:v>3862099.5131586227</c:v>
                </c:pt>
                <c:pt idx="4">
                  <c:v>3862553.1308296025</c:v>
                </c:pt>
                <c:pt idx="5">
                  <c:v>3863004.4804122276</c:v>
                </c:pt>
                <c:pt idx="6">
                  <c:v>3863453.5732469396</c:v>
                </c:pt>
                <c:pt idx="7">
                  <c:v>3863900.420617478</c:v>
                </c:pt>
                <c:pt idx="8">
                  <c:v>3864345.0337511636</c:v>
                </c:pt>
                <c:pt idx="9">
                  <c:v>3864787.4238191806</c:v>
                </c:pt>
                <c:pt idx="10">
                  <c:v>3865227.6019368581</c:v>
                </c:pt>
                <c:pt idx="11">
                  <c:v>3865665.5791639467</c:v>
                </c:pt>
                <c:pt idx="12">
                  <c:v>3866101.3665049002</c:v>
                </c:pt>
                <c:pt idx="13">
                  <c:v>3866534.9749091486</c:v>
                </c:pt>
                <c:pt idx="14">
                  <c:v>3866966.4152713758</c:v>
                </c:pt>
                <c:pt idx="15">
                  <c:v>3867395.6984317922</c:v>
                </c:pt>
                <c:pt idx="16">
                  <c:v>3867822.835176406</c:v>
                </c:pt>
                <c:pt idx="17">
                  <c:v>3868247.8362372969</c:v>
                </c:pt>
                <c:pt idx="18">
                  <c:v>3868670.7122928835</c:v>
                </c:pt>
                <c:pt idx="19">
                  <c:v>3869091.4739681925</c:v>
                </c:pt>
                <c:pt idx="20">
                  <c:v>3869510.1318351245</c:v>
                </c:pt>
                <c:pt idx="21">
                  <c:v>3869926.6964127216</c:v>
                </c:pt>
                <c:pt idx="22">
                  <c:v>3870341.1781674311</c:v>
                </c:pt>
                <c:pt idx="23">
                  <c:v>3870753.5875133672</c:v>
                </c:pt>
                <c:pt idx="24">
                  <c:v>3871163.9348125733</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92098.110000000306</c:v>
                </c:pt>
                <c:pt idx="1">
                  <c:v>91637.619450000304</c:v>
                </c:pt>
                <c:pt idx="2">
                  <c:v>91179.431352750296</c:v>
                </c:pt>
                <c:pt idx="3">
                  <c:v>90723.534195986547</c:v>
                </c:pt>
                <c:pt idx="4">
                  <c:v>90269.916525006614</c:v>
                </c:pt>
                <c:pt idx="5">
                  <c:v>89818.566942381585</c:v>
                </c:pt>
                <c:pt idx="6">
                  <c:v>89369.474107669681</c:v>
                </c:pt>
                <c:pt idx="7">
                  <c:v>88922.62673713133</c:v>
                </c:pt>
                <c:pt idx="8">
                  <c:v>88478.013603445666</c:v>
                </c:pt>
                <c:pt idx="9">
                  <c:v>88035.623535428444</c:v>
                </c:pt>
                <c:pt idx="10">
                  <c:v>87595.445417751296</c:v>
                </c:pt>
                <c:pt idx="11">
                  <c:v>87157.468190662534</c:v>
                </c:pt>
                <c:pt idx="12">
                  <c:v>86721.680849709228</c:v>
                </c:pt>
                <c:pt idx="13">
                  <c:v>86288.072445460683</c:v>
                </c:pt>
                <c:pt idx="14">
                  <c:v>85856.632083233373</c:v>
                </c:pt>
                <c:pt idx="15">
                  <c:v>85427.348922817211</c:v>
                </c:pt>
                <c:pt idx="16">
                  <c:v>85000.212178203132</c:v>
                </c:pt>
                <c:pt idx="17">
                  <c:v>84575.211117312123</c:v>
                </c:pt>
                <c:pt idx="18">
                  <c:v>84152.335061725564</c:v>
                </c:pt>
                <c:pt idx="19">
                  <c:v>83731.573386416931</c:v>
                </c:pt>
                <c:pt idx="20">
                  <c:v>83312.915519484843</c:v>
                </c:pt>
                <c:pt idx="21">
                  <c:v>82896.350941887416</c:v>
                </c:pt>
                <c:pt idx="22">
                  <c:v>82481.869187177974</c:v>
                </c:pt>
                <c:pt idx="23">
                  <c:v>82069.459841242089</c:v>
                </c:pt>
                <c:pt idx="24">
                  <c:v>81659.112542035873</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3860724.9373546089</c:v>
                </c:pt>
                <c:pt idx="1">
                  <c:v>92098.110000000306</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5EFD3723-89D2-064C-A344-6414C5DAC8C3}">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3" customWidth="1"/>
  </cols>
  <sheetData>
    <row r="2" spans="2:14" ht="56" customHeight="1" x14ac:dyDescent="0.15">
      <c r="D2" s="34"/>
      <c r="E2" s="3"/>
      <c r="F2" s="3"/>
      <c r="G2" s="3"/>
      <c r="H2"/>
      <c r="I2"/>
      <c r="J2"/>
      <c r="K2"/>
      <c r="L2"/>
      <c r="M2"/>
      <c r="N2"/>
    </row>
    <row r="3" spans="2:14" ht="18" x14ac:dyDescent="0.2">
      <c r="D3" s="3"/>
      <c r="F3" s="457"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6"/>
      <c r="F17" s="477"/>
      <c r="G17" s="478"/>
      <c r="H17" s="478"/>
      <c r="I17" s="478"/>
      <c r="J17" s="479"/>
      <c r="K17"/>
      <c r="L17"/>
      <c r="M17"/>
      <c r="N17"/>
    </row>
    <row r="18" spans="2:14" ht="14" customHeight="1" x14ac:dyDescent="0.15">
      <c r="B18" s="473" t="s">
        <v>464</v>
      </c>
      <c r="C18" s="473"/>
      <c r="D18" s="473"/>
      <c r="E18" s="456"/>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6"/>
      <c r="F20" s="63"/>
      <c r="G20" s="3"/>
      <c r="H20"/>
      <c r="I20"/>
      <c r="J20"/>
      <c r="K20"/>
      <c r="L20"/>
      <c r="M20"/>
      <c r="N20"/>
    </row>
    <row r="21" spans="2:14" ht="14" customHeight="1" x14ac:dyDescent="0.15">
      <c r="B21" s="473"/>
      <c r="C21" s="473"/>
      <c r="D21" s="473"/>
      <c r="E21" s="456"/>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4"/>
      <c r="I24" s="455"/>
      <c r="J24" s="455"/>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H30" zoomScale="75"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6"/>
    </row>
    <row r="2" spans="1:44" ht="20" thickBot="1" x14ac:dyDescent="0.3">
      <c r="H2" s="28" t="s">
        <v>149</v>
      </c>
    </row>
    <row r="3" spans="1:44" ht="21" customHeight="1" x14ac:dyDescent="0.25">
      <c r="H3" s="31" t="s">
        <v>407</v>
      </c>
      <c r="I3" s="31"/>
      <c r="L3" s="29"/>
      <c r="M3" s="29"/>
      <c r="N3" s="29"/>
      <c r="P3" s="490" t="s">
        <v>0</v>
      </c>
      <c r="Q3" s="491"/>
      <c r="R3" s="491"/>
      <c r="S3" s="491"/>
      <c r="T3" s="491"/>
      <c r="U3" s="491"/>
      <c r="V3" s="491"/>
      <c r="W3" s="491"/>
      <c r="X3" s="492"/>
    </row>
    <row r="4" spans="1:44" ht="20" customHeight="1" x14ac:dyDescent="0.25">
      <c r="A4" s="13"/>
      <c r="H4" s="32" t="s">
        <v>27</v>
      </c>
      <c r="I4" s="32"/>
      <c r="P4" s="493" t="s">
        <v>312</v>
      </c>
      <c r="Q4" s="494"/>
      <c r="R4" s="494"/>
      <c r="S4" s="494"/>
      <c r="T4" s="494"/>
      <c r="U4" s="494"/>
      <c r="V4" s="494"/>
      <c r="W4" s="494"/>
      <c r="X4" s="495"/>
    </row>
    <row r="5" spans="1:44" ht="26" customHeight="1" thickBot="1" x14ac:dyDescent="0.3">
      <c r="A5"/>
      <c r="I5" s="174"/>
      <c r="J5"/>
      <c r="K5"/>
      <c r="L5" s="473" t="s">
        <v>462</v>
      </c>
      <c r="M5" s="473"/>
      <c r="N5" s="473"/>
      <c r="P5" s="493"/>
      <c r="Q5" s="494"/>
      <c r="R5" s="494"/>
      <c r="S5" s="494"/>
      <c r="T5" s="494"/>
      <c r="U5" s="494"/>
      <c r="V5" s="494"/>
      <c r="W5" s="494"/>
      <c r="X5" s="495"/>
    </row>
    <row r="6" spans="1:44" ht="16" customHeight="1" x14ac:dyDescent="0.15">
      <c r="A6"/>
      <c r="H6" s="507" t="s">
        <v>199</v>
      </c>
      <c r="I6" s="508"/>
      <c r="J6" s="450" t="s">
        <v>314</v>
      </c>
      <c r="K6"/>
      <c r="L6" s="473"/>
      <c r="M6" s="473"/>
      <c r="N6" s="473"/>
      <c r="P6" s="493"/>
      <c r="Q6" s="494"/>
      <c r="R6" s="494"/>
      <c r="S6" s="494"/>
      <c r="T6" s="494"/>
      <c r="U6" s="494"/>
      <c r="V6" s="494"/>
      <c r="W6" s="494"/>
      <c r="X6" s="495"/>
    </row>
    <row r="7" spans="1:44" ht="15" customHeight="1" x14ac:dyDescent="0.2">
      <c r="A7"/>
      <c r="H7" s="509"/>
      <c r="I7" s="510"/>
      <c r="J7" s="451" t="s">
        <v>245</v>
      </c>
      <c r="K7" s="14"/>
      <c r="L7" s="473"/>
      <c r="M7" s="473"/>
      <c r="N7" s="473"/>
      <c r="P7" s="493"/>
      <c r="Q7" s="494"/>
      <c r="R7" s="494"/>
      <c r="S7" s="494"/>
      <c r="T7" s="494"/>
      <c r="U7" s="494"/>
      <c r="V7" s="494"/>
      <c r="W7" s="494"/>
      <c r="X7" s="495"/>
    </row>
    <row r="8" spans="1:44" ht="13" customHeight="1" thickBot="1" x14ac:dyDescent="0.25">
      <c r="H8" s="511"/>
      <c r="I8" s="512"/>
      <c r="J8" s="452" t="s">
        <v>219</v>
      </c>
      <c r="K8"/>
      <c r="L8" s="473"/>
      <c r="M8" s="473"/>
      <c r="N8" s="473"/>
      <c r="P8" s="493"/>
      <c r="Q8" s="494"/>
      <c r="R8" s="494"/>
      <c r="S8" s="494"/>
      <c r="T8" s="494"/>
      <c r="U8" s="494"/>
      <c r="V8" s="494"/>
      <c r="W8" s="494"/>
      <c r="X8" s="495"/>
    </row>
    <row r="9" spans="1:44" ht="22" customHeight="1" thickBot="1" x14ac:dyDescent="0.25">
      <c r="L9" s="473"/>
      <c r="M9" s="473"/>
      <c r="N9" s="473"/>
      <c r="P9" s="493"/>
      <c r="Q9" s="494"/>
      <c r="R9" s="494"/>
      <c r="S9" s="494"/>
      <c r="T9" s="494"/>
      <c r="U9" s="494"/>
      <c r="V9" s="494"/>
      <c r="W9" s="494"/>
      <c r="X9" s="495"/>
      <c r="Y9" s="2"/>
      <c r="Z9" s="2"/>
      <c r="AA9" s="2"/>
    </row>
    <row r="10" spans="1:44" ht="15" customHeight="1" thickBot="1" x14ac:dyDescent="0.25">
      <c r="H10" s="486" t="s">
        <v>214</v>
      </c>
      <c r="I10" s="487"/>
      <c r="J10" s="458"/>
      <c r="K10"/>
      <c r="L10" s="473"/>
      <c r="M10" s="473"/>
      <c r="N10" s="473"/>
      <c r="P10" s="496"/>
      <c r="Q10" s="497"/>
      <c r="R10" s="497"/>
      <c r="S10" s="497"/>
      <c r="T10" s="497"/>
      <c r="U10" s="497"/>
      <c r="V10" s="497"/>
      <c r="W10" s="497"/>
      <c r="X10" s="498"/>
      <c r="Y10" s="2"/>
      <c r="Z10" s="2"/>
      <c r="AA10" s="2"/>
    </row>
    <row r="11" spans="1:44" customFormat="1" ht="13" customHeight="1" thickBot="1" x14ac:dyDescent="0.25">
      <c r="B11" s="468">
        <v>9</v>
      </c>
      <c r="C11" s="3"/>
      <c r="D11" s="3"/>
      <c r="E11" s="3"/>
      <c r="F11" s="3"/>
      <c r="G11" s="3"/>
      <c r="H11" s="488" t="s">
        <v>216</v>
      </c>
      <c r="I11" s="489"/>
      <c r="J11" s="459"/>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04" t="s">
        <v>259</v>
      </c>
      <c r="O16" s="505"/>
      <c r="P16" s="506"/>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3"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60855.61153846154</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3"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501" t="s">
        <v>128</v>
      </c>
      <c r="O21" s="502"/>
      <c r="P21" s="503"/>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114975.09002171065</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77200</v>
      </c>
      <c r="E23" s="120">
        <f>Size_of_System_in_W_DC/$E$30</f>
        <v>64333.333333333336</v>
      </c>
      <c r="F23" s="161"/>
      <c r="G23" s="70" t="s">
        <v>144</v>
      </c>
      <c r="H23" s="110">
        <f>Aggregate_Project_Cost</f>
        <v>114975.09002171065</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114975.09002171065</v>
      </c>
      <c r="I24" s="161"/>
      <c r="J24" s="80" t="s">
        <v>101</v>
      </c>
      <c r="K24" s="105">
        <v>10</v>
      </c>
      <c r="L24" s="164"/>
      <c r="M24" s="131"/>
      <c r="N24" s="269" t="s">
        <v>75</v>
      </c>
      <c r="O24" s="264"/>
      <c r="P24" s="280">
        <f>P22-P23</f>
        <v>114975.09002171065</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1192.9806994818691</v>
      </c>
      <c r="F25" s="161"/>
      <c r="G25" s="80" t="s">
        <v>374</v>
      </c>
      <c r="H25" s="108">
        <v>6.5000000000000002E-2</v>
      </c>
      <c r="I25" s="161"/>
      <c r="J25" s="75" t="s">
        <v>62</v>
      </c>
      <c r="K25" s="76"/>
      <c r="L25" s="164"/>
      <c r="M25" s="131"/>
      <c r="N25" s="270" t="s">
        <v>148</v>
      </c>
      <c r="O25" s="271"/>
      <c r="P25" s="280">
        <f>Unstructured!C89</f>
        <v>-10574.109617724054</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5.1457313670481453E-2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6">
        <v>0.96</v>
      </c>
      <c r="F27" s="168">
        <v>1</v>
      </c>
      <c r="G27" s="70" t="s">
        <v>39</v>
      </c>
      <c r="H27" s="423" t="s">
        <v>309</v>
      </c>
      <c r="I27" s="161"/>
      <c r="J27" s="71" t="s">
        <v>192</v>
      </c>
      <c r="K27" s="121">
        <f>K34</f>
        <v>250000</v>
      </c>
      <c r="L27" s="164"/>
      <c r="M27" s="131"/>
      <c r="N27" s="272" t="s">
        <v>60</v>
      </c>
      <c r="O27" s="266"/>
      <c r="P27" s="284">
        <f>Unstructured!C83</f>
        <v>1.4745100305481929E-2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7">
        <f>(Size_of_System_in_W_DC/1000)*$E$25</f>
        <v>92098.110000000306</v>
      </c>
      <c r="F28" s="169"/>
      <c r="G28" s="71" t="s">
        <v>40</v>
      </c>
      <c r="H28" s="105">
        <v>20</v>
      </c>
      <c r="I28" s="161"/>
      <c r="J28" s="71" t="s">
        <v>375</v>
      </c>
      <c r="K28" s="326">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88414.185600000288</v>
      </c>
      <c r="F29" s="161"/>
      <c r="G29" s="71" t="s">
        <v>41</v>
      </c>
      <c r="H29" s="108">
        <v>5.5E-2</v>
      </c>
      <c r="I29" s="161"/>
      <c r="J29" s="71" t="s">
        <v>180</v>
      </c>
      <c r="K29" s="327">
        <v>0</v>
      </c>
      <c r="L29" s="164"/>
      <c r="M29" s="131"/>
      <c r="N29" s="504" t="s">
        <v>194</v>
      </c>
      <c r="O29" s="505"/>
      <c r="P29" s="506"/>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45990.036008684263</v>
      </c>
      <c r="I30" s="161"/>
      <c r="J30" s="71" t="s">
        <v>301</v>
      </c>
      <c r="K30" s="328">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3" t="s">
        <v>85</v>
      </c>
      <c r="C31" s="514"/>
      <c r="D31" s="515"/>
      <c r="E31" s="516"/>
      <c r="F31" s="161"/>
      <c r="G31" s="71" t="s">
        <v>136</v>
      </c>
      <c r="H31" s="108">
        <v>1.25</v>
      </c>
      <c r="I31" s="161"/>
      <c r="J31" s="80" t="s">
        <v>302</v>
      </c>
      <c r="K31" s="329">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60" t="s">
        <v>88</v>
      </c>
      <c r="C32" s="461"/>
      <c r="D32" s="463"/>
      <c r="E32" s="121">
        <f>Size_of_System_in_W_DC*$D$18</f>
        <v>99504.600839999985</v>
      </c>
      <c r="F32" s="161"/>
      <c r="G32" s="80" t="s">
        <v>137</v>
      </c>
      <c r="H32" s="322"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23" t="s">
        <v>317</v>
      </c>
      <c r="H33" s="524"/>
      <c r="I33" s="161"/>
      <c r="J33" s="71" t="s">
        <v>10</v>
      </c>
      <c r="K33" s="423"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2" t="s">
        <v>458</v>
      </c>
      <c r="I34" s="161"/>
      <c r="J34" s="71" t="s">
        <v>377</v>
      </c>
      <c r="K34" s="110">
        <v>250000</v>
      </c>
      <c r="L34" s="164"/>
      <c r="M34" s="131"/>
      <c r="N34" s="269" t="s">
        <v>82</v>
      </c>
      <c r="O34" s="264"/>
      <c r="P34" s="288">
        <f>E32</f>
        <v>99504.600839999985</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11056.06676</v>
      </c>
      <c r="F35" s="161"/>
      <c r="G35" s="71" t="s">
        <v>235</v>
      </c>
      <c r="H35" s="422" t="s">
        <v>456</v>
      </c>
      <c r="I35" s="161"/>
      <c r="J35" s="71" t="s">
        <v>94</v>
      </c>
      <c r="K35" s="423"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2" t="s">
        <v>373</v>
      </c>
      <c r="I36" s="161"/>
      <c r="J36" s="71" t="s">
        <v>376</v>
      </c>
      <c r="K36" s="423" t="s">
        <v>309</v>
      </c>
      <c r="L36" s="164"/>
      <c r="M36" s="131"/>
      <c r="N36" s="269" t="s">
        <v>58</v>
      </c>
      <c r="O36" s="271"/>
      <c r="P36" s="288">
        <f>E35</f>
        <v>11056.06676</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4414.422421710663</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4414.422421710663</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4"/>
      <c r="E39" s="123">
        <f>SUM(E32:E38)</f>
        <v>114975.09002171065</v>
      </c>
      <c r="F39" s="161"/>
      <c r="G39" s="462" t="s">
        <v>437</v>
      </c>
      <c r="H39" s="422" t="s">
        <v>329</v>
      </c>
      <c r="I39" s="161"/>
      <c r="J39" s="71" t="s">
        <v>107</v>
      </c>
      <c r="K39" s="114">
        <v>2.5000000000000001E-2</v>
      </c>
      <c r="L39" s="164"/>
      <c r="M39" s="131"/>
      <c r="N39" s="270" t="s">
        <v>54</v>
      </c>
      <c r="O39" s="264"/>
      <c r="P39" s="288">
        <f>SUM(P34:P38)</f>
        <v>114975.09002171065</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62" t="s">
        <v>438</v>
      </c>
      <c r="H40" s="422"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7" t="s">
        <v>28</v>
      </c>
      <c r="C41" s="518"/>
      <c r="D41" s="519"/>
      <c r="E41" s="520"/>
      <c r="F41" s="166"/>
      <c r="G41" s="71" t="s">
        <v>97</v>
      </c>
      <c r="H41" s="412">
        <f>SUMIF($E$65:$E$68,"Yes",$D$65:$D$68)</f>
        <v>0.3</v>
      </c>
      <c r="I41" s="161"/>
      <c r="J41" s="71" t="s">
        <v>304</v>
      </c>
      <c r="K41" s="115">
        <f>15.21/1000</f>
        <v>1.5210000000000001E-2</v>
      </c>
      <c r="L41" s="164"/>
      <c r="M41" s="131"/>
      <c r="N41" s="272" t="s">
        <v>69</v>
      </c>
      <c r="O41" s="266"/>
      <c r="P41" s="289">
        <f>P26-H25</f>
        <v>-1.354268632951855E-2</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70" t="s">
        <v>53</v>
      </c>
      <c r="C42" s="471"/>
      <c r="D42" s="472"/>
      <c r="E42" s="341">
        <v>7.3648296020305801E-2</v>
      </c>
      <c r="F42" s="166"/>
      <c r="G42" s="462"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9"/>
      <c r="E43" s="200">
        <v>0</v>
      </c>
      <c r="F43" s="166"/>
      <c r="G43" s="462" t="s">
        <v>439</v>
      </c>
      <c r="H43" s="424">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9"/>
      <c r="E44" s="200">
        <v>2.5000000000000001E-2</v>
      </c>
      <c r="F44" s="151"/>
      <c r="G44" s="462" t="s">
        <v>430</v>
      </c>
      <c r="H44" s="424">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9"/>
      <c r="E45" s="342">
        <v>329401.9206128841</v>
      </c>
      <c r="F45" s="151"/>
      <c r="G45" s="462" t="s">
        <v>431</v>
      </c>
      <c r="H45" s="425">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9"/>
      <c r="E46" s="200">
        <v>0.06</v>
      </c>
      <c r="F46" s="151"/>
      <c r="G46" s="462" t="s">
        <v>432</v>
      </c>
      <c r="H46" s="115">
        <v>26</v>
      </c>
      <c r="I46" s="146"/>
      <c r="J46" s="151"/>
      <c r="K46" s="151"/>
      <c r="L46" s="162"/>
      <c r="M46" s="138"/>
      <c r="N46" s="131"/>
      <c r="O46" s="131"/>
      <c r="P46" s="131"/>
      <c r="Q46" s="128"/>
      <c r="R46" s="540" t="str">
        <f>IF(Project_Debt?="Yes", "Partnership data compromised. Debt should be turned off in cell H27.","")</f>
        <v/>
      </c>
      <c r="S46" s="540"/>
      <c r="T46" s="540"/>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3">
        <v>0.2</v>
      </c>
      <c r="F47" s="154"/>
      <c r="G47" s="462" t="s">
        <v>433</v>
      </c>
      <c r="H47" s="112">
        <v>0.02</v>
      </c>
      <c r="I47" s="146"/>
      <c r="J47" s="154"/>
      <c r="K47" s="154"/>
      <c r="L47" s="163"/>
      <c r="M47" s="131"/>
      <c r="N47" s="131"/>
      <c r="O47" s="131"/>
      <c r="P47" s="131"/>
      <c r="Q47" s="128"/>
      <c r="R47" s="540"/>
      <c r="S47" s="540"/>
      <c r="T47" s="540"/>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2" t="s">
        <v>434</v>
      </c>
      <c r="H48" s="112">
        <v>0.05</v>
      </c>
      <c r="I48" s="146"/>
      <c r="J48" s="146"/>
      <c r="K48" s="148"/>
      <c r="L48" s="150"/>
      <c r="M48" s="128"/>
      <c r="N48" s="526" t="s">
        <v>190</v>
      </c>
      <c r="O48" s="527"/>
      <c r="P48" s="528"/>
      <c r="Q48" s="128"/>
      <c r="R48" s="540"/>
      <c r="S48" s="540"/>
      <c r="T48" s="540"/>
      <c r="U48" s="128"/>
      <c r="V48" s="143"/>
      <c r="W48" s="128"/>
      <c r="X48" s="499" t="s">
        <v>152</v>
      </c>
      <c r="Y48" s="500"/>
      <c r="Z48" s="500"/>
      <c r="AA48" s="500"/>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21" t="s">
        <v>427</v>
      </c>
      <c r="C49" s="522"/>
      <c r="D49" s="522"/>
      <c r="E49" s="522"/>
      <c r="F49" s="146"/>
      <c r="G49" s="462" t="s">
        <v>435</v>
      </c>
      <c r="H49" s="413">
        <f>(1-Additional_ITC_Basis_Reducer_Fine_Tuning)*(Project_Sale_Price-(Site_Purchase_Price+Roof_Upgrade_Cost+Other_Closing_Costs_Fees+IF($E$23&gt;5000000,Interconnection_Costs,0)))</f>
        <v>105032.63421999998</v>
      </c>
      <c r="I49" s="146"/>
      <c r="J49" s="146"/>
      <c r="K49" s="148"/>
      <c r="L49" s="159"/>
      <c r="M49" s="128"/>
      <c r="N49" s="68"/>
      <c r="O49" s="102" t="s">
        <v>262</v>
      </c>
      <c r="P49" s="103" t="s">
        <v>263</v>
      </c>
      <c r="Q49" s="128"/>
      <c r="R49" s="128"/>
      <c r="S49" s="128"/>
      <c r="T49" s="128"/>
      <c r="U49" s="128"/>
      <c r="V49" s="143"/>
      <c r="W49" s="128"/>
      <c r="X49" s="302"/>
      <c r="Y49" s="262"/>
      <c r="Z49" s="262"/>
      <c r="AA49" s="304"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1" t="s">
        <v>436</v>
      </c>
      <c r="H50" s="414">
        <f>H49*Federal_ITC_Rate*IF(AND(Owner_is_Taxpayer_Non_Taxpayer?="Non-Taxpayer", Project_Debt?="Yes"),1-MIN(0.15,Project_Loan_Amount/Project_Sale_Price),1)</f>
        <v>31509.790265999993</v>
      </c>
      <c r="I50" s="146"/>
      <c r="J50" s="146"/>
      <c r="K50" s="148"/>
      <c r="L50" s="159"/>
      <c r="M50" s="128"/>
      <c r="N50" s="270" t="s">
        <v>280</v>
      </c>
      <c r="O50" s="290">
        <f>'Partnership Flip'!C69</f>
        <v>-63190.309475932176</v>
      </c>
      <c r="P50" s="291">
        <f>'Partnership Flip'!C56</f>
        <v>-51784.780545778478</v>
      </c>
      <c r="Q50" s="128"/>
      <c r="R50" s="128"/>
      <c r="S50" s="128"/>
      <c r="T50" s="128"/>
      <c r="U50" s="128"/>
      <c r="V50" s="143"/>
      <c r="W50" s="128"/>
      <c r="X50" s="270" t="s">
        <v>123</v>
      </c>
      <c r="Y50" s="305" t="s">
        <v>173</v>
      </c>
      <c r="Z50" s="305" t="s">
        <v>175</v>
      </c>
      <c r="AA50" s="304"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89277.739086999994</v>
      </c>
      <c r="F51" s="146"/>
      <c r="G51" s="523" t="s">
        <v>318</v>
      </c>
      <c r="H51" s="524"/>
      <c r="I51" s="146"/>
      <c r="J51" s="146"/>
      <c r="K51" s="148"/>
      <c r="L51" s="158"/>
      <c r="M51" s="128"/>
      <c r="N51" s="273" t="s">
        <v>254</v>
      </c>
      <c r="O51" s="323">
        <f>'Partnership Flip'!C75</f>
        <v>4.9390536936485541E-2</v>
      </c>
      <c r="P51" s="324">
        <f>'Partnership Flip'!C62</f>
        <v>6.5573808510358988E-2</v>
      </c>
      <c r="Q51" s="128"/>
      <c r="R51" s="128"/>
      <c r="S51" s="128"/>
      <c r="T51" s="128"/>
      <c r="U51" s="128"/>
      <c r="V51" s="143"/>
      <c r="W51" s="128"/>
      <c r="X51" s="269" t="s">
        <v>361</v>
      </c>
      <c r="Y51" s="306">
        <f>'Customer Analysis'!$D$22+'Customer Analysis'!$D$23</f>
        <v>7.3648296020305801E-2</v>
      </c>
      <c r="Z51" s="306">
        <f>'Customer Analysis'!$W$22+'Customer Analysis'!$W$23</f>
        <v>0.11773786210560654</v>
      </c>
      <c r="AA51" s="307">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292">
        <f>'Partnership Flip'!C74</f>
        <v>-10635.056241931823</v>
      </c>
      <c r="P52" s="293">
        <f>'Partnership Flip'!C61</f>
        <v>60.946624207754212</v>
      </c>
      <c r="Q52" s="128"/>
      <c r="R52" s="128"/>
      <c r="S52" s="128"/>
      <c r="T52" s="128"/>
      <c r="U52" s="128"/>
      <c r="V52" s="143"/>
      <c r="W52" s="128"/>
      <c r="X52" s="269" t="s">
        <v>122</v>
      </c>
      <c r="Y52" s="306">
        <f>'Customer Analysis'!$D$24</f>
        <v>7.3031580167629145E-2</v>
      </c>
      <c r="Z52" s="306">
        <f>'Customer Analysis'!$W$24</f>
        <v>0.11675194919323223</v>
      </c>
      <c r="AA52" s="307">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4">
        <f>'Partnership Flip'!C77</f>
        <v>4.8850122193621059E-2</v>
      </c>
      <c r="P53" s="295">
        <f>'Partnership Flip'!C64</f>
        <v>-9.2670539213302372E-2</v>
      </c>
      <c r="Q53" s="128"/>
      <c r="R53" s="128"/>
      <c r="S53" s="128"/>
      <c r="T53" s="128"/>
      <c r="U53" s="128"/>
      <c r="V53" s="143"/>
      <c r="W53" s="128"/>
      <c r="X53" s="269"/>
      <c r="Y53" s="306"/>
      <c r="Z53" s="306"/>
      <c r="AA53" s="308"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17855.547817399998</v>
      </c>
      <c r="E54" s="94">
        <f t="shared" ref="E54:E59" si="0">Depreciation_Basis*C54</f>
        <v>17855.547817399998</v>
      </c>
      <c r="F54" s="146"/>
      <c r="G54" s="71" t="s">
        <v>319</v>
      </c>
      <c r="H54" s="180">
        <v>0</v>
      </c>
      <c r="I54" s="157"/>
      <c r="J54" s="146"/>
      <c r="K54" s="148"/>
      <c r="L54" s="158"/>
      <c r="M54" s="128"/>
      <c r="N54" s="273"/>
      <c r="O54" s="296"/>
      <c r="P54" s="287"/>
      <c r="Q54" s="128"/>
      <c r="R54" s="128"/>
      <c r="S54" s="128"/>
      <c r="T54" s="128"/>
      <c r="U54" s="128"/>
      <c r="V54" s="143"/>
      <c r="W54" s="128"/>
      <c r="X54" s="270" t="s">
        <v>264</v>
      </c>
      <c r="Y54" s="309" t="s">
        <v>173</v>
      </c>
      <c r="Z54" s="309" t="s">
        <v>175</v>
      </c>
      <c r="AA54" s="308"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28568.876507839999</v>
      </c>
      <c r="E55" s="94">
        <f t="shared" si="0"/>
        <v>28568.876507839999</v>
      </c>
      <c r="F55" s="146"/>
      <c r="G55" s="71" t="s">
        <v>320</v>
      </c>
      <c r="H55" s="110">
        <f>Depreciation_Basis</f>
        <v>89277.739086999994</v>
      </c>
      <c r="I55" s="157"/>
      <c r="J55" s="146"/>
      <c r="K55" s="148"/>
      <c r="L55" s="158"/>
      <c r="M55" s="128"/>
      <c r="N55" s="273" t="s">
        <v>65</v>
      </c>
      <c r="O55" s="296"/>
      <c r="P55" s="297">
        <f>'Partnership Flip'!C65</f>
        <v>6</v>
      </c>
      <c r="Q55" s="128"/>
      <c r="R55" s="128"/>
      <c r="S55" s="128"/>
      <c r="T55" s="128"/>
      <c r="U55" s="128"/>
      <c r="V55" s="143"/>
      <c r="W55" s="128"/>
      <c r="X55" s="269" t="s">
        <v>265</v>
      </c>
      <c r="Y55" s="310">
        <f>'Customer Analysis'!$D$19</f>
        <v>3860724.9373546089</v>
      </c>
      <c r="Z55" s="310">
        <f>'Customer Analysis'!$W$19</f>
        <v>3869091.4739681925</v>
      </c>
      <c r="AA55" s="307">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17141.325904704001</v>
      </c>
      <c r="E56" s="94">
        <f t="shared" si="0"/>
        <v>17141.325904704001</v>
      </c>
      <c r="F56" s="146"/>
      <c r="G56" s="80" t="s">
        <v>2</v>
      </c>
      <c r="H56" s="112">
        <v>7.0000000000000007E-2</v>
      </c>
      <c r="I56" s="157"/>
      <c r="J56" s="146"/>
      <c r="K56" s="148"/>
      <c r="L56" s="158"/>
      <c r="M56" s="128"/>
      <c r="N56" s="265" t="s">
        <v>281</v>
      </c>
      <c r="O56" s="298"/>
      <c r="P56" s="299" t="str">
        <f>(100*Dashboard!$H$62) &amp;"%  to " &amp;(100*Dashboard!$H$63)&amp;"% Ratio"</f>
        <v>45.04%  to 54.96% Ratio</v>
      </c>
      <c r="Q56" s="128"/>
      <c r="R56" s="128"/>
      <c r="S56" s="128"/>
      <c r="T56" s="128"/>
      <c r="U56" s="128"/>
      <c r="V56" s="143"/>
      <c r="W56" s="128"/>
      <c r="X56" s="303" t="s">
        <v>221</v>
      </c>
      <c r="Y56" s="311">
        <f>'Customer Analysis'!$D$21</f>
        <v>92098.110000000306</v>
      </c>
      <c r="Z56" s="311">
        <f>'Customer Analysis'!$W$21</f>
        <v>83731.573386416931</v>
      </c>
      <c r="AA56" s="312">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10284.7955428224</v>
      </c>
      <c r="E57" s="94">
        <f t="shared" si="0"/>
        <v>10284.7955428224</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10284.7955428224</v>
      </c>
      <c r="E58" s="94">
        <f t="shared" si="0"/>
        <v>10284.7955428224</v>
      </c>
      <c r="F58" s="146"/>
      <c r="G58" s="71" t="s">
        <v>37</v>
      </c>
      <c r="H58" s="200">
        <v>0.99</v>
      </c>
      <c r="I58" s="157"/>
      <c r="J58" s="146"/>
      <c r="K58" s="148"/>
      <c r="L58" s="158"/>
      <c r="M58" s="128"/>
      <c r="N58" s="517" t="s">
        <v>211</v>
      </c>
      <c r="O58" s="518"/>
      <c r="P58" s="525"/>
      <c r="Q58" s="128"/>
      <c r="R58" s="128"/>
      <c r="S58" s="128"/>
      <c r="T58" s="128"/>
      <c r="U58" s="128"/>
      <c r="V58" s="143"/>
      <c r="W58" s="128"/>
      <c r="X58" s="526" t="s">
        <v>313</v>
      </c>
      <c r="Y58" s="527"/>
      <c r="Z58" s="527"/>
      <c r="AA58" s="528"/>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5142.3977714111998</v>
      </c>
      <c r="E59" s="94">
        <f t="shared" si="0"/>
        <v>5142.3977714111998</v>
      </c>
      <c r="F59" s="146"/>
      <c r="G59" s="71" t="s">
        <v>38</v>
      </c>
      <c r="H59" s="258">
        <f>1-$H$58</f>
        <v>1.0000000000000009E-2</v>
      </c>
      <c r="I59" s="157"/>
      <c r="J59" s="146"/>
      <c r="K59" s="148"/>
      <c r="L59" s="158"/>
      <c r="M59" s="128"/>
      <c r="N59" s="270" t="s">
        <v>212</v>
      </c>
      <c r="O59" s="271"/>
      <c r="P59" s="300" t="str">
        <f>Unstructured!$C$84</f>
        <v>Pass</v>
      </c>
      <c r="Q59" s="128"/>
      <c r="R59" s="128"/>
      <c r="S59" s="128"/>
      <c r="T59" s="128"/>
      <c r="U59" s="128"/>
      <c r="V59" s="143"/>
      <c r="W59" s="128"/>
      <c r="X59" s="275"/>
      <c r="Y59" s="321" t="s">
        <v>173</v>
      </c>
      <c r="Z59" s="321" t="s">
        <v>153</v>
      </c>
      <c r="AA59" s="304"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89277.73908699998</v>
      </c>
      <c r="E60" s="100">
        <f>SUM(E54:E59)</f>
        <v>89277.73908699998</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3">
        <f>Dashboard!H23</f>
        <v>114975.09002171065</v>
      </c>
      <c r="Z60" s="313">
        <f>'Customer Analysis'!$J$34</f>
        <v>58787.20435260528</v>
      </c>
      <c r="AA60" s="314">
        <f>'Customer Analysis'!$M$34</f>
        <v>56298.414063785618</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1" t="s">
        <v>234</v>
      </c>
      <c r="Q61" s="128"/>
      <c r="R61" s="128"/>
      <c r="S61" s="128"/>
      <c r="T61" s="128"/>
      <c r="U61" s="128"/>
      <c r="V61" s="143"/>
      <c r="W61" s="128"/>
      <c r="X61" s="275"/>
      <c r="Y61" s="313"/>
      <c r="Z61" s="296"/>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8">
        <f>'Customer Analysis'!$C$56</f>
        <v>6.3471682971862203E-2</v>
      </c>
      <c r="Z62" s="398">
        <f>'Customer Analysis'!$C$57</f>
        <v>5.9869118959708964E-2</v>
      </c>
      <c r="AA62" s="399">
        <f>'Customer Analysis'!$C$58</f>
        <v>6.8940819715710797E-2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45" t="s">
        <v>428</v>
      </c>
      <c r="C63" s="546"/>
      <c r="D63" s="546"/>
      <c r="E63" s="547"/>
      <c r="F63" s="146"/>
      <c r="G63" s="71" t="s">
        <v>11</v>
      </c>
      <c r="H63" s="258">
        <f>1-Tax_Equity_Investment_Share</f>
        <v>0.54959999999999998</v>
      </c>
      <c r="I63" s="157"/>
      <c r="J63" s="146"/>
      <c r="K63" s="148"/>
      <c r="L63" s="159"/>
      <c r="M63" s="128"/>
      <c r="N63" s="269" t="s">
        <v>82</v>
      </c>
      <c r="O63" s="264"/>
      <c r="P63" s="288">
        <f>E32</f>
        <v>99504.600839999985</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9" t="s">
        <v>421</v>
      </c>
      <c r="C64" s="409"/>
      <c r="D64" s="410" t="s">
        <v>422</v>
      </c>
      <c r="E64" s="420" t="s">
        <v>429</v>
      </c>
      <c r="F64" s="146"/>
      <c r="G64" s="71" t="s">
        <v>447</v>
      </c>
      <c r="H64" s="434">
        <v>5</v>
      </c>
      <c r="I64" s="146"/>
      <c r="J64" s="146"/>
      <c r="K64" s="148"/>
      <c r="L64" s="159"/>
      <c r="M64" s="128"/>
      <c r="N64" s="269" t="s">
        <v>310</v>
      </c>
      <c r="O64" s="264"/>
      <c r="P64" s="288">
        <f>Roof_Upgrade_Cost</f>
        <v>0</v>
      </c>
      <c r="Q64" s="128"/>
      <c r="R64" s="128"/>
      <c r="S64" s="128"/>
      <c r="T64" s="128"/>
      <c r="U64" s="128"/>
      <c r="V64" s="143"/>
      <c r="W64" s="128"/>
      <c r="X64" s="539" t="s">
        <v>469</v>
      </c>
      <c r="Y64" s="539"/>
      <c r="Z64" s="539"/>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5" t="s">
        <v>423</v>
      </c>
      <c r="D65" s="418">
        <v>0.3</v>
      </c>
      <c r="E65" s="424" t="s">
        <v>419</v>
      </c>
      <c r="F65" s="146"/>
      <c r="G65" s="71" t="s">
        <v>355</v>
      </c>
      <c r="H65" s="258">
        <f>Investor_Discount_Rate</f>
        <v>6.5000000000000002E-2</v>
      </c>
      <c r="I65" s="146"/>
      <c r="J65" s="146"/>
      <c r="K65" s="148"/>
      <c r="L65" s="159"/>
      <c r="M65" s="128"/>
      <c r="N65" s="269" t="s">
        <v>58</v>
      </c>
      <c r="O65" s="271"/>
      <c r="P65" s="288">
        <f>E35</f>
        <v>11056.06676</v>
      </c>
      <c r="Q65" s="128"/>
      <c r="R65" s="128"/>
      <c r="S65" s="128"/>
      <c r="T65" s="128"/>
      <c r="U65" s="128"/>
      <c r="V65" s="143"/>
      <c r="W65" s="128"/>
      <c r="X65" s="316" t="s">
        <v>282</v>
      </c>
      <c r="Y65" s="317"/>
      <c r="Z65" s="315">
        <f>Y60</f>
        <v>114975.09002171065</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5" t="s">
        <v>424</v>
      </c>
      <c r="D66" s="418">
        <v>0.1</v>
      </c>
      <c r="E66" s="424" t="s">
        <v>309</v>
      </c>
      <c r="F66" s="146"/>
      <c r="G66" s="71" t="s">
        <v>356</v>
      </c>
      <c r="H66" s="201">
        <v>3.5000000000000003E-2</v>
      </c>
      <c r="I66" s="146"/>
      <c r="J66" s="146"/>
      <c r="K66" s="148"/>
      <c r="L66" s="159"/>
      <c r="M66" s="128"/>
      <c r="N66" s="269" t="s">
        <v>59</v>
      </c>
      <c r="O66" s="264"/>
      <c r="P66" s="288">
        <f>SUM(E36:E38)</f>
        <v>4414.422421710663</v>
      </c>
      <c r="Q66" s="128"/>
      <c r="R66" s="128"/>
      <c r="S66" s="128"/>
      <c r="T66" s="128"/>
      <c r="U66" s="128"/>
      <c r="V66" s="143"/>
      <c r="W66" s="128"/>
      <c r="X66" s="318" t="s">
        <v>283</v>
      </c>
      <c r="Y66" s="319"/>
      <c r="Z66" s="314">
        <f>'Customer Analysis'!$C$70</f>
        <v>-6535.8368892555445</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5" t="s">
        <v>425</v>
      </c>
      <c r="D67" s="418">
        <v>0.1</v>
      </c>
      <c r="E67" s="424"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20"/>
      <c r="Z67" s="312">
        <f>'Customer Analysis'!$C$71</f>
        <v>8.0229392351944817E-2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6" t="s">
        <v>426</v>
      </c>
      <c r="C68" s="467"/>
      <c r="D68" s="421">
        <v>0.1</v>
      </c>
      <c r="E68" s="424" t="s">
        <v>309</v>
      </c>
      <c r="F68" s="146"/>
      <c r="G68" s="146"/>
      <c r="H68" s="146"/>
      <c r="I68" s="157"/>
      <c r="J68" s="438"/>
      <c r="K68" s="148"/>
      <c r="L68" s="159"/>
      <c r="M68" s="128"/>
      <c r="N68" s="270" t="s">
        <v>54</v>
      </c>
      <c r="O68" s="264"/>
      <c r="P68" s="288">
        <f>SUM(P63:P67)</f>
        <v>114975.09002171065</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533" t="s">
        <v>445</v>
      </c>
      <c r="C70" s="534"/>
      <c r="D70" s="534"/>
      <c r="E70" s="535"/>
      <c r="F70" s="146"/>
      <c r="G70" s="146"/>
      <c r="H70" s="160"/>
      <c r="I70" s="146"/>
      <c r="J70" s="146"/>
      <c r="K70" s="148"/>
      <c r="L70" s="159"/>
      <c r="M70" s="128"/>
      <c r="N70" s="272" t="s">
        <v>69</v>
      </c>
      <c r="O70" s="266"/>
      <c r="P70" s="289">
        <f>P51-H25</f>
        <v>5.7380851035898628E-4</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536"/>
      <c r="C71" s="537"/>
      <c r="D71" s="537"/>
      <c r="E71" s="538"/>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1" t="s">
        <v>442</v>
      </c>
      <c r="C72" s="432">
        <v>0.12</v>
      </c>
      <c r="D72" s="432">
        <v>0.15</v>
      </c>
      <c r="E72" s="432">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7" t="s">
        <v>443</v>
      </c>
      <c r="C73" s="426">
        <f>Aggregate_Project_Cost*C72</f>
        <v>13797.010802605279</v>
      </c>
      <c r="D73" s="426">
        <f>Aggregate_Project_Cost*D72</f>
        <v>17246.263503256596</v>
      </c>
      <c r="E73" s="427">
        <f>Aggregate_Project_Cost*E72</f>
        <v>20695.516203907919</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8" t="s">
        <v>444</v>
      </c>
      <c r="C74" s="429"/>
      <c r="D74" s="424" t="s">
        <v>311</v>
      </c>
      <c r="E74" s="430">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8"/>
      <c r="B78" s="448"/>
      <c r="C78" s="448"/>
      <c r="D78" s="448"/>
      <c r="E78" s="448"/>
      <c r="F78" s="448"/>
      <c r="G78" s="448"/>
      <c r="H78" s="448"/>
      <c r="I78" s="448"/>
      <c r="J78" s="448"/>
      <c r="K78" s="448"/>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9"/>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7"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3" t="s">
        <v>457</v>
      </c>
      <c r="C81" s="444" t="str">
        <f>"Solar System size is set to "&amp;TEXT(Size_of_System_in_W_DC,"0,0")&amp;" W(dc), with an AC/DC Conversion Ratio of "&amp;TEXT($E$30*100,0)&amp;"%."</f>
        <v>Solar System size is set to 77,200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3" t="s">
        <v>457</v>
      </c>
      <c r="C82" s="444" t="str">
        <f>"Solar Production is based upon a manual entry of "&amp;TEXT(Manual_Entry_Estimated_P50_Production,"0,0")&amp;" kWhs per kW(dc)."</f>
        <v>Solar Production is based upon a manual entry of 1,193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5" t="s">
        <v>457</v>
      </c>
      <c r="C83" s="446" t="str">
        <f>"P50 Solar Production for the 1st Year is estimated to be "&amp;TEXT(P50_Production_1st_Yr,"#,#")&amp;" kWhs."</f>
        <v>P50 Solar Production for the 1st Year is estimated to be 92,098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3" t="s">
        <v>457</v>
      </c>
      <c r="C84" s="446"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3" t="s">
        <v>457</v>
      </c>
      <c r="C85" s="446" t="str">
        <f>"Development Margins are set to $"&amp;TEXT(D21,"0.00")&amp;" per W(dc), for a total Development Margin of $"&amp;TEXT(ROUNDUP(E35,0),"0,0")&amp;"."</f>
        <v>Development Margins are set to $0.14 per W(dc), for a total Development Margin of $11,057.</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3" t="s">
        <v>457</v>
      </c>
      <c r="C86" s="446" t="str">
        <f>"Constsruction Costs are set to $"&amp;TEXT(D18,"0.00")&amp;" per W(dc), for a total build cost of $"&amp;TEXT(ROUNDUP(Aggregate_Construction_Cost,0),"0,0")&amp;", excluding Interconnection Costs and Development Costs."</f>
        <v>Constsruction Costs are set to $1.29 per W(dc), for a total build cost of $99,505,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3" t="s">
        <v>457</v>
      </c>
      <c r="C87" s="446"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3" t="s">
        <v>457</v>
      </c>
      <c r="C88" s="446"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3" t="s">
        <v>457</v>
      </c>
      <c r="C89" s="446"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3" t="s">
        <v>457</v>
      </c>
      <c r="C90" s="446"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3" t="s">
        <v>457</v>
      </c>
      <c r="C91" s="446"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3" t="s">
        <v>457</v>
      </c>
      <c r="C92" s="446"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3" t="s">
        <v>457</v>
      </c>
      <c r="C93" s="446"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3" t="s">
        <v>457</v>
      </c>
      <c r="C94" s="446"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3" t="s">
        <v>457</v>
      </c>
      <c r="C95" s="446"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3" t="s">
        <v>457</v>
      </c>
      <c r="C96" s="446"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3" t="s">
        <v>457</v>
      </c>
      <c r="C97" s="446"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$114,975. That termination value is $17,246.</v>
      </c>
      <c r="D97" s="154"/>
      <c r="E97" s="154"/>
      <c r="F97" s="154"/>
      <c r="G97" s="154"/>
      <c r="H97" s="438"/>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9"/>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40"/>
      <c r="C99" s="438"/>
      <c r="D99" s="438"/>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8"/>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8"/>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8"/>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8"/>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8"/>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8"/>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5"/>
      <c r="N130" s="1"/>
      <c r="O130"/>
      <c r="P130"/>
      <c r="Q130"/>
      <c r="R130"/>
      <c r="S130"/>
      <c r="T130" s="2"/>
      <c r="U130" s="2"/>
      <c r="V130" s="2"/>
      <c r="W130" s="2"/>
      <c r="X130" s="2"/>
      <c r="Y130" s="2"/>
      <c r="Z130" s="2"/>
      <c r="AA130" s="2"/>
      <c r="AB130" s="2"/>
      <c r="AC130" s="2"/>
    </row>
    <row r="131" spans="4:29" ht="14" x14ac:dyDescent="0.2">
      <c r="D131"/>
      <c r="E131"/>
      <c r="F131"/>
      <c r="G131"/>
      <c r="H131"/>
      <c r="I131"/>
      <c r="M131" s="416"/>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541" t="s">
        <v>470</v>
      </c>
      <c r="O140" s="541"/>
      <c r="P140" s="2"/>
      <c r="Q140" s="2"/>
      <c r="R140" s="2"/>
      <c r="S140" s="2"/>
      <c r="T140" s="2"/>
      <c r="U140" s="2"/>
      <c r="V140" s="2"/>
      <c r="W140" s="2"/>
      <c r="X140" s="2"/>
      <c r="Y140" s="2"/>
      <c r="Z140" s="2"/>
      <c r="AA140" s="2"/>
      <c r="AB140" s="2"/>
    </row>
    <row r="141" spans="4:29" ht="16" x14ac:dyDescent="0.2">
      <c r="H141"/>
      <c r="I141"/>
      <c r="J141" s="542" t="s">
        <v>199</v>
      </c>
      <c r="K141" s="442" t="s">
        <v>314</v>
      </c>
      <c r="L141"/>
      <c r="M141"/>
      <c r="N141" s="541"/>
      <c r="O141" s="541"/>
      <c r="P141" s="2"/>
      <c r="Q141" s="2"/>
      <c r="R141" s="2"/>
      <c r="S141" s="2"/>
      <c r="T141" s="2"/>
      <c r="U141" s="2"/>
      <c r="V141" s="2"/>
      <c r="W141" s="2"/>
      <c r="X141" s="2"/>
      <c r="Y141" s="2"/>
      <c r="Z141" s="2"/>
      <c r="AA141" s="2"/>
    </row>
    <row r="142" spans="4:29" ht="16" x14ac:dyDescent="0.2">
      <c r="H142"/>
      <c r="I142"/>
      <c r="J142" s="543"/>
      <c r="K142" s="122" t="s">
        <v>245</v>
      </c>
      <c r="M142" s="14"/>
      <c r="N142" s="541"/>
      <c r="O142" s="541"/>
      <c r="P142" s="2"/>
      <c r="Q142" s="2"/>
      <c r="R142" s="2"/>
      <c r="S142" s="2"/>
      <c r="T142" s="2"/>
      <c r="U142" s="2"/>
      <c r="V142" s="2"/>
      <c r="W142" s="2"/>
      <c r="X142" s="2"/>
      <c r="Y142" s="2"/>
      <c r="Z142" s="2"/>
      <c r="AA142" s="2"/>
    </row>
    <row r="143" spans="4:29" ht="15" thickBot="1" x14ac:dyDescent="0.25">
      <c r="H143"/>
      <c r="I143"/>
      <c r="J143" s="544"/>
      <c r="K143" s="172" t="s">
        <v>219</v>
      </c>
      <c r="M143"/>
      <c r="N143" s="541"/>
      <c r="O143" s="541"/>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529"/>
      <c r="L145" s="530"/>
      <c r="P145" s="2"/>
      <c r="Q145" s="2"/>
      <c r="R145" s="2"/>
      <c r="S145" s="2"/>
      <c r="T145" s="2"/>
      <c r="U145" s="2"/>
      <c r="V145" s="2"/>
      <c r="W145" s="2"/>
      <c r="X145" s="2"/>
      <c r="Y145" s="2"/>
      <c r="Z145" s="2"/>
    </row>
    <row r="146" spans="1:27" ht="17" thickBot="1" x14ac:dyDescent="0.25">
      <c r="H146"/>
      <c r="I146"/>
      <c r="J146" s="176" t="s">
        <v>216</v>
      </c>
      <c r="K146" s="531"/>
      <c r="L146" s="532"/>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58D52D0E-FB5D-484D-AAF6-1A567A695EB5}">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D22 E47 D24:D25"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Normal="100" workbookViewId="0">
      <selection activeCell="D21" sqref="D21"/>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62" t="s">
        <v>0</v>
      </c>
      <c r="P4" s="563"/>
      <c r="Q4" s="563"/>
      <c r="R4" s="563"/>
      <c r="S4" s="563"/>
      <c r="T4" s="563"/>
      <c r="U4" s="563"/>
      <c r="V4" s="563"/>
      <c r="W4" s="563"/>
      <c r="X4" s="563"/>
      <c r="Y4" s="563"/>
      <c r="Z4" s="563"/>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64" t="s">
        <v>134</v>
      </c>
      <c r="P5" s="565"/>
      <c r="Q5" s="565"/>
      <c r="R5" s="565"/>
      <c r="S5" s="565"/>
      <c r="T5" s="565"/>
      <c r="U5" s="565"/>
      <c r="V5" s="565"/>
      <c r="W5" s="565"/>
      <c r="X5" s="565"/>
      <c r="Y5" s="565"/>
      <c r="Z5" s="566"/>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7"/>
      <c r="P6" s="568"/>
      <c r="Q6" s="568"/>
      <c r="R6" s="568"/>
      <c r="S6" s="568"/>
      <c r="T6" s="568"/>
      <c r="U6" s="568"/>
      <c r="V6" s="568"/>
      <c r="W6" s="568"/>
      <c r="X6" s="568"/>
      <c r="Y6" s="568"/>
      <c r="Z6" s="569"/>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67"/>
      <c r="P7" s="568"/>
      <c r="Q7" s="568"/>
      <c r="R7" s="568"/>
      <c r="S7" s="568"/>
      <c r="T7" s="568"/>
      <c r="U7" s="568"/>
      <c r="V7" s="568"/>
      <c r="W7" s="568"/>
      <c r="X7" s="568"/>
      <c r="Y7" s="568"/>
      <c r="Z7" s="569"/>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67"/>
      <c r="P8" s="568"/>
      <c r="Q8" s="568"/>
      <c r="R8" s="568"/>
      <c r="S8" s="568"/>
      <c r="T8" s="568"/>
      <c r="U8" s="568"/>
      <c r="V8" s="568"/>
      <c r="W8" s="568"/>
      <c r="X8" s="568"/>
      <c r="Y8" s="568"/>
      <c r="Z8" s="569"/>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7"/>
      <c r="P9" s="568"/>
      <c r="Q9" s="568"/>
      <c r="R9" s="568"/>
      <c r="S9" s="568"/>
      <c r="T9" s="568"/>
      <c r="U9" s="568"/>
      <c r="V9" s="568"/>
      <c r="W9" s="568"/>
      <c r="X9" s="568"/>
      <c r="Y9" s="568"/>
      <c r="Z9" s="569"/>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486" t="s">
        <v>214</v>
      </c>
      <c r="I10" s="487"/>
      <c r="J10" s="580"/>
      <c r="K10" s="581"/>
      <c r="L10" s="3"/>
      <c r="M10" s="3"/>
      <c r="O10" s="567"/>
      <c r="P10" s="568"/>
      <c r="Q10" s="568"/>
      <c r="R10" s="568"/>
      <c r="S10" s="568"/>
      <c r="T10" s="568"/>
      <c r="U10" s="568"/>
      <c r="V10" s="568"/>
      <c r="W10" s="568"/>
      <c r="X10" s="568"/>
      <c r="Y10" s="568"/>
      <c r="Z10" s="569"/>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57" t="s">
        <v>216</v>
      </c>
      <c r="I11" s="558"/>
      <c r="J11" s="582"/>
      <c r="K11" s="583"/>
      <c r="L11" s="3"/>
      <c r="O11" s="570"/>
      <c r="P11" s="571"/>
      <c r="Q11" s="571"/>
      <c r="R11" s="571"/>
      <c r="S11" s="571"/>
      <c r="T11" s="571"/>
      <c r="U11" s="571"/>
      <c r="V11" s="571"/>
      <c r="W11" s="571"/>
      <c r="X11" s="571"/>
      <c r="Y11" s="571"/>
      <c r="Z11" s="572"/>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7" t="s">
        <v>284</v>
      </c>
      <c r="C16" s="578"/>
      <c r="D16" s="578"/>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30" t="s">
        <v>32</v>
      </c>
      <c r="C17" s="331">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2" t="s">
        <v>371</v>
      </c>
      <c r="C18" s="192"/>
      <c r="D18" s="333"/>
      <c r="E18" s="333"/>
      <c r="F18" s="333"/>
      <c r="G18" s="333"/>
      <c r="H18" s="333"/>
      <c r="I18" s="333"/>
      <c r="J18" s="333"/>
      <c r="K18" s="333"/>
      <c r="L18" s="333"/>
      <c r="M18" s="333"/>
      <c r="N18" s="333"/>
      <c r="O18" s="333"/>
      <c r="P18" s="333"/>
      <c r="Q18" s="333"/>
      <c r="R18" s="333"/>
      <c r="S18" s="333"/>
      <c r="T18" s="333"/>
      <c r="U18" s="333"/>
      <c r="V18" s="333"/>
      <c r="W18" s="333"/>
      <c r="X18" s="333"/>
      <c r="Y18" s="333"/>
      <c r="Z18" s="333"/>
      <c r="AA18" s="333"/>
      <c r="AB18" s="333"/>
      <c r="AC18" s="333"/>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5">
        <f>IF(AND(SRECs_Applicable?="Yes",D17&lt;=SREC_Term_Yrs),SREC_Price,0)</f>
        <v>0</v>
      </c>
      <c r="E20" s="325">
        <f t="shared" ref="E20:V20" si="4">IF(AND(SRECs_Applicable?="Yes",E17&lt;=SREC_Term_Yrs),D20,0)*(1+SREC_Increase_Decrease)</f>
        <v>0</v>
      </c>
      <c r="F20" s="325">
        <f t="shared" si="4"/>
        <v>0</v>
      </c>
      <c r="G20" s="325">
        <f t="shared" si="4"/>
        <v>0</v>
      </c>
      <c r="H20" s="325">
        <f t="shared" si="4"/>
        <v>0</v>
      </c>
      <c r="I20" s="325">
        <f t="shared" si="4"/>
        <v>0</v>
      </c>
      <c r="J20" s="325">
        <f t="shared" si="4"/>
        <v>0</v>
      </c>
      <c r="K20" s="325">
        <f t="shared" si="4"/>
        <v>0</v>
      </c>
      <c r="L20" s="325">
        <f t="shared" si="4"/>
        <v>0</v>
      </c>
      <c r="M20" s="325">
        <f t="shared" si="4"/>
        <v>0</v>
      </c>
      <c r="N20" s="325">
        <f t="shared" si="4"/>
        <v>0</v>
      </c>
      <c r="O20" s="325">
        <f t="shared" si="4"/>
        <v>0</v>
      </c>
      <c r="P20" s="325">
        <f t="shared" si="4"/>
        <v>0</v>
      </c>
      <c r="Q20" s="325">
        <f t="shared" si="4"/>
        <v>0</v>
      </c>
      <c r="R20" s="325">
        <f t="shared" si="4"/>
        <v>0</v>
      </c>
      <c r="S20" s="325">
        <f t="shared" si="4"/>
        <v>0</v>
      </c>
      <c r="T20" s="325">
        <f t="shared" si="4"/>
        <v>0</v>
      </c>
      <c r="U20" s="325">
        <f t="shared" si="4"/>
        <v>0</v>
      </c>
      <c r="V20" s="325">
        <f t="shared" si="4"/>
        <v>0</v>
      </c>
      <c r="W20" s="325">
        <f t="shared" ref="W20:AB20" si="5">IF(AND(SRECs_Applicable?="Yes",W17&lt;=SREC_Term_Yrs),V20,0)*(1+SREC_Increase_Decrease)</f>
        <v>0</v>
      </c>
      <c r="X20" s="325">
        <f t="shared" si="5"/>
        <v>0</v>
      </c>
      <c r="Y20" s="325">
        <f t="shared" si="5"/>
        <v>0</v>
      </c>
      <c r="Z20" s="325">
        <f t="shared" si="5"/>
        <v>0</v>
      </c>
      <c r="AA20" s="325">
        <f t="shared" si="5"/>
        <v>0</v>
      </c>
      <c r="AB20" s="325">
        <f t="shared" si="5"/>
        <v>0</v>
      </c>
      <c r="AC20" s="325"/>
    </row>
    <row r="21" spans="1:29" ht="14" x14ac:dyDescent="0.2">
      <c r="A21" s="3"/>
      <c r="B21" s="210" t="s">
        <v>241</v>
      </c>
      <c r="C21" s="229"/>
      <c r="D21" s="250">
        <f>P50_Production_1st_Yr</f>
        <v>92098.110000000306</v>
      </c>
      <c r="E21" s="250">
        <f t="shared" ref="E21:V21" si="6">D21*(1-Panel_Degradation_Rate)</f>
        <v>91637.619450000304</v>
      </c>
      <c r="F21" s="250">
        <f t="shared" si="6"/>
        <v>91179.431352750296</v>
      </c>
      <c r="G21" s="250">
        <f t="shared" si="6"/>
        <v>90723.534195986547</v>
      </c>
      <c r="H21" s="250">
        <f t="shared" si="6"/>
        <v>90269.916525006614</v>
      </c>
      <c r="I21" s="250">
        <f t="shared" si="6"/>
        <v>89818.566942381585</v>
      </c>
      <c r="J21" s="250">
        <f t="shared" si="6"/>
        <v>89369.474107669681</v>
      </c>
      <c r="K21" s="250">
        <f t="shared" si="6"/>
        <v>88922.62673713133</v>
      </c>
      <c r="L21" s="250">
        <f t="shared" si="6"/>
        <v>88478.013603445666</v>
      </c>
      <c r="M21" s="250">
        <f t="shared" si="6"/>
        <v>88035.623535428444</v>
      </c>
      <c r="N21" s="250">
        <f t="shared" si="6"/>
        <v>87595.445417751296</v>
      </c>
      <c r="O21" s="250">
        <f t="shared" si="6"/>
        <v>87157.468190662534</v>
      </c>
      <c r="P21" s="250">
        <f t="shared" si="6"/>
        <v>86721.680849709228</v>
      </c>
      <c r="Q21" s="250">
        <f t="shared" si="6"/>
        <v>86288.072445460683</v>
      </c>
      <c r="R21" s="250">
        <f t="shared" si="6"/>
        <v>85856.632083233373</v>
      </c>
      <c r="S21" s="250">
        <f t="shared" si="6"/>
        <v>85427.348922817211</v>
      </c>
      <c r="T21" s="250">
        <f t="shared" si="6"/>
        <v>85000.212178203132</v>
      </c>
      <c r="U21" s="250">
        <f t="shared" si="6"/>
        <v>84575.211117312123</v>
      </c>
      <c r="V21" s="250">
        <f t="shared" si="6"/>
        <v>84152.335061725564</v>
      </c>
      <c r="W21" s="250">
        <f t="shared" ref="W21:AB21" si="7">V21*(1-Panel_Degradation_Rate)</f>
        <v>83731.573386416931</v>
      </c>
      <c r="X21" s="250">
        <f t="shared" si="7"/>
        <v>83312.915519484843</v>
      </c>
      <c r="Y21" s="250">
        <f t="shared" si="7"/>
        <v>82896.350941887416</v>
      </c>
      <c r="Z21" s="250">
        <f t="shared" si="7"/>
        <v>82481.869187177974</v>
      </c>
      <c r="AA21" s="250">
        <f t="shared" si="7"/>
        <v>82069.459841242089</v>
      </c>
      <c r="AB21" s="250">
        <f t="shared" si="7"/>
        <v>81659.112542035873</v>
      </c>
      <c r="AC21" s="250"/>
    </row>
    <row r="22" spans="1:29" ht="14" x14ac:dyDescent="0.2">
      <c r="A22" s="3"/>
      <c r="B22" s="210" t="s">
        <v>455</v>
      </c>
      <c r="C22" s="229"/>
      <c r="D22" s="325">
        <f>PTC_Starting_Rate_Dollars_per_MWh</f>
        <v>26</v>
      </c>
      <c r="E22" s="325">
        <f t="shared" ref="E22:AB22" si="8">IF(E17&lt;=PTC_Term_in_Years,D22*(1+PTC_Annual_Inflator_Rate_Percent),0)</f>
        <v>26.52</v>
      </c>
      <c r="F22" s="325">
        <f t="shared" si="8"/>
        <v>27.0504</v>
      </c>
      <c r="G22" s="325">
        <f t="shared" si="8"/>
        <v>27.591408000000001</v>
      </c>
      <c r="H22" s="325">
        <f t="shared" si="8"/>
        <v>28.143236160000001</v>
      </c>
      <c r="I22" s="325">
        <f t="shared" si="8"/>
        <v>28.706100883200001</v>
      </c>
      <c r="J22" s="325">
        <f t="shared" si="8"/>
        <v>29.280222900864</v>
      </c>
      <c r="K22" s="325">
        <f t="shared" si="8"/>
        <v>29.86582735888128</v>
      </c>
      <c r="L22" s="325">
        <f t="shared" si="8"/>
        <v>30.463143906058907</v>
      </c>
      <c r="M22" s="325">
        <f t="shared" si="8"/>
        <v>31.072406784180085</v>
      </c>
      <c r="N22" s="325">
        <f t="shared" si="8"/>
        <v>0</v>
      </c>
      <c r="O22" s="325">
        <f t="shared" si="8"/>
        <v>0</v>
      </c>
      <c r="P22" s="325">
        <f t="shared" si="8"/>
        <v>0</v>
      </c>
      <c r="Q22" s="325">
        <f t="shared" si="8"/>
        <v>0</v>
      </c>
      <c r="R22" s="325">
        <f t="shared" si="8"/>
        <v>0</v>
      </c>
      <c r="S22" s="325">
        <f t="shared" si="8"/>
        <v>0</v>
      </c>
      <c r="T22" s="325">
        <f t="shared" si="8"/>
        <v>0</v>
      </c>
      <c r="U22" s="325">
        <f t="shared" si="8"/>
        <v>0</v>
      </c>
      <c r="V22" s="325">
        <f t="shared" si="8"/>
        <v>0</v>
      </c>
      <c r="W22" s="325">
        <f t="shared" si="8"/>
        <v>0</v>
      </c>
      <c r="X22" s="325">
        <f t="shared" si="8"/>
        <v>0</v>
      </c>
      <c r="Y22" s="325">
        <f t="shared" si="8"/>
        <v>0</v>
      </c>
      <c r="Z22" s="325">
        <f t="shared" si="8"/>
        <v>0</v>
      </c>
      <c r="AA22" s="325">
        <f t="shared" si="8"/>
        <v>0</v>
      </c>
      <c r="AB22" s="325">
        <f t="shared" si="8"/>
        <v>0</v>
      </c>
      <c r="AC22" s="250"/>
    </row>
    <row r="23" spans="1:29" ht="14" x14ac:dyDescent="0.2">
      <c r="A23" s="3"/>
      <c r="B23" s="210" t="s">
        <v>252</v>
      </c>
      <c r="C23" s="229"/>
      <c r="D23" s="250">
        <f t="shared" ref="D23:AB23" si="9">IF(D17&lt;=SREC_Term_Yrs,D21/SREC_Size_kWh_per_SREC,0)</f>
        <v>92.098110000000304</v>
      </c>
      <c r="E23" s="250">
        <f t="shared" si="9"/>
        <v>91.637619450000301</v>
      </c>
      <c r="F23" s="250">
        <f t="shared" si="9"/>
        <v>91.179431352750299</v>
      </c>
      <c r="G23" s="250">
        <f t="shared" si="9"/>
        <v>90.723534195986545</v>
      </c>
      <c r="H23" s="250">
        <f t="shared" si="9"/>
        <v>90.269916525006607</v>
      </c>
      <c r="I23" s="250">
        <f t="shared" si="9"/>
        <v>89.81856694238158</v>
      </c>
      <c r="J23" s="250">
        <f t="shared" si="9"/>
        <v>89.369474107669674</v>
      </c>
      <c r="K23" s="250">
        <f t="shared" si="9"/>
        <v>88.922626737131324</v>
      </c>
      <c r="L23" s="250">
        <f t="shared" si="9"/>
        <v>88.47801360344566</v>
      </c>
      <c r="M23" s="250">
        <f t="shared" si="9"/>
        <v>88.035623535428442</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6726.0705037521502</v>
      </c>
      <c r="E26" s="228">
        <f t="shared" si="10"/>
        <v>6859.7511550142235</v>
      </c>
      <c r="F26" s="228">
        <f t="shared" si="10"/>
        <v>6996.0887092201301</v>
      </c>
      <c r="G26" s="228">
        <f t="shared" si="10"/>
        <v>7135.1359723158794</v>
      </c>
      <c r="H26" s="228">
        <f t="shared" si="10"/>
        <v>7276.9467997656575</v>
      </c>
      <c r="I26" s="228">
        <f t="shared" si="10"/>
        <v>7421.5761174110003</v>
      </c>
      <c r="J26" s="228">
        <f t="shared" si="10"/>
        <v>7569.0799427445427</v>
      </c>
      <c r="K26" s="228">
        <f t="shared" si="10"/>
        <v>7719.5154066065888</v>
      </c>
      <c r="L26" s="228">
        <f t="shared" si="10"/>
        <v>7872.9407753128944</v>
      </c>
      <c r="M26" s="228">
        <f t="shared" si="10"/>
        <v>8029.4154732222369</v>
      </c>
      <c r="N26" s="228">
        <f t="shared" si="10"/>
        <v>8189.0001057525278</v>
      </c>
      <c r="O26" s="228">
        <f t="shared" si="10"/>
        <v>8351.7564828543582</v>
      </c>
      <c r="P26" s="228">
        <f t="shared" si="10"/>
        <v>8517.747642951088</v>
      </c>
      <c r="Q26" s="228">
        <f t="shared" si="10"/>
        <v>8687.0378773547418</v>
      </c>
      <c r="R26" s="228">
        <f t="shared" si="10"/>
        <v>8859.6927551671652</v>
      </c>
      <c r="S26" s="228">
        <f t="shared" si="10"/>
        <v>9035.7791486761125</v>
      </c>
      <c r="T26" s="228">
        <f t="shared" si="10"/>
        <v>9215.3652592560502</v>
      </c>
      <c r="U26" s="228">
        <f t="shared" si="10"/>
        <v>9398.5206437837642</v>
      </c>
      <c r="V26" s="228">
        <f t="shared" si="10"/>
        <v>9585.3162415789648</v>
      </c>
      <c r="W26" s="228">
        <f t="shared" si="10"/>
        <v>9775.8244018803452</v>
      </c>
      <c r="X26" s="228">
        <f t="shared" si="10"/>
        <v>9970.1189118677157</v>
      </c>
      <c r="Y26" s="228">
        <f t="shared" si="10"/>
        <v>10168.275025241086</v>
      </c>
      <c r="Z26" s="228">
        <f t="shared" si="10"/>
        <v>10370.36949136775</v>
      </c>
      <c r="AA26" s="228">
        <f t="shared" si="10"/>
        <v>10576.480585008683</v>
      </c>
      <c r="AB26" s="228">
        <f t="shared" si="10"/>
        <v>10786.688136635728</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6726.0705037521502</v>
      </c>
      <c r="E28" s="183">
        <f t="shared" ref="E28:V28" si="12">SUM(E26:E27)</f>
        <v>6859.7511550142235</v>
      </c>
      <c r="F28" s="183">
        <f t="shared" si="12"/>
        <v>6996.0887092201301</v>
      </c>
      <c r="G28" s="183">
        <f t="shared" si="12"/>
        <v>7135.1359723158794</v>
      </c>
      <c r="H28" s="183">
        <f t="shared" si="12"/>
        <v>7276.9467997656575</v>
      </c>
      <c r="I28" s="183">
        <f t="shared" si="12"/>
        <v>7421.5761174110003</v>
      </c>
      <c r="J28" s="183">
        <f t="shared" si="12"/>
        <v>7569.0799427445427</v>
      </c>
      <c r="K28" s="183">
        <f t="shared" si="12"/>
        <v>7719.5154066065888</v>
      </c>
      <c r="L28" s="183">
        <f t="shared" si="12"/>
        <v>7872.9407753128944</v>
      </c>
      <c r="M28" s="183">
        <f t="shared" si="12"/>
        <v>8029.4154732222369</v>
      </c>
      <c r="N28" s="183">
        <f t="shared" si="12"/>
        <v>8189.0001057525278</v>
      </c>
      <c r="O28" s="183">
        <f t="shared" si="12"/>
        <v>8351.7564828543582</v>
      </c>
      <c r="P28" s="183">
        <f t="shared" si="12"/>
        <v>8517.747642951088</v>
      </c>
      <c r="Q28" s="183">
        <f t="shared" si="12"/>
        <v>8687.0378773547418</v>
      </c>
      <c r="R28" s="183">
        <f t="shared" si="12"/>
        <v>8859.6927551671652</v>
      </c>
      <c r="S28" s="183">
        <f t="shared" si="12"/>
        <v>9035.7791486761125</v>
      </c>
      <c r="T28" s="183">
        <f t="shared" si="12"/>
        <v>9215.3652592560502</v>
      </c>
      <c r="U28" s="183">
        <f t="shared" si="12"/>
        <v>9398.5206437837642</v>
      </c>
      <c r="V28" s="183">
        <f t="shared" si="12"/>
        <v>9585.3162415789648</v>
      </c>
      <c r="W28" s="183">
        <f t="shared" ref="W28:AB28" si="13">SUM(W26:W27)</f>
        <v>9775.8244018803452</v>
      </c>
      <c r="X28" s="183">
        <f t="shared" si="13"/>
        <v>9970.1189118677157</v>
      </c>
      <c r="Y28" s="183">
        <f t="shared" si="13"/>
        <v>10168.275025241086</v>
      </c>
      <c r="Z28" s="183">
        <f t="shared" si="13"/>
        <v>10370.36949136775</v>
      </c>
      <c r="AA28" s="183">
        <f t="shared" si="13"/>
        <v>10576.480585008683</v>
      </c>
      <c r="AB28" s="183">
        <f t="shared" si="13"/>
        <v>10786.688136635728</v>
      </c>
      <c r="AC28" s="183"/>
    </row>
    <row r="29" spans="1:29" ht="15" thickBot="1" x14ac:dyDescent="0.25">
      <c r="A29" s="3"/>
      <c r="B29" s="216" t="s">
        <v>197</v>
      </c>
      <c r="C29" s="253"/>
      <c r="D29" s="247">
        <f>State_Sales_Tax*Unstructured!D28</f>
        <v>470.82493526265057</v>
      </c>
      <c r="E29" s="247">
        <f>State_Sales_Tax*Unstructured!E28</f>
        <v>480.18258085099569</v>
      </c>
      <c r="F29" s="247">
        <f>State_Sales_Tax*Unstructured!F28</f>
        <v>489.72620964540914</v>
      </c>
      <c r="G29" s="247">
        <f>State_Sales_Tax*Unstructured!G28</f>
        <v>499.45951806211161</v>
      </c>
      <c r="H29" s="247">
        <f>State_Sales_Tax*Unstructured!H28</f>
        <v>509.38627598359608</v>
      </c>
      <c r="I29" s="247">
        <f>State_Sales_Tax*Unstructured!I28</f>
        <v>519.51032821877004</v>
      </c>
      <c r="J29" s="247">
        <f>State_Sales_Tax*Unstructured!J28</f>
        <v>529.83559599211799</v>
      </c>
      <c r="K29" s="247">
        <f>State_Sales_Tax*Unstructured!K28</f>
        <v>540.36607846246125</v>
      </c>
      <c r="L29" s="247">
        <f>State_Sales_Tax*Unstructured!L28</f>
        <v>551.10585427190267</v>
      </c>
      <c r="M29" s="247">
        <f>State_Sales_Tax*Unstructured!M28</f>
        <v>562.05908312555664</v>
      </c>
      <c r="N29" s="247">
        <f>State_Sales_Tax*Unstructured!N28</f>
        <v>573.23000740267696</v>
      </c>
      <c r="O29" s="247">
        <f>State_Sales_Tax*Unstructured!O28</f>
        <v>584.62295379980515</v>
      </c>
      <c r="P29" s="247">
        <f>State_Sales_Tax*Unstructured!P28</f>
        <v>596.24233500657624</v>
      </c>
      <c r="Q29" s="247">
        <f>State_Sales_Tax*Unstructured!Q28</f>
        <v>608.09265141483195</v>
      </c>
      <c r="R29" s="247">
        <f>State_Sales_Tax*Unstructured!R28</f>
        <v>620.17849286170167</v>
      </c>
      <c r="S29" s="247">
        <f>State_Sales_Tax*Unstructured!S28</f>
        <v>632.50454040732791</v>
      </c>
      <c r="T29" s="247">
        <f>State_Sales_Tax*Unstructured!T28</f>
        <v>645.0755681479236</v>
      </c>
      <c r="U29" s="247">
        <f>State_Sales_Tax*Unstructured!U28</f>
        <v>657.89644506486354</v>
      </c>
      <c r="V29" s="247">
        <f>State_Sales_Tax*Unstructured!V28</f>
        <v>670.97213691052764</v>
      </c>
      <c r="W29" s="247">
        <f>State_Sales_Tax*Unstructured!W28</f>
        <v>684.30770813162428</v>
      </c>
      <c r="X29" s="247">
        <f>State_Sales_Tax*Unstructured!X28</f>
        <v>697.90832383074019</v>
      </c>
      <c r="Y29" s="247">
        <f>State_Sales_Tax*Unstructured!Y28</f>
        <v>711.77925176687609</v>
      </c>
      <c r="Z29" s="247">
        <f>State_Sales_Tax*Unstructured!Z28</f>
        <v>725.92586439574256</v>
      </c>
      <c r="AA29" s="247">
        <f>State_Sales_Tax*Unstructured!AA28</f>
        <v>740.35364095060788</v>
      </c>
      <c r="AB29" s="247">
        <f>State_Sales_Tax*Unstructured!AB28</f>
        <v>755.06816956450109</v>
      </c>
      <c r="AC29" s="247"/>
    </row>
    <row r="30" spans="1:29" ht="15" thickTop="1" x14ac:dyDescent="0.2">
      <c r="A30" s="3"/>
      <c r="B30" s="233" t="s">
        <v>143</v>
      </c>
      <c r="C30" s="253"/>
      <c r="D30" s="254">
        <f>SUM(D28-D29)</f>
        <v>6255.2455684894994</v>
      </c>
      <c r="E30" s="254">
        <f t="shared" ref="E30:V30" si="14">SUM(E28-E29)</f>
        <v>6379.5685741632278</v>
      </c>
      <c r="F30" s="254">
        <f t="shared" si="14"/>
        <v>6506.3624995747214</v>
      </c>
      <c r="G30" s="254">
        <f t="shared" si="14"/>
        <v>6635.6764542537676</v>
      </c>
      <c r="H30" s="254">
        <f t="shared" si="14"/>
        <v>6767.5605237820619</v>
      </c>
      <c r="I30" s="254">
        <f t="shared" si="14"/>
        <v>6902.0657891922301</v>
      </c>
      <c r="J30" s="254">
        <f t="shared" si="14"/>
        <v>7039.2443467524245</v>
      </c>
      <c r="K30" s="254">
        <f t="shared" si="14"/>
        <v>7179.1493281441271</v>
      </c>
      <c r="L30" s="254">
        <f t="shared" si="14"/>
        <v>7321.8349210409915</v>
      </c>
      <c r="M30" s="254">
        <f t="shared" si="14"/>
        <v>7467.3563900966801</v>
      </c>
      <c r="N30" s="254">
        <f t="shared" si="14"/>
        <v>7615.7700983498507</v>
      </c>
      <c r="O30" s="254">
        <f t="shared" si="14"/>
        <v>7767.133529054553</v>
      </c>
      <c r="P30" s="254">
        <f t="shared" si="14"/>
        <v>7921.5053079445115</v>
      </c>
      <c r="Q30" s="254">
        <f t="shared" si="14"/>
        <v>8078.9452259399095</v>
      </c>
      <c r="R30" s="254">
        <f t="shared" si="14"/>
        <v>8239.5142623054635</v>
      </c>
      <c r="S30" s="254">
        <f t="shared" si="14"/>
        <v>8403.2746082687845</v>
      </c>
      <c r="T30" s="254">
        <f t="shared" si="14"/>
        <v>8570.2896911081261</v>
      </c>
      <c r="U30" s="254">
        <f t="shared" si="14"/>
        <v>8740.6241987189005</v>
      </c>
      <c r="V30" s="254">
        <f t="shared" si="14"/>
        <v>8914.3441046684366</v>
      </c>
      <c r="W30" s="254">
        <f t="shared" ref="W30:AB30" si="15">SUM(W28-W29)</f>
        <v>9091.5166937487211</v>
      </c>
      <c r="X30" s="254">
        <f t="shared" si="15"/>
        <v>9272.2105880369763</v>
      </c>
      <c r="Y30" s="254">
        <f t="shared" si="15"/>
        <v>9456.4957734742093</v>
      </c>
      <c r="Z30" s="254">
        <f t="shared" si="15"/>
        <v>9644.4436269720081</v>
      </c>
      <c r="AA30" s="254">
        <f t="shared" si="15"/>
        <v>9836.1269440580745</v>
      </c>
      <c r="AB30" s="254">
        <f t="shared" si="15"/>
        <v>10031.619967071227</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1174.212</v>
      </c>
      <c r="E33" s="228">
        <f t="shared" ref="E33:AB33" si="16">Size_of_System_in_W_DC*(OandM_Cost_per_W_DC*((1+OandM_Cost_Escalator)^(E17-1)))</f>
        <v>1197.6962400000002</v>
      </c>
      <c r="F33" s="228">
        <f t="shared" si="16"/>
        <v>1221.6501648000001</v>
      </c>
      <c r="G33" s="228">
        <f t="shared" si="16"/>
        <v>1246.083168096</v>
      </c>
      <c r="H33" s="228">
        <f t="shared" si="16"/>
        <v>1271.0048314579201</v>
      </c>
      <c r="I33" s="228">
        <f t="shared" si="16"/>
        <v>1296.4249280870786</v>
      </c>
      <c r="J33" s="228">
        <f t="shared" si="16"/>
        <v>1322.3534266488202</v>
      </c>
      <c r="K33" s="228">
        <f t="shared" si="16"/>
        <v>1348.8004951817961</v>
      </c>
      <c r="L33" s="228">
        <f t="shared" si="16"/>
        <v>1375.7765050854323</v>
      </c>
      <c r="M33" s="228">
        <f t="shared" si="16"/>
        <v>1403.292035187141</v>
      </c>
      <c r="N33" s="228">
        <f t="shared" si="16"/>
        <v>1431.3578758908839</v>
      </c>
      <c r="O33" s="228">
        <f t="shared" si="16"/>
        <v>1459.9850334087012</v>
      </c>
      <c r="P33" s="228">
        <f t="shared" si="16"/>
        <v>1489.1847340768754</v>
      </c>
      <c r="Q33" s="228">
        <f t="shared" si="16"/>
        <v>1518.9684287584128</v>
      </c>
      <c r="R33" s="228">
        <f t="shared" si="16"/>
        <v>1549.3477973335814</v>
      </c>
      <c r="S33" s="228">
        <f t="shared" si="16"/>
        <v>1580.3347532802527</v>
      </c>
      <c r="T33" s="228">
        <f t="shared" si="16"/>
        <v>1611.9414483458579</v>
      </c>
      <c r="U33" s="228">
        <f t="shared" si="16"/>
        <v>1644.1802773127752</v>
      </c>
      <c r="V33" s="228">
        <f t="shared" si="16"/>
        <v>1677.0638828590306</v>
      </c>
      <c r="W33" s="228">
        <f t="shared" si="16"/>
        <v>1710.6051605162111</v>
      </c>
      <c r="X33" s="228">
        <f t="shared" si="16"/>
        <v>1744.8172637265354</v>
      </c>
      <c r="Y33" s="228">
        <f t="shared" si="16"/>
        <v>1779.7136090010661</v>
      </c>
      <c r="Z33" s="228">
        <f t="shared" si="16"/>
        <v>1815.3078811810876</v>
      </c>
      <c r="AA33" s="228">
        <f t="shared" si="16"/>
        <v>1851.6140388047088</v>
      </c>
      <c r="AB33" s="228">
        <f t="shared" si="16"/>
        <v>1888.646319580803</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297.22000000000003</v>
      </c>
      <c r="E37" s="247">
        <f t="shared" ref="E37:AB37" si="21">Size_of_System_in_W_DC*((1+Insurance_Cost_Escalator)^(E17-1)*Insurance_Cost_per_Watt_DC)</f>
        <v>303.1644</v>
      </c>
      <c r="F37" s="247">
        <f t="shared" si="21"/>
        <v>309.227688</v>
      </c>
      <c r="G37" s="247">
        <f t="shared" si="21"/>
        <v>315.41224175999997</v>
      </c>
      <c r="H37" s="247">
        <f t="shared" si="21"/>
        <v>321.72048659519999</v>
      </c>
      <c r="I37" s="247">
        <f t="shared" si="21"/>
        <v>328.15489632710404</v>
      </c>
      <c r="J37" s="247">
        <f t="shared" si="21"/>
        <v>334.71799425364611</v>
      </c>
      <c r="K37" s="247">
        <f t="shared" si="21"/>
        <v>341.41235413871897</v>
      </c>
      <c r="L37" s="247">
        <f t="shared" si="21"/>
        <v>348.24060122149336</v>
      </c>
      <c r="M37" s="247">
        <f t="shared" si="21"/>
        <v>355.20541324592324</v>
      </c>
      <c r="N37" s="247">
        <f t="shared" si="21"/>
        <v>362.30952151084176</v>
      </c>
      <c r="O37" s="247">
        <f t="shared" si="21"/>
        <v>369.55571194105846</v>
      </c>
      <c r="P37" s="247">
        <f t="shared" si="21"/>
        <v>376.94682617987968</v>
      </c>
      <c r="Q37" s="247">
        <f t="shared" si="21"/>
        <v>384.48576270347729</v>
      </c>
      <c r="R37" s="247">
        <f t="shared" si="21"/>
        <v>392.17547795754689</v>
      </c>
      <c r="S37" s="247">
        <f t="shared" si="21"/>
        <v>400.01898751669773</v>
      </c>
      <c r="T37" s="247">
        <f t="shared" si="21"/>
        <v>408.01936726703173</v>
      </c>
      <c r="U37" s="247">
        <f t="shared" si="21"/>
        <v>416.17975461237239</v>
      </c>
      <c r="V37" s="247">
        <f t="shared" si="21"/>
        <v>424.50334970461984</v>
      </c>
      <c r="W37" s="247">
        <f t="shared" si="21"/>
        <v>432.99341669871217</v>
      </c>
      <c r="X37" s="247">
        <f t="shared" si="21"/>
        <v>441.65328503268643</v>
      </c>
      <c r="Y37" s="247">
        <f t="shared" si="21"/>
        <v>450.48635073334015</v>
      </c>
      <c r="Z37" s="247">
        <f t="shared" si="21"/>
        <v>459.496077748007</v>
      </c>
      <c r="AA37" s="247">
        <f t="shared" si="21"/>
        <v>468.68599930296699</v>
      </c>
      <c r="AB37" s="247">
        <f t="shared" si="21"/>
        <v>478.05971928902642</v>
      </c>
      <c r="AC37" s="247"/>
    </row>
    <row r="38" spans="1:29" ht="15" thickTop="1" x14ac:dyDescent="0.2">
      <c r="A38" s="3"/>
      <c r="B38" s="211" t="s">
        <v>271</v>
      </c>
      <c r="C38" s="253"/>
      <c r="D38" s="228">
        <f>SUM(D33:D37)</f>
        <v>1471.432</v>
      </c>
      <c r="E38" s="228">
        <f>SUM(E33:E37)</f>
        <v>1500.8606400000003</v>
      </c>
      <c r="F38" s="228">
        <f t="shared" ref="F38:V38" si="22">SUM(F33:F37)</f>
        <v>1530.8778528</v>
      </c>
      <c r="G38" s="228">
        <f t="shared" si="22"/>
        <v>1561.4954098559999</v>
      </c>
      <c r="H38" s="228">
        <f t="shared" si="22"/>
        <v>1592.7253180531202</v>
      </c>
      <c r="I38" s="228">
        <f t="shared" si="22"/>
        <v>1624.5798244141827</v>
      </c>
      <c r="J38" s="228">
        <f t="shared" si="22"/>
        <v>1657.0714209024663</v>
      </c>
      <c r="K38" s="228">
        <f t="shared" si="22"/>
        <v>1690.212849320515</v>
      </c>
      <c r="L38" s="228">
        <f t="shared" si="22"/>
        <v>1724.0171063069256</v>
      </c>
      <c r="M38" s="228">
        <f t="shared" si="22"/>
        <v>1758.4974484330642</v>
      </c>
      <c r="N38" s="228">
        <f t="shared" si="22"/>
        <v>1793.6673974017256</v>
      </c>
      <c r="O38" s="228">
        <f t="shared" si="22"/>
        <v>1829.5407453497596</v>
      </c>
      <c r="P38" s="228">
        <f t="shared" si="22"/>
        <v>1866.1315602567552</v>
      </c>
      <c r="Q38" s="228">
        <f t="shared" si="22"/>
        <v>1903.4541914618901</v>
      </c>
      <c r="R38" s="228">
        <f t="shared" si="22"/>
        <v>1941.5232752911284</v>
      </c>
      <c r="S38" s="228">
        <f t="shared" si="22"/>
        <v>1980.3537407969504</v>
      </c>
      <c r="T38" s="228">
        <f t="shared" si="22"/>
        <v>2019.9608156128897</v>
      </c>
      <c r="U38" s="228">
        <f t="shared" si="22"/>
        <v>2060.3600319251477</v>
      </c>
      <c r="V38" s="228">
        <f t="shared" si="22"/>
        <v>2101.5672325636506</v>
      </c>
      <c r="W38" s="228">
        <f t="shared" ref="W38:AB38" si="23">SUM(W33:W37)</f>
        <v>2143.5985772149234</v>
      </c>
      <c r="X38" s="228">
        <f t="shared" si="23"/>
        <v>2186.4705487592219</v>
      </c>
      <c r="Y38" s="228">
        <f t="shared" si="23"/>
        <v>2230.1999597344061</v>
      </c>
      <c r="Z38" s="228">
        <f t="shared" si="23"/>
        <v>2274.8039589290947</v>
      </c>
      <c r="AA38" s="228">
        <f t="shared" si="23"/>
        <v>2320.3000381076758</v>
      </c>
      <c r="AB38" s="228">
        <f t="shared" si="23"/>
        <v>2366.7060388698296</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4783.8135684894996</v>
      </c>
      <c r="E40" s="228">
        <f t="shared" ref="E40:V40" si="24">E30-E38</f>
        <v>4878.707934163227</v>
      </c>
      <c r="F40" s="228">
        <f t="shared" si="24"/>
        <v>4975.4846467747211</v>
      </c>
      <c r="G40" s="228">
        <f t="shared" si="24"/>
        <v>5074.1810443977674</v>
      </c>
      <c r="H40" s="228">
        <f t="shared" si="24"/>
        <v>5174.8352057289412</v>
      </c>
      <c r="I40" s="228">
        <f t="shared" si="24"/>
        <v>5277.4859647780477</v>
      </c>
      <c r="J40" s="228">
        <f t="shared" si="24"/>
        <v>5382.1729258499581</v>
      </c>
      <c r="K40" s="228">
        <f t="shared" si="24"/>
        <v>5488.9364788236126</v>
      </c>
      <c r="L40" s="228">
        <f t="shared" si="24"/>
        <v>5597.8178147340659</v>
      </c>
      <c r="M40" s="228">
        <f t="shared" si="24"/>
        <v>5708.858941663616</v>
      </c>
      <c r="N40" s="228">
        <f t="shared" si="24"/>
        <v>5822.1027009481249</v>
      </c>
      <c r="O40" s="228">
        <f t="shared" si="24"/>
        <v>5937.592783704793</v>
      </c>
      <c r="P40" s="228">
        <f t="shared" si="24"/>
        <v>6055.3737476877559</v>
      </c>
      <c r="Q40" s="228">
        <f t="shared" si="24"/>
        <v>6175.4910344780192</v>
      </c>
      <c r="R40" s="228">
        <f t="shared" si="24"/>
        <v>6297.9909870143347</v>
      </c>
      <c r="S40" s="228">
        <f t="shared" si="24"/>
        <v>6422.9208674718338</v>
      </c>
      <c r="T40" s="228">
        <f t="shared" si="24"/>
        <v>6550.3288754952364</v>
      </c>
      <c r="U40" s="228">
        <f t="shared" si="24"/>
        <v>6680.2641667937532</v>
      </c>
      <c r="V40" s="228">
        <f t="shared" si="24"/>
        <v>6812.776872104786</v>
      </c>
      <c r="W40" s="228">
        <f t="shared" ref="W40:AB40" si="25">W30-W38</f>
        <v>6947.9181165337977</v>
      </c>
      <c r="X40" s="228">
        <f t="shared" si="25"/>
        <v>7085.7400392777545</v>
      </c>
      <c r="Y40" s="228">
        <f t="shared" si="25"/>
        <v>7226.2958137398036</v>
      </c>
      <c r="Z40" s="228">
        <f t="shared" si="25"/>
        <v>7369.6396680429134</v>
      </c>
      <c r="AA40" s="228">
        <f t="shared" si="25"/>
        <v>7515.8269059503982</v>
      </c>
      <c r="AB40" s="228">
        <f t="shared" si="25"/>
        <v>7664.9139282013966</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17855.547817399998</v>
      </c>
      <c r="E45" s="228">
        <f>IF(OR(Tax_Efficient_Status?="Not Efficient",Tax_Efficient_Status?="Federal Only"),(Unstructured!E114+Unstructured!E115),E114)</f>
        <v>28568.876507839999</v>
      </c>
      <c r="F45" s="228">
        <f>IF(OR(Tax_Efficient_Status?="Not Efficient",Tax_Efficient_Status?="Federal Only"),(Unstructured!F114+Unstructured!F115),F114)</f>
        <v>17141.325904704001</v>
      </c>
      <c r="G45" s="228">
        <f>IF(OR(Tax_Efficient_Status?="Not Efficient",Tax_Efficient_Status?="Federal Only"),(Unstructured!G114+Unstructured!G115),G114)</f>
        <v>10284.7955428224</v>
      </c>
      <c r="H45" s="228">
        <f>IF(OR(Tax_Efficient_Status?="Not Efficient",Tax_Efficient_Status?="Federal Only"),(Unstructured!H114+Unstructured!H115),H114)</f>
        <v>10284.7955428224</v>
      </c>
      <c r="I45" s="228">
        <f>IF(OR(Tax_Efficient_Status?="Not Efficient",Tax_Efficient_Status?="Federal Only"),(Unstructured!I114+Unstructured!I115),I114)</f>
        <v>5142.3977714111998</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17855.547817399998</v>
      </c>
      <c r="E46" s="228">
        <f>IF(Tax_Efficient_Status?="Not Efficient",(Unstructured!E121+Unstructured!E122),E121)</f>
        <v>28568.876507839999</v>
      </c>
      <c r="F46" s="228">
        <f>IF(Tax_Efficient_Status?="Not Efficient",(Unstructured!F121+Unstructured!F122),F121)</f>
        <v>17141.325904704001</v>
      </c>
      <c r="G46" s="228">
        <f>IF(Tax_Efficient_Status?="Not Efficient",(Unstructured!G121+Unstructured!G122),G121)</f>
        <v>10284.7955428224</v>
      </c>
      <c r="H46" s="228">
        <f>IF(Tax_Efficient_Status?="Not Efficient",(Unstructured!H121+Unstructured!H122),H121)</f>
        <v>10284.7955428224</v>
      </c>
      <c r="I46" s="228">
        <f>IF(Tax_Efficient_Status?="Not Efficient",(Unstructured!I121+Unstructured!I122),I121)</f>
        <v>5142.3977714111998</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-13071.734248910499</v>
      </c>
      <c r="E49" s="228">
        <f t="shared" si="28"/>
        <v>-23690.168573676769</v>
      </c>
      <c r="F49" s="228">
        <f t="shared" si="28"/>
        <v>-12165.84125792928</v>
      </c>
      <c r="G49" s="228">
        <f t="shared" si="28"/>
        <v>-5210.6144984246312</v>
      </c>
      <c r="H49" s="228">
        <f t="shared" si="28"/>
        <v>-5109.9603370934583</v>
      </c>
      <c r="I49" s="228">
        <f t="shared" si="28"/>
        <v>135.08819336684792</v>
      </c>
      <c r="J49" s="228">
        <f t="shared" si="28"/>
        <v>5382.1729258499581</v>
      </c>
      <c r="K49" s="228">
        <f t="shared" si="28"/>
        <v>5488.9364788236126</v>
      </c>
      <c r="L49" s="228">
        <f t="shared" si="28"/>
        <v>5597.8178147340659</v>
      </c>
      <c r="M49" s="228">
        <f t="shared" si="28"/>
        <v>5708.858941663616</v>
      </c>
      <c r="N49" s="228">
        <f t="shared" si="28"/>
        <v>5822.1027009481249</v>
      </c>
      <c r="O49" s="228">
        <f t="shared" si="28"/>
        <v>5937.592783704793</v>
      </c>
      <c r="P49" s="228">
        <f t="shared" si="28"/>
        <v>6055.3737476877559</v>
      </c>
      <c r="Q49" s="228">
        <f t="shared" si="28"/>
        <v>6175.4910344780192</v>
      </c>
      <c r="R49" s="228">
        <f t="shared" si="28"/>
        <v>6297.9909870143347</v>
      </c>
      <c r="S49" s="228">
        <f t="shared" si="28"/>
        <v>6422.9208674718338</v>
      </c>
      <c r="T49" s="228">
        <f t="shared" si="28"/>
        <v>6550.3288754952364</v>
      </c>
      <c r="U49" s="228">
        <f t="shared" si="28"/>
        <v>6680.2641667937532</v>
      </c>
      <c r="V49" s="228">
        <f t="shared" si="28"/>
        <v>6812.776872104786</v>
      </c>
      <c r="W49" s="228">
        <f t="shared" ref="W49:AB49" si="29">W30-(W38+W42+W45)</f>
        <v>6947.9181165337977</v>
      </c>
      <c r="X49" s="228">
        <f t="shared" si="29"/>
        <v>7085.7400392777545</v>
      </c>
      <c r="Y49" s="228">
        <f t="shared" si="29"/>
        <v>7226.2958137398036</v>
      </c>
      <c r="Z49" s="228">
        <f t="shared" si="29"/>
        <v>7369.6396680429134</v>
      </c>
      <c r="AA49" s="228">
        <f t="shared" si="29"/>
        <v>7515.8269059503982</v>
      </c>
      <c r="AB49" s="228">
        <f t="shared" si="29"/>
        <v>7664.9139282013966</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3.3772048341711982</v>
      </c>
      <c r="J50" s="228">
        <f t="shared" si="30"/>
        <v>134.55432314624895</v>
      </c>
      <c r="K50" s="228">
        <f t="shared" si="30"/>
        <v>137.22341197059032</v>
      </c>
      <c r="L50" s="228">
        <f t="shared" si="30"/>
        <v>139.94544536835164</v>
      </c>
      <c r="M50" s="228">
        <f t="shared" si="30"/>
        <v>142.7214735415904</v>
      </c>
      <c r="N50" s="228">
        <f t="shared" si="30"/>
        <v>145.55256752370312</v>
      </c>
      <c r="O50" s="228">
        <f t="shared" si="30"/>
        <v>148.43981959261984</v>
      </c>
      <c r="P50" s="228">
        <f t="shared" si="30"/>
        <v>151.38434369219391</v>
      </c>
      <c r="Q50" s="228">
        <f t="shared" si="30"/>
        <v>154.38727586195049</v>
      </c>
      <c r="R50" s="228">
        <f t="shared" si="30"/>
        <v>157.44977467535838</v>
      </c>
      <c r="S50" s="228">
        <f t="shared" si="30"/>
        <v>160.57302168679587</v>
      </c>
      <c r="T50" s="228">
        <f t="shared" si="30"/>
        <v>163.75822188738093</v>
      </c>
      <c r="U50" s="228">
        <f t="shared" si="30"/>
        <v>167.00660416984385</v>
      </c>
      <c r="V50" s="228">
        <f t="shared" si="30"/>
        <v>170.31942180261967</v>
      </c>
      <c r="W50" s="228">
        <f t="shared" si="30"/>
        <v>173.69795291334495</v>
      </c>
      <c r="X50" s="228">
        <f t="shared" si="30"/>
        <v>177.14350098194387</v>
      </c>
      <c r="Y50" s="228">
        <f t="shared" si="30"/>
        <v>180.6573953434951</v>
      </c>
      <c r="Z50" s="228">
        <f t="shared" si="30"/>
        <v>184.24099170107286</v>
      </c>
      <c r="AA50" s="228">
        <f t="shared" si="30"/>
        <v>187.89567264875996</v>
      </c>
      <c r="AB50" s="228">
        <f t="shared" si="30"/>
        <v>191.62284820503493</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3.3772048341711982</v>
      </c>
      <c r="J53" s="228">
        <f t="shared" si="35"/>
        <v>134.55432314624895</v>
      </c>
      <c r="K53" s="228">
        <f t="shared" si="35"/>
        <v>137.22341197059032</v>
      </c>
      <c r="L53" s="228">
        <f t="shared" si="35"/>
        <v>139.94544536835164</v>
      </c>
      <c r="M53" s="228">
        <f t="shared" si="35"/>
        <v>142.7214735415904</v>
      </c>
      <c r="N53" s="228">
        <f t="shared" si="35"/>
        <v>145.55256752370312</v>
      </c>
      <c r="O53" s="228">
        <f t="shared" si="35"/>
        <v>148.43981959261984</v>
      </c>
      <c r="P53" s="228">
        <f t="shared" si="35"/>
        <v>151.38434369219391</v>
      </c>
      <c r="Q53" s="228">
        <f t="shared" si="35"/>
        <v>154.38727586195049</v>
      </c>
      <c r="R53" s="228">
        <f t="shared" si="35"/>
        <v>157.44977467535838</v>
      </c>
      <c r="S53" s="228">
        <f t="shared" si="35"/>
        <v>160.57302168679587</v>
      </c>
      <c r="T53" s="228">
        <f t="shared" si="35"/>
        <v>163.75822188738093</v>
      </c>
      <c r="U53" s="228">
        <f t="shared" si="35"/>
        <v>167.00660416984385</v>
      </c>
      <c r="V53" s="228">
        <f t="shared" si="35"/>
        <v>170.31942180261967</v>
      </c>
      <c r="W53" s="228">
        <f t="shared" ref="W53:AB53" si="36">W50</f>
        <v>173.69795291334495</v>
      </c>
      <c r="X53" s="228">
        <f t="shared" si="36"/>
        <v>177.14350098194387</v>
      </c>
      <c r="Y53" s="228">
        <f t="shared" si="36"/>
        <v>180.6573953434951</v>
      </c>
      <c r="Z53" s="228">
        <f t="shared" si="36"/>
        <v>184.24099170107286</v>
      </c>
      <c r="AA53" s="228">
        <f t="shared" si="36"/>
        <v>187.89567264875996</v>
      </c>
      <c r="AB53" s="228">
        <f t="shared" si="36"/>
        <v>191.62284820503493</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-13071.734248910499</v>
      </c>
      <c r="E56" s="228">
        <f t="shared" si="37"/>
        <v>-23690.168573676769</v>
      </c>
      <c r="F56" s="228">
        <f t="shared" si="37"/>
        <v>-12165.84125792928</v>
      </c>
      <c r="G56" s="228">
        <f t="shared" si="37"/>
        <v>-5210.6144984246312</v>
      </c>
      <c r="H56" s="228">
        <f t="shared" si="37"/>
        <v>-5109.9603370934583</v>
      </c>
      <c r="I56" s="228">
        <f t="shared" si="37"/>
        <v>131.71098853267631</v>
      </c>
      <c r="J56" s="228">
        <f t="shared" si="37"/>
        <v>5247.6186027037093</v>
      </c>
      <c r="K56" s="228">
        <f t="shared" si="37"/>
        <v>5351.7130668530217</v>
      </c>
      <c r="L56" s="228">
        <f t="shared" si="37"/>
        <v>5457.8723693657139</v>
      </c>
      <c r="M56" s="228">
        <f t="shared" si="37"/>
        <v>5566.1374681220259</v>
      </c>
      <c r="N56" s="228">
        <f t="shared" si="37"/>
        <v>5676.5501334244218</v>
      </c>
      <c r="O56" s="228">
        <f t="shared" si="37"/>
        <v>5789.1529641121733</v>
      </c>
      <c r="P56" s="228">
        <f t="shared" si="37"/>
        <v>5903.9894039955625</v>
      </c>
      <c r="Q56" s="228">
        <f t="shared" si="37"/>
        <v>6021.1037586160692</v>
      </c>
      <c r="R56" s="228">
        <f t="shared" si="37"/>
        <v>6140.5412123389769</v>
      </c>
      <c r="S56" s="228">
        <f t="shared" si="37"/>
        <v>6262.3478457850379</v>
      </c>
      <c r="T56" s="228">
        <f t="shared" si="37"/>
        <v>6386.570653607856</v>
      </c>
      <c r="U56" s="228">
        <f t="shared" si="37"/>
        <v>6513.2575626239086</v>
      </c>
      <c r="V56" s="228">
        <f t="shared" si="37"/>
        <v>6642.4574503021668</v>
      </c>
      <c r="W56" s="228">
        <f t="shared" ref="W56:AB56" si="38">W30-(W38+W42+W46+W53)</f>
        <v>6774.2201636204527</v>
      </c>
      <c r="X56" s="228">
        <f t="shared" si="38"/>
        <v>6908.5965382958111</v>
      </c>
      <c r="Y56" s="228">
        <f t="shared" si="38"/>
        <v>7045.6384183963082</v>
      </c>
      <c r="Z56" s="228">
        <f t="shared" si="38"/>
        <v>7185.3986763418407</v>
      </c>
      <c r="AA56" s="228">
        <f t="shared" si="38"/>
        <v>7327.9312333016387</v>
      </c>
      <c r="AB56" s="228">
        <f t="shared" si="38"/>
        <v>7473.291079996362</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27.659307591862024</v>
      </c>
      <c r="J57" s="228">
        <f t="shared" si="39"/>
        <v>1101.9999065677789</v>
      </c>
      <c r="K57" s="228">
        <f t="shared" si="39"/>
        <v>1123.8597440391345</v>
      </c>
      <c r="L57" s="228">
        <f t="shared" si="39"/>
        <v>1146.1531975667999</v>
      </c>
      <c r="M57" s="228">
        <f t="shared" si="39"/>
        <v>1168.8888683056255</v>
      </c>
      <c r="N57" s="228">
        <f t="shared" si="39"/>
        <v>1192.0755280191286</v>
      </c>
      <c r="O57" s="228">
        <f t="shared" si="39"/>
        <v>1215.7221224635564</v>
      </c>
      <c r="P57" s="228">
        <f t="shared" si="39"/>
        <v>1239.8377748390681</v>
      </c>
      <c r="Q57" s="228">
        <f t="shared" si="39"/>
        <v>1264.4317893093744</v>
      </c>
      <c r="R57" s="228">
        <f t="shared" si="39"/>
        <v>1289.5136545911851</v>
      </c>
      <c r="S57" s="228">
        <f t="shared" si="39"/>
        <v>1315.0930476148578</v>
      </c>
      <c r="T57" s="228">
        <f t="shared" si="39"/>
        <v>1341.1798372576498</v>
      </c>
      <c r="U57" s="228">
        <f t="shared" si="39"/>
        <v>1367.7840881510208</v>
      </c>
      <c r="V57" s="228">
        <f t="shared" si="39"/>
        <v>1394.9160645634549</v>
      </c>
      <c r="W57" s="228">
        <f t="shared" si="39"/>
        <v>1422.5862343602951</v>
      </c>
      <c r="X57" s="228">
        <f t="shared" si="39"/>
        <v>1450.8052730421202</v>
      </c>
      <c r="Y57" s="228">
        <f t="shared" si="39"/>
        <v>1479.5840678632246</v>
      </c>
      <c r="Z57" s="228">
        <f t="shared" si="39"/>
        <v>1508.9337220317864</v>
      </c>
      <c r="AA57" s="228">
        <f t="shared" si="39"/>
        <v>1538.8655589933442</v>
      </c>
      <c r="AB57" s="228">
        <f t="shared" si="39"/>
        <v>1569.391126799236</v>
      </c>
      <c r="AC57" s="228"/>
    </row>
    <row r="58" spans="1:29" ht="14" x14ac:dyDescent="0.2">
      <c r="A58" s="3"/>
      <c r="B58" s="210" t="s">
        <v>141</v>
      </c>
      <c r="C58" s="253"/>
      <c r="D58" s="228">
        <f>IF(AND(Tax_Credit_Selector_ITC_or_PTC="ITC",Federal_ITC_Cash_Sale_OnOff="Off",D17=1),Federal_ITC_Dollar_Value,0)</f>
        <v>31509.790265999993</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31509.790265999993</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27.659307591862024</v>
      </c>
      <c r="J60" s="228">
        <f t="shared" si="44"/>
        <v>1101.9999065677789</v>
      </c>
      <c r="K60" s="228">
        <f t="shared" si="44"/>
        <v>1123.8597440391345</v>
      </c>
      <c r="L60" s="228">
        <f t="shared" si="44"/>
        <v>1146.1531975667999</v>
      </c>
      <c r="M60" s="228">
        <f t="shared" si="44"/>
        <v>1168.8888683056255</v>
      </c>
      <c r="N60" s="228">
        <f t="shared" si="44"/>
        <v>1192.0755280191286</v>
      </c>
      <c r="O60" s="228">
        <f t="shared" si="44"/>
        <v>1215.7221224635564</v>
      </c>
      <c r="P60" s="228">
        <f t="shared" si="44"/>
        <v>1239.8377748390681</v>
      </c>
      <c r="Q60" s="228">
        <f t="shared" si="44"/>
        <v>1264.4317893093744</v>
      </c>
      <c r="R60" s="228">
        <f t="shared" si="44"/>
        <v>1289.5136545911851</v>
      </c>
      <c r="S60" s="228">
        <f t="shared" si="44"/>
        <v>1315.0930476148578</v>
      </c>
      <c r="T60" s="228">
        <f t="shared" si="44"/>
        <v>1341.1798372576498</v>
      </c>
      <c r="U60" s="228">
        <f t="shared" si="44"/>
        <v>1367.7840881510208</v>
      </c>
      <c r="V60" s="228">
        <f t="shared" si="44"/>
        <v>1394.9160645634549</v>
      </c>
      <c r="W60" s="228">
        <f t="shared" ref="W60:AB60" si="45">IF(W58&gt;W57,0,W57-W58)</f>
        <v>1422.5862343602951</v>
      </c>
      <c r="X60" s="228">
        <f t="shared" si="45"/>
        <v>1450.8052730421202</v>
      </c>
      <c r="Y60" s="228">
        <f t="shared" si="45"/>
        <v>1479.5840678632246</v>
      </c>
      <c r="Z60" s="228">
        <f t="shared" si="45"/>
        <v>1508.9337220317864</v>
      </c>
      <c r="AA60" s="228">
        <f t="shared" si="45"/>
        <v>1538.8655589933442</v>
      </c>
      <c r="AB60" s="228">
        <f t="shared" si="45"/>
        <v>1569.391126799236</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4" t="s">
        <v>272</v>
      </c>
      <c r="C62" s="335"/>
      <c r="D62" s="196">
        <f t="shared" ref="D62:V62" si="46">(D56-D60)</f>
        <v>-13071.734248910499</v>
      </c>
      <c r="E62" s="196">
        <f t="shared" si="46"/>
        <v>-23690.168573676769</v>
      </c>
      <c r="F62" s="196">
        <f>(F56-F60)</f>
        <v>-12165.84125792928</v>
      </c>
      <c r="G62" s="196">
        <f t="shared" si="46"/>
        <v>-5210.6144984246312</v>
      </c>
      <c r="H62" s="196">
        <f t="shared" si="46"/>
        <v>-5109.9603370934583</v>
      </c>
      <c r="I62" s="196">
        <f t="shared" si="46"/>
        <v>104.05168094081429</v>
      </c>
      <c r="J62" s="196">
        <f t="shared" si="46"/>
        <v>4145.6186961359308</v>
      </c>
      <c r="K62" s="196">
        <f t="shared" si="46"/>
        <v>4227.8533228138876</v>
      </c>
      <c r="L62" s="196">
        <f t="shared" si="46"/>
        <v>4311.7191717989135</v>
      </c>
      <c r="M62" s="196">
        <f t="shared" si="46"/>
        <v>4397.2485998164002</v>
      </c>
      <c r="N62" s="196">
        <f t="shared" si="46"/>
        <v>4484.474605405293</v>
      </c>
      <c r="O62" s="196">
        <f t="shared" si="46"/>
        <v>4573.4308416486165</v>
      </c>
      <c r="P62" s="196">
        <f t="shared" si="46"/>
        <v>4664.1516291564949</v>
      </c>
      <c r="Q62" s="196">
        <f t="shared" si="46"/>
        <v>4756.6719693066952</v>
      </c>
      <c r="R62" s="196">
        <f t="shared" si="46"/>
        <v>4851.0275577477914</v>
      </c>
      <c r="S62" s="196">
        <f t="shared" si="46"/>
        <v>4947.25479817018</v>
      </c>
      <c r="T62" s="196">
        <f t="shared" si="46"/>
        <v>5045.3908163502065</v>
      </c>
      <c r="U62" s="196">
        <f t="shared" si="46"/>
        <v>5145.4734744728876</v>
      </c>
      <c r="V62" s="196">
        <f t="shared" si="46"/>
        <v>5247.5413857387121</v>
      </c>
      <c r="W62" s="196">
        <f t="shared" ref="W62:AB62" si="47">(W56-W60)</f>
        <v>5351.6339292601579</v>
      </c>
      <c r="X62" s="196">
        <f t="shared" si="47"/>
        <v>5457.7912652536907</v>
      </c>
      <c r="Y62" s="196">
        <f t="shared" si="47"/>
        <v>5566.0543505330834</v>
      </c>
      <c r="Z62" s="196">
        <f t="shared" si="47"/>
        <v>5676.4649543100541</v>
      </c>
      <c r="AA62" s="196">
        <f t="shared" si="47"/>
        <v>5789.0656743082945</v>
      </c>
      <c r="AB62" s="196">
        <f t="shared" si="47"/>
        <v>5903.8999531971258</v>
      </c>
      <c r="AC62" s="196"/>
    </row>
    <row r="66" spans="1:32" ht="16" x14ac:dyDescent="0.2">
      <c r="A66" s="3"/>
      <c r="B66" s="577" t="s">
        <v>378</v>
      </c>
      <c r="C66" s="578"/>
      <c r="D66" s="578"/>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31509.790265999993</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2745.0641922712048</v>
      </c>
      <c r="E70" s="228">
        <f t="shared" si="50"/>
        <v>4974.9354004721217</v>
      </c>
      <c r="F70" s="228">
        <f t="shared" si="50"/>
        <v>2554.8266641651485</v>
      </c>
      <c r="G70" s="228">
        <f t="shared" si="50"/>
        <v>1094.2290446691727</v>
      </c>
      <c r="H70" s="228">
        <f t="shared" si="50"/>
        <v>1073.0916707896263</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258.16675141598239</v>
      </c>
      <c r="E72" s="247">
        <f t="shared" si="51"/>
        <v>467.88082933011628</v>
      </c>
      <c r="F72" s="247">
        <f t="shared" si="51"/>
        <v>240.27536484410331</v>
      </c>
      <c r="G72" s="247">
        <f t="shared" si="51"/>
        <v>102.9096363438865</v>
      </c>
      <c r="H72" s="247">
        <f t="shared" si="51"/>
        <v>100.92171665759581</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34513.021209687184</v>
      </c>
      <c r="E73" s="228">
        <f t="shared" ref="E73:V73" si="52">SUM(E69:E72)</f>
        <v>5442.816229802238</v>
      </c>
      <c r="F73" s="228">
        <f t="shared" si="52"/>
        <v>2795.102029009252</v>
      </c>
      <c r="G73" s="228">
        <f t="shared" si="52"/>
        <v>1197.1386810130591</v>
      </c>
      <c r="H73" s="228">
        <f t="shared" si="52"/>
        <v>1174.0133874472222</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48" t="s">
        <v>460</v>
      </c>
      <c r="AE79" s="549"/>
      <c r="AF79" s="550"/>
    </row>
    <row r="80" spans="1:32" ht="14" customHeight="1" thickBot="1" x14ac:dyDescent="0.25">
      <c r="A80" s="3"/>
      <c r="B80" s="210" t="s">
        <v>233</v>
      </c>
      <c r="C80" s="247">
        <f>-Project_Net_Investment</f>
        <v>-114975.09002171065</v>
      </c>
      <c r="D80" s="247">
        <f>(D62+D46+SUM(D75:D77))</f>
        <v>4783.8135684894987</v>
      </c>
      <c r="E80" s="247">
        <f t="shared" ref="E80:AA80" si="54">(E62+E46+SUM(E75:E77))</f>
        <v>4878.7079341632307</v>
      </c>
      <c r="F80" s="247">
        <f>(F62+F46+SUM(F75:F77))</f>
        <v>4975.4846467747211</v>
      </c>
      <c r="G80" s="247">
        <f t="shared" si="54"/>
        <v>5074.1810443977683</v>
      </c>
      <c r="H80" s="247">
        <f t="shared" si="54"/>
        <v>5174.8352057289412</v>
      </c>
      <c r="I80" s="247">
        <f t="shared" si="54"/>
        <v>5246.4494523520143</v>
      </c>
      <c r="J80" s="247">
        <f t="shared" si="54"/>
        <v>4145.6186961359308</v>
      </c>
      <c r="K80" s="247">
        <f t="shared" si="54"/>
        <v>4227.8533228138876</v>
      </c>
      <c r="L80" s="247">
        <f t="shared" si="54"/>
        <v>4311.7191717989135</v>
      </c>
      <c r="M80" s="247">
        <f t="shared" si="54"/>
        <v>4397.2485998164002</v>
      </c>
      <c r="N80" s="247">
        <f t="shared" si="54"/>
        <v>4484.474605405293</v>
      </c>
      <c r="O80" s="247">
        <f t="shared" si="54"/>
        <v>4573.4308416486165</v>
      </c>
      <c r="P80" s="247">
        <f t="shared" si="54"/>
        <v>4664.1516291564949</v>
      </c>
      <c r="Q80" s="247">
        <f t="shared" si="54"/>
        <v>4756.6719693066952</v>
      </c>
      <c r="R80" s="247">
        <f t="shared" si="54"/>
        <v>4851.0275577477914</v>
      </c>
      <c r="S80" s="247">
        <f t="shared" si="54"/>
        <v>4947.25479817018</v>
      </c>
      <c r="T80" s="247">
        <f t="shared" si="54"/>
        <v>5045.3908163502065</v>
      </c>
      <c r="U80" s="247">
        <f t="shared" si="54"/>
        <v>5145.4734744728876</v>
      </c>
      <c r="V80" s="247">
        <f t="shared" si="54"/>
        <v>5247.5413857387121</v>
      </c>
      <c r="W80" s="247">
        <f t="shared" si="54"/>
        <v>5351.6339292601579</v>
      </c>
      <c r="X80" s="247">
        <f t="shared" si="54"/>
        <v>5457.7912652536907</v>
      </c>
      <c r="Y80" s="247">
        <f t="shared" si="54"/>
        <v>5566.0543505330834</v>
      </c>
      <c r="Z80" s="247">
        <f t="shared" si="54"/>
        <v>5676.4649543100541</v>
      </c>
      <c r="AA80" s="247">
        <f t="shared" si="54"/>
        <v>5789.0656743082945</v>
      </c>
      <c r="AB80" s="441">
        <f>((AB62+AB46+SUM(AB75:AB77))+IF(Termination_Value_OnOff="On",INDEX(Termination_Value_Table_End_of_Term,2,MATCH(Termination_Value_Percentage,Dashboard!C72:E72,0)),0))</f>
        <v>23150.163456453723</v>
      </c>
      <c r="AD80" s="551"/>
      <c r="AE80" s="552"/>
      <c r="AF80" s="553"/>
    </row>
    <row r="81" spans="1:32" ht="16" thickTop="1" thickBot="1" x14ac:dyDescent="0.25">
      <c r="A81" s="3"/>
      <c r="B81" s="210" t="s">
        <v>165</v>
      </c>
      <c r="C81" s="228">
        <f>C80</f>
        <v>-114975.09002171065</v>
      </c>
      <c r="D81" s="228">
        <f t="shared" ref="D81:V81" si="55">C81+D80</f>
        <v>-110191.27645322116</v>
      </c>
      <c r="E81" s="228">
        <f t="shared" si="55"/>
        <v>-105312.56851905792</v>
      </c>
      <c r="F81" s="228">
        <f t="shared" si="55"/>
        <v>-100337.0838722832</v>
      </c>
      <c r="G81" s="228">
        <f t="shared" si="55"/>
        <v>-95262.902827885424</v>
      </c>
      <c r="H81" s="228">
        <f t="shared" si="55"/>
        <v>-90088.067622156479</v>
      </c>
      <c r="I81" s="228">
        <f t="shared" si="55"/>
        <v>-84841.618169804467</v>
      </c>
      <c r="J81" s="228">
        <f t="shared" si="55"/>
        <v>-80695.999473668533</v>
      </c>
      <c r="K81" s="228">
        <f t="shared" si="55"/>
        <v>-76468.146150854649</v>
      </c>
      <c r="L81" s="228">
        <f t="shared" si="55"/>
        <v>-72156.42697905573</v>
      </c>
      <c r="M81" s="228">
        <f t="shared" si="55"/>
        <v>-67759.178379239325</v>
      </c>
      <c r="N81" s="228">
        <f t="shared" si="55"/>
        <v>-63274.70377383403</v>
      </c>
      <c r="O81" s="228">
        <f t="shared" si="55"/>
        <v>-58701.272932185413</v>
      </c>
      <c r="P81" s="228">
        <f t="shared" si="55"/>
        <v>-54037.121303028922</v>
      </c>
      <c r="Q81" s="228">
        <f t="shared" si="55"/>
        <v>-49280.449333722223</v>
      </c>
      <c r="R81" s="228">
        <f t="shared" si="55"/>
        <v>-44429.421775974435</v>
      </c>
      <c r="S81" s="228">
        <f t="shared" si="55"/>
        <v>-39482.166977804256</v>
      </c>
      <c r="T81" s="228">
        <f t="shared" si="55"/>
        <v>-34436.77616145405</v>
      </c>
      <c r="U81" s="228">
        <f t="shared" si="55"/>
        <v>-29291.302686981162</v>
      </c>
      <c r="V81" s="228">
        <f t="shared" si="55"/>
        <v>-24043.761301242448</v>
      </c>
      <c r="W81" s="228">
        <f t="shared" ref="W81:AB81" si="56">V81+W80</f>
        <v>-18692.127371982289</v>
      </c>
      <c r="X81" s="228">
        <f t="shared" si="56"/>
        <v>-13234.336106728599</v>
      </c>
      <c r="Y81" s="228">
        <f t="shared" si="56"/>
        <v>-7668.2817561955153</v>
      </c>
      <c r="Z81" s="228">
        <f t="shared" si="56"/>
        <v>-1991.8168018854612</v>
      </c>
      <c r="AA81" s="228">
        <f t="shared" si="56"/>
        <v>3797.2488724228333</v>
      </c>
      <c r="AB81" s="228">
        <f t="shared" si="56"/>
        <v>26947.412328876555</v>
      </c>
      <c r="AD81" s="554"/>
      <c r="AE81" s="555"/>
      <c r="AF81" s="556"/>
    </row>
    <row r="82" spans="1:32" ht="14" x14ac:dyDescent="0.2">
      <c r="A82" s="3"/>
      <c r="B82" s="210" t="s">
        <v>166</v>
      </c>
      <c r="C82" s="228">
        <f>NPV(Investor_Discount_Rate,D80:AB80)+C80</f>
        <v>-51880.787845577201</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1.4745100305481929E-2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IF(F80&gt;0,0,1)</f>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48" t="s">
        <v>460</v>
      </c>
      <c r="AE86" s="549"/>
      <c r="AF86" s="550"/>
    </row>
    <row r="87" spans="1:32" ht="14" customHeight="1" thickBot="1" x14ac:dyDescent="0.25">
      <c r="A87" s="3"/>
      <c r="B87" s="210" t="s">
        <v>289</v>
      </c>
      <c r="C87" s="247">
        <f>-Project_Net_Investment</f>
        <v>-114975.09002171065</v>
      </c>
      <c r="D87" s="247">
        <f t="shared" ref="D87:AA87" si="59">(D62+D46+D73+SUM(D75:D77))</f>
        <v>39296.834778176679</v>
      </c>
      <c r="E87" s="247">
        <f t="shared" si="59"/>
        <v>10321.524163965469</v>
      </c>
      <c r="F87" s="247">
        <f t="shared" si="59"/>
        <v>7770.5866757839731</v>
      </c>
      <c r="G87" s="247">
        <f t="shared" si="59"/>
        <v>6271.3197254108272</v>
      </c>
      <c r="H87" s="247">
        <f t="shared" si="59"/>
        <v>6348.8485931761634</v>
      </c>
      <c r="I87" s="247">
        <f t="shared" si="59"/>
        <v>5246.4494523520143</v>
      </c>
      <c r="J87" s="247">
        <f t="shared" si="59"/>
        <v>4145.6186961359308</v>
      </c>
      <c r="K87" s="247">
        <f t="shared" si="59"/>
        <v>4227.8533228138876</v>
      </c>
      <c r="L87" s="247">
        <f t="shared" si="59"/>
        <v>4311.7191717989135</v>
      </c>
      <c r="M87" s="247">
        <f t="shared" si="59"/>
        <v>4397.2485998164002</v>
      </c>
      <c r="N87" s="247">
        <f t="shared" si="59"/>
        <v>4484.474605405293</v>
      </c>
      <c r="O87" s="247">
        <f t="shared" si="59"/>
        <v>4573.4308416486165</v>
      </c>
      <c r="P87" s="247">
        <f t="shared" si="59"/>
        <v>4664.1516291564949</v>
      </c>
      <c r="Q87" s="247">
        <f t="shared" si="59"/>
        <v>4756.6719693066952</v>
      </c>
      <c r="R87" s="247">
        <f t="shared" si="59"/>
        <v>4851.0275577477914</v>
      </c>
      <c r="S87" s="247">
        <f t="shared" si="59"/>
        <v>4947.25479817018</v>
      </c>
      <c r="T87" s="247">
        <f t="shared" si="59"/>
        <v>5045.3908163502065</v>
      </c>
      <c r="U87" s="247">
        <f t="shared" si="59"/>
        <v>5145.4734744728876</v>
      </c>
      <c r="V87" s="247">
        <f t="shared" si="59"/>
        <v>5247.5413857387121</v>
      </c>
      <c r="W87" s="247">
        <f t="shared" si="59"/>
        <v>5351.6339292601579</v>
      </c>
      <c r="X87" s="247">
        <f t="shared" si="59"/>
        <v>5457.7912652536907</v>
      </c>
      <c r="Y87" s="247">
        <f t="shared" si="59"/>
        <v>5566.0543505330834</v>
      </c>
      <c r="Z87" s="247">
        <f t="shared" si="59"/>
        <v>5676.4649543100541</v>
      </c>
      <c r="AA87" s="247">
        <f t="shared" si="59"/>
        <v>5789.0656743082945</v>
      </c>
      <c r="AB87" s="441">
        <f>((AB62+AB46+AB73++SUM(AB75:AB77))-AB75)++IF(Termination_Value_OnOff="On",INDEX(Termination_Value_Table_End_of_Term,2,MATCH(Termination_Value_Percentage,Dashboard!C72:E72,0)),0)</f>
        <v>23150.163456453723</v>
      </c>
      <c r="AD87" s="551"/>
      <c r="AE87" s="552"/>
      <c r="AF87" s="553"/>
    </row>
    <row r="88" spans="1:32" ht="16" thickTop="1" thickBot="1" x14ac:dyDescent="0.25">
      <c r="A88" s="3"/>
      <c r="B88" s="210" t="s">
        <v>51</v>
      </c>
      <c r="C88" s="228">
        <f>C87</f>
        <v>-114975.09002171065</v>
      </c>
      <c r="D88" s="228">
        <f t="shared" ref="D88:V88" si="60">C88+D87</f>
        <v>-75678.255243533975</v>
      </c>
      <c r="E88" s="228">
        <f t="shared" si="60"/>
        <v>-65356.731079568504</v>
      </c>
      <c r="F88" s="228">
        <f t="shared" si="60"/>
        <v>-57586.144403784529</v>
      </c>
      <c r="G88" s="228">
        <f t="shared" si="60"/>
        <v>-51314.824678373698</v>
      </c>
      <c r="H88" s="228">
        <f t="shared" si="60"/>
        <v>-44965.976085197537</v>
      </c>
      <c r="I88" s="228">
        <f t="shared" si="60"/>
        <v>-39719.526632845525</v>
      </c>
      <c r="J88" s="228">
        <f t="shared" si="60"/>
        <v>-35573.907936709598</v>
      </c>
      <c r="K88" s="228">
        <f t="shared" si="60"/>
        <v>-31346.054613895711</v>
      </c>
      <c r="L88" s="228">
        <f t="shared" si="60"/>
        <v>-27034.335442096795</v>
      </c>
      <c r="M88" s="228">
        <f t="shared" si="60"/>
        <v>-22637.086842280394</v>
      </c>
      <c r="N88" s="228">
        <f t="shared" si="60"/>
        <v>-18152.612236875102</v>
      </c>
      <c r="O88" s="228">
        <f t="shared" si="60"/>
        <v>-13579.181395226486</v>
      </c>
      <c r="P88" s="228">
        <f t="shared" si="60"/>
        <v>-8915.0297660699907</v>
      </c>
      <c r="Q88" s="228">
        <f t="shared" si="60"/>
        <v>-4158.3577967632955</v>
      </c>
      <c r="R88" s="228">
        <f t="shared" si="60"/>
        <v>692.66976098449595</v>
      </c>
      <c r="S88" s="228">
        <f t="shared" si="60"/>
        <v>5639.924559154676</v>
      </c>
      <c r="T88" s="228">
        <f t="shared" si="60"/>
        <v>10685.315375504882</v>
      </c>
      <c r="U88" s="228">
        <f t="shared" si="60"/>
        <v>15830.788849977769</v>
      </c>
      <c r="V88" s="228">
        <f t="shared" si="60"/>
        <v>21078.330235716479</v>
      </c>
      <c r="W88" s="228">
        <f t="shared" ref="W88:AB88" si="61">V88+W87</f>
        <v>26429.964164976638</v>
      </c>
      <c r="X88" s="228">
        <f t="shared" si="61"/>
        <v>31887.755430230329</v>
      </c>
      <c r="Y88" s="228">
        <f t="shared" si="61"/>
        <v>37453.809780763411</v>
      </c>
      <c r="Z88" s="228">
        <f t="shared" si="61"/>
        <v>43130.274735073464</v>
      </c>
      <c r="AA88" s="228">
        <f t="shared" si="61"/>
        <v>48919.340409381759</v>
      </c>
      <c r="AB88" s="228">
        <f t="shared" si="61"/>
        <v>72069.50386583549</v>
      </c>
      <c r="AD88" s="554"/>
      <c r="AE88" s="555"/>
      <c r="AF88" s="556"/>
    </row>
    <row r="89" spans="1:32" ht="14" x14ac:dyDescent="0.2">
      <c r="A89" s="3"/>
      <c r="B89" s="210" t="s">
        <v>223</v>
      </c>
      <c r="C89" s="228">
        <f>NPV(Investor_Discount_Rate,D87:AB87)+C87</f>
        <v>-10574.109617724054</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5.1457313670481453E-2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9" t="s">
        <v>184</v>
      </c>
      <c r="C94" s="579"/>
      <c r="D94" s="579"/>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3626.8829965999357</v>
      </c>
      <c r="E103" s="228">
        <f>(((Unstructured!E30*Production_Delta_P95_P50)-Unstructured!E38)/Project_Loan_Coverage_Ratio)</f>
        <v>3698.8201529573589</v>
      </c>
      <c r="F103" s="228">
        <f>(((Unstructured!F30*Production_Delta_P95_P50)-Unstructured!F38)/Project_Loan_Coverage_Ratio)</f>
        <v>3772.1841174333858</v>
      </c>
      <c r="G103" s="228">
        <f>(((Unstructured!G30*Production_Delta_P95_P50)-Unstructured!G38)/Project_Loan_Coverage_Ratio)</f>
        <v>3847.003188982093</v>
      </c>
      <c r="H103" s="228">
        <f>(((Unstructured!H30*Production_Delta_P95_P50)-Unstructured!H38)/Project_Loan_Coverage_Ratio)</f>
        <v>3923.3062278221273</v>
      </c>
      <c r="I103" s="228">
        <f>(((Unstructured!I30*Production_Delta_P95_P50)-Unstructured!I38)/Project_Loan_Coverage_Ratio)</f>
        <v>4001.1226665682866</v>
      </c>
      <c r="J103" s="228">
        <f>(((Unstructured!J30*Production_Delta_P95_P50)-Unstructured!J38)/Project_Loan_Coverage_Ratio)</f>
        <v>4080.4825215838887</v>
      </c>
      <c r="K103" s="228">
        <f>(((Unstructured!K30*Production_Delta_P95_P50)-Unstructured!K38)/Project_Loan_Coverage_Ratio)</f>
        <v>4161.4164045582775</v>
      </c>
      <c r="L103" s="228">
        <f>(((Unstructured!L30*Production_Delta_P95_P50)-Unstructured!L38)/Project_Loan_Coverage_Ratio)</f>
        <v>4243.9555343139409</v>
      </c>
      <c r="M103" s="228">
        <f>(((Unstructured!M30*Production_Delta_P95_P50)-Unstructured!M38)/Project_Loan_Coverage_Ratio)</f>
        <v>4328.1317488477989</v>
      </c>
      <c r="N103" s="228">
        <f>(((Unstructured!N30*Production_Delta_P95_P50)-Unstructured!N38)/Project_Loan_Coverage_Ratio)</f>
        <v>4413.9775176113044</v>
      </c>
      <c r="O103" s="228">
        <f>(((Unstructured!O30*Production_Delta_P95_P50)-Unstructured!O38)/Project_Loan_Coverage_Ratio)</f>
        <v>4501.5259540340894</v>
      </c>
      <c r="P103" s="228">
        <f>(((Unstructured!P30*Production_Delta_P95_P50)-Unstructured!P38)/Project_Loan_Coverage_Ratio)</f>
        <v>4590.8108282959802</v>
      </c>
      <c r="Q103" s="228">
        <f>(((Unstructured!Q30*Production_Delta_P95_P50)-Unstructured!Q38)/Project_Loan_Coverage_Ratio)</f>
        <v>4681.8665803523381</v>
      </c>
      <c r="R103" s="228">
        <f>(((Unstructured!R30*Production_Delta_P95_P50)-Unstructured!R38)/Project_Loan_Coverage_Ratio)</f>
        <v>4774.728333217693</v>
      </c>
      <c r="S103" s="228">
        <f>(((Unstructured!S30*Production_Delta_P95_P50)-Unstructured!S38)/Project_Loan_Coverage_Ratio)</f>
        <v>4869.4319065128657</v>
      </c>
      <c r="T103" s="228">
        <f>(((Unstructured!T30*Production_Delta_P95_P50)-Unstructured!T38)/Project_Loan_Coverage_Ratio)</f>
        <v>4966.0138302807281</v>
      </c>
      <c r="U103" s="228">
        <f>(((Unstructured!U30*Production_Delta_P95_P50)-Unstructured!U38)/Project_Loan_Coverage_Ratio)</f>
        <v>5064.5113590759984</v>
      </c>
      <c r="V103" s="228">
        <f>(((Unstructured!V30*Production_Delta_P95_P50)-Unstructured!V38)/Project_Loan_Coverage_Ratio)</f>
        <v>5164.9624863344379</v>
      </c>
      <c r="W103" s="228">
        <f>(((Unstructured!W30*Production_Delta_P95_P50)-Unstructured!W38)/Project_Loan_Coverage_Ratio)</f>
        <v>5267.405959027079</v>
      </c>
      <c r="X103" s="228">
        <f>(((Unstructured!X30*Production_Delta_P95_P50)-Unstructured!X38)/Project_Loan_Coverage_Ratio)</f>
        <v>5371.8812926050205</v>
      </c>
      <c r="Y103" s="228">
        <f>(((Unstructured!Y30*Production_Delta_P95_P50)-Unstructured!Y38)/Project_Loan_Coverage_Ratio)</f>
        <v>5478.4287862406682</v>
      </c>
      <c r="Z103" s="228">
        <f>(((Unstructured!Z30*Production_Delta_P95_P50)-Unstructured!Z38)/Project_Loan_Coverage_Ratio)</f>
        <v>5587.0895383712268</v>
      </c>
      <c r="AA103" s="228">
        <f>(((Unstructured!AA30*Production_Delta_P95_P50)-Unstructured!AA38)/Project_Loan_Coverage_Ratio)</f>
        <v>5697.9054625504596</v>
      </c>
      <c r="AB103" s="228">
        <f>(((Unstructured!AB30*Production_Delta_P95_P50)-Unstructured!AB38)/Project_Loan_Coverage_Ratio)</f>
        <v>5810.9193036148381</v>
      </c>
      <c r="AC103" s="12"/>
    </row>
    <row r="104" spans="1:29" ht="14" x14ac:dyDescent="0.2">
      <c r="A104" s="3"/>
      <c r="B104" s="236" t="s">
        <v>71</v>
      </c>
      <c r="C104" s="228"/>
      <c r="D104" s="228">
        <f t="shared" ref="D104:V104" si="68">D103-D98</f>
        <v>3626.8829965999357</v>
      </c>
      <c r="E104" s="228">
        <f t="shared" si="68"/>
        <v>3698.8201529573589</v>
      </c>
      <c r="F104" s="228">
        <f t="shared" si="68"/>
        <v>3772.1841174333858</v>
      </c>
      <c r="G104" s="228">
        <f t="shared" si="68"/>
        <v>3847.003188982093</v>
      </c>
      <c r="H104" s="228">
        <f t="shared" si="68"/>
        <v>3923.3062278221273</v>
      </c>
      <c r="I104" s="228">
        <f t="shared" si="68"/>
        <v>4001.1226665682866</v>
      </c>
      <c r="J104" s="228">
        <f t="shared" si="68"/>
        <v>4080.4825215838887</v>
      </c>
      <c r="K104" s="228">
        <f t="shared" si="68"/>
        <v>4161.4164045582775</v>
      </c>
      <c r="L104" s="228">
        <f t="shared" si="68"/>
        <v>4243.9555343139409</v>
      </c>
      <c r="M104" s="228">
        <f t="shared" si="68"/>
        <v>4328.1317488477989</v>
      </c>
      <c r="N104" s="228">
        <f t="shared" si="68"/>
        <v>4413.9775176113044</v>
      </c>
      <c r="O104" s="228">
        <f t="shared" si="68"/>
        <v>4501.5259540340894</v>
      </c>
      <c r="P104" s="228">
        <f t="shared" si="68"/>
        <v>4590.8108282959802</v>
      </c>
      <c r="Q104" s="228">
        <f t="shared" si="68"/>
        <v>4681.8665803523381</v>
      </c>
      <c r="R104" s="228">
        <f t="shared" si="68"/>
        <v>4774.728333217693</v>
      </c>
      <c r="S104" s="228">
        <f t="shared" si="68"/>
        <v>4869.4319065128657</v>
      </c>
      <c r="T104" s="228">
        <f t="shared" si="68"/>
        <v>4966.0138302807281</v>
      </c>
      <c r="U104" s="228">
        <f t="shared" si="68"/>
        <v>5064.5113590759984</v>
      </c>
      <c r="V104" s="228">
        <f t="shared" si="68"/>
        <v>5164.9624863344379</v>
      </c>
      <c r="W104" s="228">
        <f t="shared" ref="W104:AB104" si="69">W103-W98</f>
        <v>5267.405959027079</v>
      </c>
      <c r="X104" s="228">
        <f t="shared" si="69"/>
        <v>5371.8812926050205</v>
      </c>
      <c r="Y104" s="228">
        <f t="shared" si="69"/>
        <v>5478.4287862406682</v>
      </c>
      <c r="Z104" s="228">
        <f t="shared" si="69"/>
        <v>5587.0895383712268</v>
      </c>
      <c r="AA104" s="228">
        <f t="shared" si="69"/>
        <v>5697.9054625504596</v>
      </c>
      <c r="AB104" s="228">
        <f t="shared" si="69"/>
        <v>5810.9193036148381</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9" t="s">
        <v>183</v>
      </c>
      <c r="C109" s="579"/>
      <c r="D109" s="579">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4783.8135684894996</v>
      </c>
      <c r="E113" s="228">
        <f>Unstructured!E30-(Unstructured!E38+Unstructured!E42)</f>
        <v>4878.707934163227</v>
      </c>
      <c r="F113" s="228">
        <f>Unstructured!F30-(Unstructured!F38+Unstructured!F42)</f>
        <v>4975.4846467747211</v>
      </c>
      <c r="G113" s="228">
        <f>Unstructured!G30-(Unstructured!G38+Unstructured!G42)</f>
        <v>5074.1810443977674</v>
      </c>
      <c r="H113" s="228">
        <f>Unstructured!H30-(Unstructured!H38+Unstructured!H42)</f>
        <v>5174.8352057289412</v>
      </c>
      <c r="I113" s="228">
        <f>Unstructured!I30-(Unstructured!I38+Unstructured!I42)</f>
        <v>5277.4859647780477</v>
      </c>
      <c r="J113" s="228">
        <f>Unstructured!J30-(Unstructured!J38+Unstructured!J42)</f>
        <v>5382.1729258499581</v>
      </c>
      <c r="K113" s="228">
        <f>Unstructured!K30-(Unstructured!K38+Unstructured!K42)</f>
        <v>5488.9364788236126</v>
      </c>
      <c r="L113" s="228">
        <f>Unstructured!L30-(Unstructured!L38+Unstructured!L42)</f>
        <v>5597.8178147340659</v>
      </c>
      <c r="M113" s="228">
        <f>Unstructured!M30-(Unstructured!M38+Unstructured!M42)</f>
        <v>5708.858941663616</v>
      </c>
      <c r="N113" s="228">
        <f>Unstructured!N30-(Unstructured!N38+Unstructured!N42)</f>
        <v>5822.1027009481249</v>
      </c>
      <c r="O113" s="228">
        <f>Unstructured!O30-(Unstructured!O38+Unstructured!O42)</f>
        <v>5937.592783704793</v>
      </c>
      <c r="P113" s="228">
        <f>Unstructured!P30-(Unstructured!P38+Unstructured!P42)</f>
        <v>6055.3737476877559</v>
      </c>
      <c r="Q113" s="228">
        <f>Unstructured!Q30-(Unstructured!Q38+Unstructured!Q42)</f>
        <v>6175.4910344780192</v>
      </c>
      <c r="R113" s="228">
        <f>Unstructured!R30-(Unstructured!R38+Unstructured!R42)</f>
        <v>6297.9909870143347</v>
      </c>
      <c r="S113" s="228">
        <f>Unstructured!S30-(Unstructured!S38+Unstructured!S42)</f>
        <v>6422.9208674718338</v>
      </c>
      <c r="T113" s="228">
        <f>Unstructured!T30-(Unstructured!T38+Unstructured!T42)</f>
        <v>6550.3288754952364</v>
      </c>
      <c r="U113" s="228">
        <f>Unstructured!U30-(Unstructured!U38+Unstructured!U42)</f>
        <v>6680.2641667937532</v>
      </c>
      <c r="V113" s="228">
        <f>Unstructured!V30-(Unstructured!V38+Unstructured!V42)</f>
        <v>6812.776872104786</v>
      </c>
      <c r="W113" s="228">
        <f>Unstructured!W30-(Unstructured!W38+Unstructured!W42)</f>
        <v>6947.9181165337977</v>
      </c>
      <c r="X113" s="228">
        <f>Unstructured!X30-(Unstructured!X38+Unstructured!X42)</f>
        <v>7085.7400392777545</v>
      </c>
      <c r="Y113" s="228">
        <f>Unstructured!Y30-(Unstructured!Y38+Unstructured!Y42)</f>
        <v>7226.2958137398036</v>
      </c>
      <c r="Z113" s="228">
        <f>Unstructured!Z30-(Unstructured!Z38+Unstructured!Z42)</f>
        <v>7369.6396680429134</v>
      </c>
      <c r="AA113" s="228">
        <f>Unstructured!AA30-(Unstructured!AA38+Unstructured!AA42)</f>
        <v>7515.8269059503982</v>
      </c>
      <c r="AB113" s="228">
        <f>Unstructured!AB30-(Unstructured!AB38+Unstructured!AB42)</f>
        <v>7664.9139282013966</v>
      </c>
      <c r="AC113" s="12"/>
    </row>
    <row r="114" spans="1:29" ht="14" x14ac:dyDescent="0.2">
      <c r="A114" s="3"/>
      <c r="B114" s="236" t="s">
        <v>20</v>
      </c>
      <c r="C114" s="245"/>
      <c r="D114" s="228">
        <f>IF(AND(Owner_is_Taxpayer_Non_Taxpayer?="Taxpayer",Unstructured!D17&lt;7),VLOOKUP(Unstructured!D17,Depreciation_Table,4),0)</f>
        <v>17855.547817399998</v>
      </c>
      <c r="E114" s="228">
        <f>IF(AND(Owner_is_Taxpayer_Non_Taxpayer?="Taxpayer",Unstructured!E17&lt;7),VLOOKUP(Unstructured!E17,Depreciation_Table,4),0)</f>
        <v>28568.876507839999</v>
      </c>
      <c r="F114" s="228">
        <f>IF(AND(Owner_is_Taxpayer_Non_Taxpayer?="Taxpayer",Unstructured!F17&lt;7),VLOOKUP(Unstructured!F17,Depreciation_Table,4),0)</f>
        <v>17141.325904704001</v>
      </c>
      <c r="G114" s="228">
        <f>IF(AND(Owner_is_Taxpayer_Non_Taxpayer?="Taxpayer",Unstructured!G17&lt;7),VLOOKUP(Unstructured!G17,Depreciation_Table,4),0)</f>
        <v>10284.7955428224</v>
      </c>
      <c r="H114" s="228">
        <f>IF(AND(Owner_is_Taxpayer_Non_Taxpayer?="Taxpayer",Unstructured!H17&lt;7),VLOOKUP(Unstructured!H17,Depreciation_Table,4),0)</f>
        <v>10284.7955428224</v>
      </c>
      <c r="I114" s="228">
        <f>IF(AND(Owner_is_Taxpayer_Non_Taxpayer?="Taxpayer",Unstructured!I17&lt;7),VLOOKUP(Unstructured!I17,Depreciation_Table,4),0)</f>
        <v>5142.3977714111998</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135.08819336684792</v>
      </c>
      <c r="J116" s="247">
        <f t="shared" si="74"/>
        <v>5382.1729258499581</v>
      </c>
      <c r="K116" s="247">
        <f t="shared" si="74"/>
        <v>5488.9364788236126</v>
      </c>
      <c r="L116" s="247">
        <f t="shared" si="74"/>
        <v>5597.8178147340659</v>
      </c>
      <c r="M116" s="247">
        <f t="shared" si="74"/>
        <v>5708.858941663616</v>
      </c>
      <c r="N116" s="247">
        <f t="shared" si="74"/>
        <v>5822.1027009481249</v>
      </c>
      <c r="O116" s="247">
        <f t="shared" si="74"/>
        <v>5937.592783704793</v>
      </c>
      <c r="P116" s="247">
        <f t="shared" si="74"/>
        <v>6055.3737476877559</v>
      </c>
      <c r="Q116" s="247">
        <f t="shared" si="74"/>
        <v>6175.4910344780192</v>
      </c>
      <c r="R116" s="247">
        <f t="shared" si="74"/>
        <v>6297.9909870143347</v>
      </c>
      <c r="S116" s="247">
        <f t="shared" si="74"/>
        <v>6422.9208674718338</v>
      </c>
      <c r="T116" s="247">
        <f t="shared" si="74"/>
        <v>6550.3288754952364</v>
      </c>
      <c r="U116" s="247">
        <f t="shared" si="74"/>
        <v>6680.2641667937532</v>
      </c>
      <c r="V116" s="247">
        <f t="shared" si="74"/>
        <v>6812.776872104786</v>
      </c>
      <c r="W116" s="247">
        <f t="shared" ref="W116:AB116" si="75">IF(W113&gt;(W114+W115),W113-(W114+W115),0)</f>
        <v>6947.9181165337977</v>
      </c>
      <c r="X116" s="247">
        <f t="shared" si="75"/>
        <v>7085.7400392777545</v>
      </c>
      <c r="Y116" s="247">
        <f t="shared" si="75"/>
        <v>7226.2958137398036</v>
      </c>
      <c r="Z116" s="247">
        <f t="shared" si="75"/>
        <v>7369.6396680429134</v>
      </c>
      <c r="AA116" s="247">
        <f t="shared" si="75"/>
        <v>7515.8269059503982</v>
      </c>
      <c r="AB116" s="247">
        <f t="shared" si="75"/>
        <v>7664.9139282013966</v>
      </c>
      <c r="AC116" s="12"/>
    </row>
    <row r="117" spans="1:29" ht="15" thickTop="1" x14ac:dyDescent="0.2">
      <c r="A117" s="3"/>
      <c r="B117" s="236" t="s">
        <v>79</v>
      </c>
      <c r="C117" s="245"/>
      <c r="D117" s="228">
        <f>IF(D113&gt;(D114+D115),0,(D114+D115)-D113)</f>
        <v>13071.734248910499</v>
      </c>
      <c r="E117" s="228">
        <f t="shared" ref="E117:V117" si="76">IF(E113&gt;(E114+E115),0,(E114+E115)-E113)</f>
        <v>23690.168573676772</v>
      </c>
      <c r="F117" s="228">
        <f t="shared" si="76"/>
        <v>12165.84125792928</v>
      </c>
      <c r="G117" s="228">
        <f t="shared" si="76"/>
        <v>5210.6144984246321</v>
      </c>
      <c r="H117" s="228">
        <f t="shared" si="76"/>
        <v>5109.9603370934583</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4783.8135684894996</v>
      </c>
      <c r="E120" s="228">
        <f>Unstructured!E30-(Unstructured!E38+Unstructured!E42+Unstructured!E53)</f>
        <v>4878.707934163227</v>
      </c>
      <c r="F120" s="228">
        <f>Unstructured!F30-(Unstructured!F38+Unstructured!F42+Unstructured!F53)</f>
        <v>4975.4846467747211</v>
      </c>
      <c r="G120" s="228">
        <f>Unstructured!G30-(Unstructured!G38+Unstructured!G42+Unstructured!G53)</f>
        <v>5074.1810443977674</v>
      </c>
      <c r="H120" s="228">
        <f>Unstructured!H30-(Unstructured!H38+Unstructured!H42+Unstructured!H53)</f>
        <v>5174.8352057289412</v>
      </c>
      <c r="I120" s="228">
        <f>Unstructured!I30-(Unstructured!I38+Unstructured!I42+Unstructured!I53)</f>
        <v>5274.1087599438761</v>
      </c>
      <c r="J120" s="228">
        <f>Unstructured!J30-(Unstructured!J38+Unstructured!J42+Unstructured!J53)</f>
        <v>5247.6186027037093</v>
      </c>
      <c r="K120" s="228">
        <f>Unstructured!K30-(Unstructured!K38+Unstructured!K42+Unstructured!K53)</f>
        <v>5351.7130668530217</v>
      </c>
      <c r="L120" s="228">
        <f>Unstructured!L30-(Unstructured!L38+Unstructured!L42+Unstructured!L53)</f>
        <v>5457.8723693657139</v>
      </c>
      <c r="M120" s="228">
        <f>Unstructured!M30-(Unstructured!M38+Unstructured!M42+Unstructured!M53)</f>
        <v>5566.1374681220259</v>
      </c>
      <c r="N120" s="228">
        <f>Unstructured!N30-(Unstructured!N38+Unstructured!N42+Unstructured!N53)</f>
        <v>5676.5501334244218</v>
      </c>
      <c r="O120" s="228">
        <f>Unstructured!O30-(Unstructured!O38+Unstructured!O42+Unstructured!O53)</f>
        <v>5789.1529641121733</v>
      </c>
      <c r="P120" s="228">
        <f>Unstructured!P30-(Unstructured!P38+Unstructured!P42+Unstructured!P53)</f>
        <v>5903.9894039955625</v>
      </c>
      <c r="Q120" s="228">
        <f>Unstructured!Q30-(Unstructured!Q38+Unstructured!Q42+Unstructured!Q53)</f>
        <v>6021.1037586160692</v>
      </c>
      <c r="R120" s="228">
        <f>Unstructured!R30-(Unstructured!R38+Unstructured!R42+Unstructured!R53)</f>
        <v>6140.5412123389769</v>
      </c>
      <c r="S120" s="228">
        <f>Unstructured!S30-(Unstructured!S38+Unstructured!S42+Unstructured!S53)</f>
        <v>6262.3478457850379</v>
      </c>
      <c r="T120" s="228">
        <f>Unstructured!T30-(Unstructured!T38+Unstructured!T42+Unstructured!T53)</f>
        <v>6386.570653607856</v>
      </c>
      <c r="U120" s="228">
        <f>Unstructured!U30-(Unstructured!U38+Unstructured!U42+Unstructured!U53)</f>
        <v>6513.2575626239086</v>
      </c>
      <c r="V120" s="228">
        <f>Unstructured!V30-(Unstructured!V38+Unstructured!V42+Unstructured!V53)</f>
        <v>6642.4574503021668</v>
      </c>
      <c r="W120" s="228">
        <f>Unstructured!W30-(Unstructured!W38+Unstructured!W42+Unstructured!W53)</f>
        <v>6774.2201636204527</v>
      </c>
      <c r="X120" s="228">
        <f>Unstructured!X30-(Unstructured!X38+Unstructured!X42+Unstructured!X53)</f>
        <v>6908.5965382958111</v>
      </c>
      <c r="Y120" s="228">
        <f>Unstructured!Y30-(Unstructured!Y38+Unstructured!Y42+Unstructured!Y53)</f>
        <v>7045.6384183963082</v>
      </c>
      <c r="Z120" s="228">
        <f>Unstructured!Z30-(Unstructured!Z38+Unstructured!Z42+Unstructured!Z53)</f>
        <v>7185.3986763418407</v>
      </c>
      <c r="AA120" s="228">
        <f>Unstructured!AA30-(Unstructured!AA38+Unstructured!AA42+Unstructured!AA53)</f>
        <v>7327.9312333016387</v>
      </c>
      <c r="AB120" s="228">
        <f>Unstructured!AB30-(Unstructured!AB38+Unstructured!AB42+Unstructured!AB53)</f>
        <v>7473.291079996362</v>
      </c>
      <c r="AC120" s="12"/>
    </row>
    <row r="121" spans="1:29" ht="14" x14ac:dyDescent="0.2">
      <c r="A121" s="3"/>
      <c r="B121" s="236" t="s">
        <v>177</v>
      </c>
      <c r="C121" s="245"/>
      <c r="D121" s="228">
        <f>IF(AND(Owner_is_Taxpayer_Non_Taxpayer?="Taxpayer",Unstructured!D17&lt;7),(VLOOKUP(Unstructured!D17,Depreciation_Table,3)),0)</f>
        <v>17855.547817399998</v>
      </c>
      <c r="E121" s="228">
        <f>IF(AND(Owner_is_Taxpayer_Non_Taxpayer?="Taxpayer",Unstructured!E17&lt;7),(VLOOKUP(Unstructured!E17,Depreciation_Table,3)),0)</f>
        <v>28568.876507839999</v>
      </c>
      <c r="F121" s="228">
        <f>IF(AND(Owner_is_Taxpayer_Non_Taxpayer?="Taxpayer",Unstructured!F17&lt;7),(VLOOKUP(Unstructured!F17,Depreciation_Table,3)),0)</f>
        <v>17141.325904704001</v>
      </c>
      <c r="G121" s="228">
        <f>IF(AND(Owner_is_Taxpayer_Non_Taxpayer?="Taxpayer",Unstructured!G17&lt;7),(VLOOKUP(Unstructured!G17,Depreciation_Table,3)),0)</f>
        <v>10284.7955428224</v>
      </c>
      <c r="H121" s="228">
        <f>IF(AND(Owner_is_Taxpayer_Non_Taxpayer?="Taxpayer",Unstructured!H17&lt;7),(VLOOKUP(Unstructured!H17,Depreciation_Table,3)),0)</f>
        <v>10284.7955428224</v>
      </c>
      <c r="I121" s="228">
        <f>IF(AND(Owner_is_Taxpayer_Non_Taxpayer?="Taxpayer",Unstructured!I17&lt;7),(VLOOKUP(Unstructured!I17,Depreciation_Table,3)),0)</f>
        <v>5142.3977714111998</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131.71098853267631</v>
      </c>
      <c r="J123" s="247">
        <f t="shared" si="80"/>
        <v>5247.6186027037093</v>
      </c>
      <c r="K123" s="247">
        <f t="shared" si="80"/>
        <v>5351.7130668530217</v>
      </c>
      <c r="L123" s="247">
        <f t="shared" si="80"/>
        <v>5457.8723693657139</v>
      </c>
      <c r="M123" s="247">
        <f t="shared" si="80"/>
        <v>5566.1374681220259</v>
      </c>
      <c r="N123" s="247">
        <f t="shared" si="80"/>
        <v>5676.5501334244218</v>
      </c>
      <c r="O123" s="247">
        <f t="shared" si="80"/>
        <v>5789.1529641121733</v>
      </c>
      <c r="P123" s="247">
        <f t="shared" si="80"/>
        <v>5903.9894039955625</v>
      </c>
      <c r="Q123" s="247">
        <f t="shared" si="80"/>
        <v>6021.1037586160692</v>
      </c>
      <c r="R123" s="247">
        <f t="shared" si="80"/>
        <v>6140.5412123389769</v>
      </c>
      <c r="S123" s="247">
        <f t="shared" si="80"/>
        <v>6262.3478457850379</v>
      </c>
      <c r="T123" s="247">
        <f t="shared" si="80"/>
        <v>6386.570653607856</v>
      </c>
      <c r="U123" s="247">
        <f t="shared" si="80"/>
        <v>6513.2575626239086</v>
      </c>
      <c r="V123" s="247">
        <f t="shared" si="80"/>
        <v>6642.4574503021668</v>
      </c>
      <c r="W123" s="247">
        <f t="shared" ref="W123:AB123" si="81">IF(W120&gt;(W121+W122),W120-(W121+W122),0)</f>
        <v>6774.2201636204527</v>
      </c>
      <c r="X123" s="247">
        <f t="shared" si="81"/>
        <v>6908.5965382958111</v>
      </c>
      <c r="Y123" s="247">
        <f t="shared" si="81"/>
        <v>7045.6384183963082</v>
      </c>
      <c r="Z123" s="247">
        <f t="shared" si="81"/>
        <v>7185.3986763418407</v>
      </c>
      <c r="AA123" s="247">
        <f t="shared" si="81"/>
        <v>7327.9312333016387</v>
      </c>
      <c r="AB123" s="247">
        <f t="shared" si="81"/>
        <v>7473.291079996362</v>
      </c>
      <c r="AC123" s="12"/>
    </row>
    <row r="124" spans="1:29" ht="15" thickTop="1" x14ac:dyDescent="0.2">
      <c r="A124" s="3"/>
      <c r="B124" s="237" t="s">
        <v>179</v>
      </c>
      <c r="C124" s="248"/>
      <c r="D124" s="196">
        <f t="shared" ref="D124:V124" si="82">IF(D120&gt;(D121+D122),0,(D121+D122)-D120)</f>
        <v>13071.734248910499</v>
      </c>
      <c r="E124" s="196">
        <f t="shared" si="82"/>
        <v>23690.168573676772</v>
      </c>
      <c r="F124" s="196">
        <f t="shared" si="82"/>
        <v>12165.84125792928</v>
      </c>
      <c r="G124" s="196">
        <f t="shared" si="82"/>
        <v>5210.6144984246321</v>
      </c>
      <c r="H124" s="196">
        <f t="shared" si="82"/>
        <v>5109.9603370934583</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73" t="s">
        <v>61</v>
      </c>
      <c r="D132" s="57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114975.09002171065</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75" t="s">
        <v>43</v>
      </c>
      <c r="D136" s="576"/>
      <c r="E136" s="576"/>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0.60434587809411189</v>
      </c>
      <c r="E137" s="45">
        <f>NPV(Dashboard!$H$25,D152:AB152)</f>
        <v>63094.302176133453</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0.28339444143410342</v>
      </c>
      <c r="E138" s="46">
        <f>NPV(Dashboard!$H$25,D153:W153)</f>
        <v>29586.657526760559</v>
      </c>
    </row>
    <row r="139" spans="2:29" ht="14" x14ac:dyDescent="0.2">
      <c r="C139" s="50" t="s">
        <v>18</v>
      </c>
      <c r="D139" s="55">
        <f>E139/$E$141</f>
        <v>0.10260950119292621</v>
      </c>
      <c r="E139" s="46">
        <f>NPV(Dashboard!$H$25,D154:AB154)</f>
        <v>10712.532523305528</v>
      </c>
    </row>
    <row r="140" spans="2:29" ht="15" thickBot="1" x14ac:dyDescent="0.25">
      <c r="C140" s="50" t="s">
        <v>47</v>
      </c>
      <c r="D140" s="56">
        <f>E140/$E$141</f>
        <v>9.650179278858537E-3</v>
      </c>
      <c r="E140" s="47">
        <f>NPV(Dashboard!$H$25,D155:AB155)</f>
        <v>1007.4881777870676</v>
      </c>
      <c r="O140" t="s">
        <v>349</v>
      </c>
    </row>
    <row r="141" spans="2:29" ht="15" thickTop="1" x14ac:dyDescent="0.2">
      <c r="C141" s="43"/>
      <c r="D141" s="57">
        <f>SUM(D137:D140)</f>
        <v>1</v>
      </c>
      <c r="E141" s="44">
        <f>SUM(E137:E140)</f>
        <v>104400.9804039866</v>
      </c>
    </row>
    <row r="143" spans="2:29" ht="14" x14ac:dyDescent="0.2">
      <c r="B143" s="1"/>
      <c r="C143" s="573" t="s">
        <v>44</v>
      </c>
      <c r="D143" s="574"/>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73" t="s">
        <v>29</v>
      </c>
      <c r="D148" s="574"/>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4783.8135684894987</v>
      </c>
      <c r="E152" s="49">
        <f>Unstructured!E80</f>
        <v>4878.7079341632307</v>
      </c>
      <c r="F152" s="49">
        <f>Unstructured!F80</f>
        <v>4975.4846467747211</v>
      </c>
      <c r="G152" s="49">
        <f>Unstructured!G80</f>
        <v>5074.1810443977683</v>
      </c>
      <c r="H152" s="49">
        <f>Unstructured!H80</f>
        <v>5174.8352057289412</v>
      </c>
      <c r="I152" s="49">
        <f>Unstructured!I80</f>
        <v>5246.4494523520143</v>
      </c>
      <c r="J152" s="49">
        <f>Unstructured!J80</f>
        <v>4145.6186961359308</v>
      </c>
      <c r="K152" s="49">
        <f>Unstructured!K80</f>
        <v>4227.8533228138876</v>
      </c>
      <c r="L152" s="49">
        <f>Unstructured!L80</f>
        <v>4311.7191717989135</v>
      </c>
      <c r="M152" s="49">
        <f>Unstructured!M80</f>
        <v>4397.2485998164002</v>
      </c>
      <c r="N152" s="49">
        <f>Unstructured!N80</f>
        <v>4484.474605405293</v>
      </c>
      <c r="O152" s="49">
        <f>Unstructured!O80</f>
        <v>4573.4308416486165</v>
      </c>
      <c r="P152" s="49">
        <f>Unstructured!P80</f>
        <v>4664.1516291564949</v>
      </c>
      <c r="Q152" s="49">
        <f>Unstructured!Q80</f>
        <v>4756.6719693066952</v>
      </c>
      <c r="R152" s="49">
        <f>Unstructured!R80</f>
        <v>4851.0275577477914</v>
      </c>
      <c r="S152" s="49">
        <f>Unstructured!S80</f>
        <v>4947.25479817018</v>
      </c>
      <c r="T152" s="49">
        <f>Unstructured!T80</f>
        <v>5045.3908163502065</v>
      </c>
      <c r="U152" s="49">
        <f>Unstructured!U80</f>
        <v>5145.4734744728876</v>
      </c>
      <c r="V152" s="49">
        <f>Unstructured!V80</f>
        <v>5247.5413857387121</v>
      </c>
      <c r="W152" s="49">
        <f>Unstructured!W80</f>
        <v>5351.6339292601579</v>
      </c>
      <c r="X152" s="49">
        <f>Unstructured!X80</f>
        <v>5457.7912652536907</v>
      </c>
      <c r="Y152" s="49">
        <f>Unstructured!Y80</f>
        <v>5566.0543505330834</v>
      </c>
      <c r="Z152" s="49">
        <f>Unstructured!Z80</f>
        <v>5676.4649543100541</v>
      </c>
      <c r="AA152" s="49">
        <f>Unstructured!AA80</f>
        <v>5789.0656743082945</v>
      </c>
      <c r="AB152" s="49">
        <f>Unstructured!AB80</f>
        <v>23150.163456453723</v>
      </c>
      <c r="AC152" s="49"/>
    </row>
    <row r="153" spans="2:29" ht="14" x14ac:dyDescent="0.2">
      <c r="C153" s="50" t="s">
        <v>17</v>
      </c>
      <c r="D153" s="51">
        <f>Unstructured!D69</f>
        <v>31509.790265999993</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2745.0641922712048</v>
      </c>
      <c r="E154" s="51">
        <f>Unstructured!E70</f>
        <v>4974.9354004721217</v>
      </c>
      <c r="F154" s="51">
        <f>Unstructured!F70</f>
        <v>2554.8266641651485</v>
      </c>
      <c r="G154" s="51">
        <f>Unstructured!G70</f>
        <v>1094.2290446691727</v>
      </c>
      <c r="H154" s="51">
        <f>Unstructured!H70</f>
        <v>1073.0916707896263</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258.16675141598239</v>
      </c>
      <c r="E155" s="53">
        <f>Unstructured!E72</f>
        <v>467.88082933011628</v>
      </c>
      <c r="F155" s="53">
        <f>Unstructured!F72</f>
        <v>240.27536484410331</v>
      </c>
      <c r="G155" s="53">
        <f>Unstructured!G72</f>
        <v>102.9096363438865</v>
      </c>
      <c r="H155" s="53">
        <f>Unstructured!H72</f>
        <v>100.92171665759581</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400"/>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9" t="s">
        <v>409</v>
      </c>
    </row>
    <row r="158" spans="2:29" ht="14" x14ac:dyDescent="0.2">
      <c r="C158" s="559"/>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4783.8135684894987</v>
      </c>
      <c r="E159" s="51">
        <f t="shared" ref="E159:V159" si="84">E152</f>
        <v>4878.7079341632307</v>
      </c>
      <c r="F159" s="51">
        <f t="shared" si="84"/>
        <v>4975.4846467747211</v>
      </c>
      <c r="G159" s="51">
        <f t="shared" si="84"/>
        <v>5074.1810443977683</v>
      </c>
      <c r="H159" s="51">
        <f t="shared" si="84"/>
        <v>5174.8352057289412</v>
      </c>
      <c r="I159" s="51">
        <f t="shared" si="84"/>
        <v>5246.4494523520143</v>
      </c>
      <c r="J159" s="51">
        <f t="shared" si="84"/>
        <v>4145.6186961359308</v>
      </c>
      <c r="K159" s="51">
        <f t="shared" si="84"/>
        <v>4227.8533228138876</v>
      </c>
      <c r="L159" s="51">
        <f t="shared" si="84"/>
        <v>4311.7191717989135</v>
      </c>
      <c r="M159" s="51">
        <f t="shared" si="84"/>
        <v>4397.2485998164002</v>
      </c>
      <c r="N159" s="51">
        <f t="shared" si="84"/>
        <v>4484.474605405293</v>
      </c>
      <c r="O159" s="51">
        <f t="shared" si="84"/>
        <v>4573.4308416486165</v>
      </c>
      <c r="P159" s="51">
        <f t="shared" si="84"/>
        <v>4664.1516291564949</v>
      </c>
      <c r="Q159" s="51">
        <f t="shared" si="84"/>
        <v>4756.6719693066952</v>
      </c>
      <c r="R159" s="51">
        <f t="shared" si="84"/>
        <v>4851.0275577477914</v>
      </c>
      <c r="S159" s="51">
        <f t="shared" si="84"/>
        <v>4947.25479817018</v>
      </c>
      <c r="T159" s="51">
        <f t="shared" si="84"/>
        <v>5045.3908163502065</v>
      </c>
      <c r="U159" s="51">
        <f t="shared" si="84"/>
        <v>5145.4734744728876</v>
      </c>
      <c r="V159" s="51">
        <f t="shared" si="84"/>
        <v>5247.5413857387121</v>
      </c>
      <c r="W159" s="51">
        <f t="shared" ref="W159:AB159" si="85">W152</f>
        <v>5351.6339292601579</v>
      </c>
      <c r="X159" s="51">
        <f t="shared" si="85"/>
        <v>5457.7912652536907</v>
      </c>
      <c r="Y159" s="51">
        <f t="shared" si="85"/>
        <v>5566.0543505330834</v>
      </c>
      <c r="Z159" s="51">
        <f t="shared" si="85"/>
        <v>5676.4649543100541</v>
      </c>
      <c r="AA159" s="51">
        <f t="shared" si="85"/>
        <v>5789.0656743082945</v>
      </c>
      <c r="AB159" s="51">
        <f t="shared" si="85"/>
        <v>23150.163456453723</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60" t="s">
        <v>411</v>
      </c>
    </row>
    <row r="164" spans="3:29" ht="14" x14ac:dyDescent="0.2">
      <c r="C164" s="561"/>
      <c r="D164" s="407">
        <v>1</v>
      </c>
      <c r="E164" s="408">
        <v>2</v>
      </c>
      <c r="F164" s="408">
        <v>3</v>
      </c>
      <c r="G164" s="408">
        <v>4</v>
      </c>
      <c r="H164" s="408">
        <v>5</v>
      </c>
      <c r="I164" s="408">
        <v>6</v>
      </c>
      <c r="J164" s="408">
        <v>7</v>
      </c>
      <c r="K164" s="408">
        <v>8</v>
      </c>
      <c r="L164" s="408">
        <v>9</v>
      </c>
      <c r="M164" s="408">
        <v>10</v>
      </c>
    </row>
    <row r="165" spans="3:29" ht="14" x14ac:dyDescent="0.2">
      <c r="C165" s="401" t="s">
        <v>412</v>
      </c>
      <c r="D165" s="402"/>
      <c r="E165" s="402"/>
      <c r="F165" s="402"/>
      <c r="G165" s="402"/>
      <c r="H165" s="402"/>
      <c r="I165" s="402"/>
      <c r="J165" s="402"/>
      <c r="K165" s="402"/>
      <c r="L165" s="402"/>
      <c r="M165" s="403"/>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38242.192048167191</v>
      </c>
      <c r="E166" s="51">
        <f t="shared" si="90"/>
        <v>5999.4640666463993</v>
      </c>
      <c r="F166" s="51">
        <f t="shared" si="90"/>
        <v>3599.6784399878402</v>
      </c>
      <c r="G166" s="51">
        <f t="shared" si="90"/>
        <v>2159.8070639927037</v>
      </c>
      <c r="H166" s="51">
        <f t="shared" si="90"/>
        <v>2159.8070639927037</v>
      </c>
      <c r="I166" s="51">
        <f t="shared" si="90"/>
        <v>1079.9035319963518</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4783.8135684894996</v>
      </c>
      <c r="E167" s="51">
        <f t="shared" si="91"/>
        <v>4878.707934163227</v>
      </c>
      <c r="F167" s="51">
        <f t="shared" si="91"/>
        <v>4975.4846467747211</v>
      </c>
      <c r="G167" s="51">
        <f t="shared" si="91"/>
        <v>5074.1810443977674</v>
      </c>
      <c r="H167" s="51">
        <f t="shared" si="91"/>
        <v>5174.8352057289412</v>
      </c>
      <c r="I167" s="51">
        <f t="shared" si="91"/>
        <v>5277.4859647780477</v>
      </c>
      <c r="J167" s="51">
        <f t="shared" si="91"/>
        <v>5382.1729258499581</v>
      </c>
      <c r="K167" s="51">
        <f t="shared" si="91"/>
        <v>5488.9364788236126</v>
      </c>
      <c r="L167" s="51">
        <f t="shared" si="91"/>
        <v>5597.8178147340659</v>
      </c>
      <c r="M167" s="46">
        <f t="shared" si="91"/>
        <v>5708.858941663616</v>
      </c>
      <c r="N167" s="51"/>
      <c r="O167" s="51"/>
      <c r="P167" s="51"/>
      <c r="Q167" s="51"/>
      <c r="R167" s="51"/>
      <c r="S167" s="51"/>
      <c r="T167" s="51"/>
    </row>
    <row r="168" spans="3:29" ht="14" x14ac:dyDescent="0.2">
      <c r="C168" s="50" t="s">
        <v>417</v>
      </c>
      <c r="D168" s="51">
        <f>IF(D166&gt;=D167,-(D167-D166),0)</f>
        <v>33458.378479677689</v>
      </c>
      <c r="E168" s="51">
        <f t="shared" ref="E168:M168" si="92">IF(E166&gt;=E167,-(E167-E166),0)</f>
        <v>1120.7561324831722</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4"/>
      <c r="M169" s="405"/>
    </row>
    <row r="170" spans="3:29" ht="14" x14ac:dyDescent="0.2">
      <c r="C170" s="406" t="s">
        <v>414</v>
      </c>
      <c r="M170" s="405"/>
    </row>
    <row r="171" spans="3:29" ht="14" x14ac:dyDescent="0.2">
      <c r="C171" s="50" t="s">
        <v>413</v>
      </c>
      <c r="D171" s="51">
        <f>D166</f>
        <v>38242.192048167191</v>
      </c>
      <c r="E171" s="51">
        <f t="shared" ref="E171:M171" si="93">E166</f>
        <v>5999.4640666463993</v>
      </c>
      <c r="F171" s="51">
        <f t="shared" si="93"/>
        <v>3599.6784399878402</v>
      </c>
      <c r="G171" s="51">
        <f t="shared" si="93"/>
        <v>2159.8070639927037</v>
      </c>
      <c r="H171" s="51">
        <f t="shared" si="93"/>
        <v>2159.8070639927037</v>
      </c>
      <c r="I171" s="51">
        <f t="shared" si="93"/>
        <v>1079.9035319963518</v>
      </c>
      <c r="J171" s="51">
        <f t="shared" si="93"/>
        <v>0</v>
      </c>
      <c r="K171" s="51">
        <f t="shared" si="93"/>
        <v>0</v>
      </c>
      <c r="L171" s="51">
        <f t="shared" si="93"/>
        <v>0</v>
      </c>
      <c r="M171" s="46">
        <f t="shared" si="93"/>
        <v>0</v>
      </c>
    </row>
    <row r="172" spans="3:29" ht="14" x14ac:dyDescent="0.2">
      <c r="C172" s="50" t="s">
        <v>410</v>
      </c>
      <c r="D172" s="51">
        <f>D167</f>
        <v>4783.8135684894996</v>
      </c>
      <c r="E172" s="51">
        <f t="shared" ref="E172:M172" si="94">E167</f>
        <v>4878.707934163227</v>
      </c>
      <c r="F172" s="51">
        <f t="shared" si="94"/>
        <v>4975.4846467747211</v>
      </c>
      <c r="G172" s="51">
        <f t="shared" si="94"/>
        <v>5074.1810443977674</v>
      </c>
      <c r="H172" s="51">
        <f t="shared" si="94"/>
        <v>5174.8352057289412</v>
      </c>
      <c r="I172" s="51">
        <f t="shared" si="94"/>
        <v>5277.4859647780477</v>
      </c>
      <c r="J172" s="51">
        <f t="shared" si="94"/>
        <v>5382.1729258499581</v>
      </c>
      <c r="K172" s="51">
        <f t="shared" si="94"/>
        <v>5488.9364788236126</v>
      </c>
      <c r="L172" s="51">
        <f t="shared" si="94"/>
        <v>5597.8178147340659</v>
      </c>
      <c r="M172" s="46">
        <f t="shared" si="94"/>
        <v>5708.858941663616</v>
      </c>
    </row>
    <row r="173" spans="3:29" ht="14" x14ac:dyDescent="0.2">
      <c r="C173" s="50" t="s">
        <v>416</v>
      </c>
      <c r="D173" s="51">
        <f>IF(D166&gt;=D167,-(D167-D166),0)</f>
        <v>33458.378479677689</v>
      </c>
      <c r="E173" s="51">
        <f t="shared" ref="E173:M173" si="95">IF(E166&gt;=E167,-(E167-E166),0)</f>
        <v>1120.7561324831722</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33458.378479677689</v>
      </c>
      <c r="E174" s="53">
        <f>MAX((D174 +E171)-E172,0)</f>
        <v>34579.134612160859</v>
      </c>
      <c r="F174" s="53">
        <f t="shared" ref="F174:M174" si="96">MAX((E174 +F171)-F172,0)</f>
        <v>33203.328405373977</v>
      </c>
      <c r="G174" s="53">
        <f t="shared" si="96"/>
        <v>30288.954424968913</v>
      </c>
      <c r="H174" s="53">
        <f t="shared" si="96"/>
        <v>27273.926283232675</v>
      </c>
      <c r="I174" s="53">
        <f t="shared" si="96"/>
        <v>23076.34385045098</v>
      </c>
      <c r="J174" s="53">
        <f t="shared" si="96"/>
        <v>17694.170924601021</v>
      </c>
      <c r="K174" s="53">
        <f t="shared" si="96"/>
        <v>12205.234445777409</v>
      </c>
      <c r="L174" s="53">
        <f t="shared" si="96"/>
        <v>6607.4166310433429</v>
      </c>
      <c r="M174" s="44">
        <f t="shared" si="96"/>
        <v>898.55768937972698</v>
      </c>
    </row>
    <row r="202" spans="15:15" x14ac:dyDescent="0.15">
      <c r="O202" s="34" t="s">
        <v>418</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topLeftCell="A34" zoomScaleNormal="100" workbookViewId="0">
      <selection activeCell="C74" sqref="C74"/>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62" t="s">
        <v>0</v>
      </c>
      <c r="O4" s="563"/>
      <c r="P4" s="563"/>
      <c r="Q4" s="563"/>
      <c r="R4" s="563"/>
      <c r="S4" s="563"/>
      <c r="T4" s="563"/>
      <c r="U4" s="563"/>
      <c r="V4" s="563"/>
      <c r="W4" s="563"/>
      <c r="X4" s="563"/>
      <c r="Y4" s="563"/>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64" t="s">
        <v>134</v>
      </c>
      <c r="O5" s="565"/>
      <c r="P5" s="565"/>
      <c r="Q5" s="565"/>
      <c r="R5" s="565"/>
      <c r="S5" s="565"/>
      <c r="T5" s="565"/>
      <c r="U5" s="565"/>
      <c r="V5" s="565"/>
      <c r="W5" s="565"/>
      <c r="X5" s="565"/>
      <c r="Y5" s="566"/>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67"/>
      <c r="O6" s="568"/>
      <c r="P6" s="568"/>
      <c r="Q6" s="568"/>
      <c r="R6" s="568"/>
      <c r="S6" s="568"/>
      <c r="T6" s="568"/>
      <c r="U6" s="568"/>
      <c r="V6" s="568"/>
      <c r="W6" s="568"/>
      <c r="X6" s="568"/>
      <c r="Y6" s="569"/>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7"/>
      <c r="O7" s="568"/>
      <c r="P7" s="568"/>
      <c r="Q7" s="568"/>
      <c r="R7" s="568"/>
      <c r="S7" s="568"/>
      <c r="T7" s="568"/>
      <c r="U7" s="568"/>
      <c r="V7" s="568"/>
      <c r="W7" s="568"/>
      <c r="X7" s="568"/>
      <c r="Y7" s="569"/>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486" t="s">
        <v>214</v>
      </c>
      <c r="I8" s="487"/>
      <c r="J8" s="580"/>
      <c r="K8" s="581"/>
      <c r="M8" s="3"/>
      <c r="N8" s="567"/>
      <c r="O8" s="568"/>
      <c r="P8" s="568"/>
      <c r="Q8" s="568"/>
      <c r="R8" s="568"/>
      <c r="S8" s="568"/>
      <c r="T8" s="568"/>
      <c r="U8" s="568"/>
      <c r="V8" s="568"/>
      <c r="W8" s="568"/>
      <c r="X8" s="568"/>
      <c r="Y8" s="569"/>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57" t="s">
        <v>216</v>
      </c>
      <c r="I9" s="558"/>
      <c r="J9" s="582"/>
      <c r="K9" s="583"/>
      <c r="M9" s="3"/>
      <c r="N9" s="567"/>
      <c r="O9" s="568"/>
      <c r="P9" s="568"/>
      <c r="Q9" s="568"/>
      <c r="R9" s="568"/>
      <c r="S9" s="568"/>
      <c r="T9" s="568"/>
      <c r="U9" s="568"/>
      <c r="V9" s="568"/>
      <c r="W9" s="568"/>
      <c r="X9" s="568"/>
      <c r="Y9" s="569"/>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7"/>
      <c r="O10" s="568"/>
      <c r="P10" s="568"/>
      <c r="Q10" s="568"/>
      <c r="R10" s="568"/>
      <c r="S10" s="568"/>
      <c r="T10" s="568"/>
      <c r="U10" s="568"/>
      <c r="V10" s="568"/>
      <c r="W10" s="568"/>
      <c r="X10" s="568"/>
      <c r="Y10" s="569"/>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70"/>
      <c r="O11" s="571"/>
      <c r="P11" s="571"/>
      <c r="Q11" s="571"/>
      <c r="R11" s="571"/>
      <c r="S11" s="571"/>
      <c r="T11" s="571"/>
      <c r="U11" s="571"/>
      <c r="V11" s="571"/>
      <c r="W11" s="571"/>
      <c r="X11" s="571"/>
      <c r="Y11" s="572"/>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8" t="s">
        <v>362</v>
      </c>
      <c r="F14" s="589"/>
      <c r="G14" s="589"/>
      <c r="H14" s="594" t="str">
        <f>IF(Dashboard!H27="Yes", "WARNING: Project Level Debt is turned ON.", "Project Level Debt is turned off in Dashboard Cell H27.")</f>
        <v>Project Level Debt is turned off in Dashboard Cell H27.</v>
      </c>
      <c r="I14" s="595"/>
    </row>
    <row r="15" spans="1:77" ht="19" x14ac:dyDescent="0.25">
      <c r="B15" s="181" t="s">
        <v>381</v>
      </c>
      <c r="C15" s="181"/>
      <c r="E15" s="590"/>
      <c r="F15" s="591"/>
      <c r="G15" s="591"/>
      <c r="H15" s="596"/>
      <c r="I15" s="597"/>
    </row>
    <row r="16" spans="1:77" x14ac:dyDescent="0.15">
      <c r="E16" s="590"/>
      <c r="F16" s="591"/>
      <c r="G16" s="591"/>
      <c r="H16" s="596"/>
      <c r="I16" s="597"/>
    </row>
    <row r="17" spans="2:28" ht="15" thickBot="1" x14ac:dyDescent="0.25">
      <c r="B17" s="18"/>
      <c r="C17" s="18"/>
      <c r="E17" s="592"/>
      <c r="F17" s="593"/>
      <c r="G17" s="593"/>
      <c r="H17" s="598"/>
      <c r="I17" s="599"/>
    </row>
    <row r="18" spans="2:28" ht="16" x14ac:dyDescent="0.15">
      <c r="B18" s="585" t="s">
        <v>471</v>
      </c>
      <c r="C18" s="585"/>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-13071.734248910499</v>
      </c>
      <c r="E21" s="227">
        <f>Unstructured!E62</f>
        <v>-23690.168573676769</v>
      </c>
      <c r="F21" s="227">
        <f>Unstructured!F62</f>
        <v>-12165.84125792928</v>
      </c>
      <c r="G21" s="227">
        <f>Unstructured!G62</f>
        <v>-5210.6144984246312</v>
      </c>
      <c r="H21" s="227">
        <f>Unstructured!H62</f>
        <v>-5109.9603370934583</v>
      </c>
      <c r="I21" s="227">
        <f>Unstructured!I62</f>
        <v>104.05168094081429</v>
      </c>
      <c r="J21" s="227">
        <f>Unstructured!J62</f>
        <v>4145.6186961359308</v>
      </c>
      <c r="K21" s="227">
        <f>Unstructured!K62</f>
        <v>4227.8533228138876</v>
      </c>
      <c r="L21" s="227">
        <f>Unstructured!L62</f>
        <v>4311.7191717989135</v>
      </c>
      <c r="M21" s="227">
        <f>Unstructured!M62</f>
        <v>4397.2485998164002</v>
      </c>
      <c r="N21" s="227">
        <f>Unstructured!N62</f>
        <v>4484.474605405293</v>
      </c>
      <c r="O21" s="227">
        <f>Unstructured!O62</f>
        <v>4573.4308416486165</v>
      </c>
      <c r="P21" s="227">
        <f>Unstructured!P62</f>
        <v>4664.1516291564949</v>
      </c>
      <c r="Q21" s="227">
        <f>Unstructured!Q62</f>
        <v>4756.6719693066952</v>
      </c>
      <c r="R21" s="227">
        <f>Unstructured!R62</f>
        <v>4851.0275577477914</v>
      </c>
      <c r="S21" s="227">
        <f>Unstructured!S62</f>
        <v>4947.25479817018</v>
      </c>
      <c r="T21" s="227">
        <f>Unstructured!T62</f>
        <v>5045.3908163502065</v>
      </c>
      <c r="U21" s="227">
        <f>Unstructured!U62</f>
        <v>5145.4734744728876</v>
      </c>
      <c r="V21" s="227">
        <f>Unstructured!V62</f>
        <v>5247.5413857387121</v>
      </c>
      <c r="W21" s="227">
        <f>Unstructured!W62</f>
        <v>5351.6339292601579</v>
      </c>
      <c r="X21" s="227">
        <f>Unstructured!X62</f>
        <v>5457.7912652536907</v>
      </c>
      <c r="Y21" s="227">
        <f>Unstructured!Y62</f>
        <v>5566.0543505330834</v>
      </c>
      <c r="Z21" s="227">
        <f>Unstructured!Z62</f>
        <v>5676.4649543100541</v>
      </c>
      <c r="AA21" s="227">
        <f>Unstructured!AA62</f>
        <v>5789.0656743082945</v>
      </c>
      <c r="AB21" s="227">
        <f>Unstructured!AB62</f>
        <v>5903.8999531971258</v>
      </c>
    </row>
    <row r="22" spans="2:28" ht="14" x14ac:dyDescent="0.2">
      <c r="B22" s="210" t="s">
        <v>326</v>
      </c>
      <c r="C22" s="230"/>
      <c r="D22" s="227">
        <f>Unstructured!D46</f>
        <v>17855.547817399998</v>
      </c>
      <c r="E22" s="227">
        <f>Unstructured!E46</f>
        <v>28568.876507839999</v>
      </c>
      <c r="F22" s="227">
        <f>Unstructured!F46</f>
        <v>17141.325904704001</v>
      </c>
      <c r="G22" s="227">
        <f>Unstructured!G46</f>
        <v>10284.7955428224</v>
      </c>
      <c r="H22" s="227">
        <f>Unstructured!H46</f>
        <v>10284.7955428224</v>
      </c>
      <c r="I22" s="227">
        <f>Unstructured!I46</f>
        <v>5142.3977714111998</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3"/>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17246.263503256596</v>
      </c>
    </row>
    <row r="24" spans="2:28" ht="15" thickTop="1" x14ac:dyDescent="0.2">
      <c r="B24" s="211" t="s">
        <v>327</v>
      </c>
      <c r="C24" s="337">
        <f>Unstructured!C80</f>
        <v>-114975.09002171065</v>
      </c>
      <c r="D24" s="227">
        <f>SUM(D21:D23)</f>
        <v>4783.8135684894987</v>
      </c>
      <c r="E24" s="227">
        <f t="shared" ref="E24:AB24" si="0">SUM(E21:E23)</f>
        <v>4878.7079341632307</v>
      </c>
      <c r="F24" s="227">
        <f t="shared" si="0"/>
        <v>4975.4846467747211</v>
      </c>
      <c r="G24" s="227">
        <f t="shared" si="0"/>
        <v>5074.1810443977683</v>
      </c>
      <c r="H24" s="227">
        <f t="shared" si="0"/>
        <v>5174.8352057289412</v>
      </c>
      <c r="I24" s="227">
        <f t="shared" si="0"/>
        <v>5246.4494523520143</v>
      </c>
      <c r="J24" s="227">
        <f t="shared" si="0"/>
        <v>4145.6186961359308</v>
      </c>
      <c r="K24" s="227">
        <f t="shared" si="0"/>
        <v>4227.8533228138876</v>
      </c>
      <c r="L24" s="227">
        <f t="shared" si="0"/>
        <v>4311.7191717989135</v>
      </c>
      <c r="M24" s="227">
        <f t="shared" si="0"/>
        <v>4397.2485998164002</v>
      </c>
      <c r="N24" s="227">
        <f t="shared" si="0"/>
        <v>4484.474605405293</v>
      </c>
      <c r="O24" s="227">
        <f t="shared" si="0"/>
        <v>4573.4308416486165</v>
      </c>
      <c r="P24" s="227">
        <f t="shared" si="0"/>
        <v>4664.1516291564949</v>
      </c>
      <c r="Q24" s="227">
        <f t="shared" si="0"/>
        <v>4756.6719693066952</v>
      </c>
      <c r="R24" s="227">
        <f t="shared" si="0"/>
        <v>4851.0275577477914</v>
      </c>
      <c r="S24" s="227">
        <f t="shared" si="0"/>
        <v>4947.25479817018</v>
      </c>
      <c r="T24" s="227">
        <f t="shared" si="0"/>
        <v>5045.3908163502065</v>
      </c>
      <c r="U24" s="227">
        <f t="shared" si="0"/>
        <v>5145.4734744728876</v>
      </c>
      <c r="V24" s="227">
        <f t="shared" si="0"/>
        <v>5247.5413857387121</v>
      </c>
      <c r="W24" s="227">
        <f t="shared" si="0"/>
        <v>5351.6339292601579</v>
      </c>
      <c r="X24" s="227">
        <f t="shared" si="0"/>
        <v>5457.7912652536907</v>
      </c>
      <c r="Y24" s="227">
        <f t="shared" si="0"/>
        <v>5566.0543505330834</v>
      </c>
      <c r="Z24" s="227">
        <f t="shared" si="0"/>
        <v>5676.4649543100541</v>
      </c>
      <c r="AA24" s="227">
        <f t="shared" si="0"/>
        <v>5789.0656743082945</v>
      </c>
      <c r="AB24" s="227">
        <f t="shared" si="0"/>
        <v>23150.163456453723</v>
      </c>
    </row>
    <row r="25" spans="2:28" ht="14" x14ac:dyDescent="0.2">
      <c r="B25" s="212"/>
      <c r="C25" s="338"/>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9"/>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9"/>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9"/>
      <c r="D28" s="227">
        <f>Unstructured!D72</f>
        <v>258.16675141598239</v>
      </c>
      <c r="E28" s="227">
        <f>Unstructured!E72</f>
        <v>467.88082933011628</v>
      </c>
      <c r="F28" s="227">
        <f>Unstructured!F72</f>
        <v>240.27536484410331</v>
      </c>
      <c r="G28" s="227">
        <f>Unstructured!G72</f>
        <v>102.9096363438865</v>
      </c>
      <c r="H28" s="227">
        <f>Unstructured!H72</f>
        <v>100.92171665759581</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40"/>
      <c r="D29" s="227">
        <f>Unstructured!D70</f>
        <v>2745.0641922712048</v>
      </c>
      <c r="E29" s="227">
        <f>Unstructured!E70</f>
        <v>4974.9354004721217</v>
      </c>
      <c r="F29" s="227">
        <f>Unstructured!F70</f>
        <v>2554.8266641651485</v>
      </c>
      <c r="G29" s="227">
        <f>Unstructured!G70</f>
        <v>1094.2290446691727</v>
      </c>
      <c r="H29" s="227">
        <f>Unstructured!H70</f>
        <v>1073.0916707896263</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31509.790265999993</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34513.021209687184</v>
      </c>
      <c r="E31" s="186">
        <f t="shared" ref="E31:R31" si="1">SUM(E27:E30)</f>
        <v>5442.816229802238</v>
      </c>
      <c r="F31" s="186">
        <f t="shared" si="1"/>
        <v>2795.102029009252</v>
      </c>
      <c r="G31" s="186">
        <f t="shared" si="1"/>
        <v>1197.1386810130591</v>
      </c>
      <c r="H31" s="186">
        <f t="shared" si="1"/>
        <v>1174.0133874472222</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5" t="s">
        <v>331</v>
      </c>
      <c r="C34" s="585"/>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4783.8135684894987</v>
      </c>
      <c r="E36" s="190">
        <f t="shared" si="3"/>
        <v>4878.7079341632307</v>
      </c>
      <c r="F36" s="190">
        <f t="shared" si="3"/>
        <v>4975.4846467747211</v>
      </c>
      <c r="G36" s="190">
        <f t="shared" si="3"/>
        <v>5074.1810443977683</v>
      </c>
      <c r="H36" s="190">
        <f t="shared" si="3"/>
        <v>5174.8352057289412</v>
      </c>
      <c r="I36" s="190">
        <f t="shared" si="3"/>
        <v>5246.4494523520143</v>
      </c>
      <c r="J36" s="190">
        <f t="shared" si="3"/>
        <v>4145.6186961359308</v>
      </c>
      <c r="K36" s="190">
        <f t="shared" si="3"/>
        <v>4227.8533228138876</v>
      </c>
      <c r="L36" s="190">
        <f t="shared" si="3"/>
        <v>4311.7191717989135</v>
      </c>
      <c r="M36" s="190">
        <f t="shared" si="3"/>
        <v>4397.2485998164002</v>
      </c>
      <c r="N36" s="190">
        <f t="shared" si="3"/>
        <v>4484.474605405293</v>
      </c>
      <c r="O36" s="190">
        <f t="shared" si="3"/>
        <v>4573.4308416486165</v>
      </c>
      <c r="P36" s="190">
        <f t="shared" si="3"/>
        <v>4664.1516291564949</v>
      </c>
      <c r="Q36" s="190">
        <f t="shared" si="3"/>
        <v>4756.6719693066952</v>
      </c>
      <c r="R36" s="190">
        <f t="shared" si="3"/>
        <v>4851.0275577477914</v>
      </c>
      <c r="S36" s="190">
        <f t="shared" si="3"/>
        <v>4947.25479817018</v>
      </c>
      <c r="T36" s="190">
        <f t="shared" si="3"/>
        <v>5045.3908163502065</v>
      </c>
      <c r="U36" s="190">
        <f t="shared" si="3"/>
        <v>5145.4734744728876</v>
      </c>
      <c r="V36" s="190">
        <f t="shared" si="3"/>
        <v>5247.5413857387121</v>
      </c>
      <c r="W36" s="190">
        <f t="shared" ref="W36:AB36" si="4">W24</f>
        <v>5351.6339292601579</v>
      </c>
      <c r="X36" s="190">
        <f t="shared" si="4"/>
        <v>5457.7912652536907</v>
      </c>
      <c r="Y36" s="190">
        <f t="shared" si="4"/>
        <v>5566.0543505330834</v>
      </c>
      <c r="Z36" s="190">
        <f t="shared" si="4"/>
        <v>5676.4649543100541</v>
      </c>
      <c r="AA36" s="190">
        <f t="shared" si="4"/>
        <v>5789.0656743082945</v>
      </c>
      <c r="AB36" s="190">
        <f t="shared" si="4"/>
        <v>23150.163456453723</v>
      </c>
    </row>
    <row r="37" spans="2:28" ht="15" thickBot="1" x14ac:dyDescent="0.25">
      <c r="B37" s="210" t="s">
        <v>333</v>
      </c>
      <c r="C37" s="230"/>
      <c r="D37" s="184">
        <f t="shared" ref="D37:AB37" si="5">IF(D35&gt;Time_Based_Flip_Target_Year,0,(Cash_on_Cash_Return_Premium*Tax_Equity_Investment_Share*Equity_Investment))</f>
        <v>1812.4673191022471</v>
      </c>
      <c r="E37" s="184">
        <f t="shared" si="5"/>
        <v>1812.4673191022471</v>
      </c>
      <c r="F37" s="184">
        <f t="shared" si="5"/>
        <v>1812.4673191022471</v>
      </c>
      <c r="G37" s="184">
        <f t="shared" si="5"/>
        <v>1812.4673191022471</v>
      </c>
      <c r="H37" s="184">
        <f t="shared" si="5"/>
        <v>1812.4673191022471</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2971.3462493872516</v>
      </c>
      <c r="E38" s="227">
        <f>E36-E37</f>
        <v>3066.2406150609836</v>
      </c>
      <c r="F38" s="227">
        <f t="shared" ref="F38:R38" si="6">F36-F37</f>
        <v>3163.017327672474</v>
      </c>
      <c r="G38" s="227">
        <f t="shared" si="6"/>
        <v>3261.7137252955213</v>
      </c>
      <c r="H38" s="227">
        <f t="shared" si="6"/>
        <v>3362.3678866266941</v>
      </c>
      <c r="I38" s="227">
        <f t="shared" si="6"/>
        <v>5246.4494523520143</v>
      </c>
      <c r="J38" s="227">
        <f t="shared" si="6"/>
        <v>4145.6186961359308</v>
      </c>
      <c r="K38" s="227">
        <f t="shared" si="6"/>
        <v>4227.8533228138876</v>
      </c>
      <c r="L38" s="227">
        <f t="shared" si="6"/>
        <v>4311.7191717989135</v>
      </c>
      <c r="M38" s="227">
        <f t="shared" si="6"/>
        <v>4397.2485998164002</v>
      </c>
      <c r="N38" s="227">
        <f t="shared" si="6"/>
        <v>4484.474605405293</v>
      </c>
      <c r="O38" s="227">
        <f t="shared" si="6"/>
        <v>4573.4308416486165</v>
      </c>
      <c r="P38" s="227">
        <f t="shared" si="6"/>
        <v>4664.1516291564949</v>
      </c>
      <c r="Q38" s="227">
        <f t="shared" si="6"/>
        <v>4756.6719693066952</v>
      </c>
      <c r="R38" s="227">
        <f t="shared" si="6"/>
        <v>4851.0275577477914</v>
      </c>
      <c r="S38" s="227">
        <f>S36-S37</f>
        <v>4947.25479817018</v>
      </c>
      <c r="T38" s="227">
        <f>T36-T37</f>
        <v>5045.3908163502065</v>
      </c>
      <c r="U38" s="227">
        <f>U36-U37</f>
        <v>5145.4734744728876</v>
      </c>
      <c r="V38" s="227">
        <f>V36-V37</f>
        <v>5247.5413857387121</v>
      </c>
      <c r="W38" s="227">
        <f t="shared" ref="W38:AB38" si="7">W36-W37</f>
        <v>5351.6339292601579</v>
      </c>
      <c r="X38" s="227">
        <f t="shared" si="7"/>
        <v>5457.7912652536907</v>
      </c>
      <c r="Y38" s="227">
        <f t="shared" si="7"/>
        <v>5566.0543505330834</v>
      </c>
      <c r="Z38" s="227">
        <f t="shared" si="7"/>
        <v>5676.4649543100541</v>
      </c>
      <c r="AA38" s="227">
        <f t="shared" si="7"/>
        <v>5789.0656743082945</v>
      </c>
      <c r="AB38" s="227">
        <f t="shared" si="7"/>
        <v>23150.163456453723</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2674.2116244485264</v>
      </c>
      <c r="E40" s="184">
        <f t="shared" si="8"/>
        <v>2759.6165535548853</v>
      </c>
      <c r="F40" s="184">
        <f t="shared" si="8"/>
        <v>2846.7155949052267</v>
      </c>
      <c r="G40" s="184">
        <f t="shared" si="8"/>
        <v>2935.5423527659691</v>
      </c>
      <c r="H40" s="184">
        <f t="shared" si="8"/>
        <v>3026.1310979640248</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297.13462493872521</v>
      </c>
      <c r="E41" s="227">
        <f>E38-E40</f>
        <v>306.62406150609831</v>
      </c>
      <c r="F41" s="227">
        <f t="shared" ref="F41:R41" si="9">F38-F40</f>
        <v>316.30173276724736</v>
      </c>
      <c r="G41" s="227">
        <f t="shared" si="9"/>
        <v>326.17137252955217</v>
      </c>
      <c r="H41" s="227">
        <f t="shared" si="9"/>
        <v>336.23678866266937</v>
      </c>
      <c r="I41" s="227">
        <f t="shared" si="9"/>
        <v>5246.4494523520143</v>
      </c>
      <c r="J41" s="227">
        <f t="shared" si="9"/>
        <v>4145.6186961359308</v>
      </c>
      <c r="K41" s="227">
        <f t="shared" si="9"/>
        <v>4227.8533228138876</v>
      </c>
      <c r="L41" s="227">
        <f t="shared" si="9"/>
        <v>4311.7191717989135</v>
      </c>
      <c r="M41" s="227">
        <f t="shared" si="9"/>
        <v>4397.2485998164002</v>
      </c>
      <c r="N41" s="227">
        <f t="shared" si="9"/>
        <v>4484.474605405293</v>
      </c>
      <c r="O41" s="227">
        <f t="shared" si="9"/>
        <v>4573.4308416486165</v>
      </c>
      <c r="P41" s="227">
        <f t="shared" si="9"/>
        <v>4664.1516291564949</v>
      </c>
      <c r="Q41" s="227">
        <f t="shared" si="9"/>
        <v>4756.6719693066952</v>
      </c>
      <c r="R41" s="227">
        <f t="shared" si="9"/>
        <v>4851.0275577477914</v>
      </c>
      <c r="S41" s="227">
        <f>S38-S40</f>
        <v>4947.25479817018</v>
      </c>
      <c r="T41" s="227">
        <f>T38-T40</f>
        <v>5045.3908163502065</v>
      </c>
      <c r="U41" s="227">
        <f>U38-U40</f>
        <v>5145.4734744728876</v>
      </c>
      <c r="V41" s="227">
        <f>V38-V40</f>
        <v>5247.5413857387121</v>
      </c>
      <c r="W41" s="227">
        <f t="shared" ref="W41:AB41" si="10">W38-W40</f>
        <v>5351.6339292601579</v>
      </c>
      <c r="X41" s="227">
        <f t="shared" si="10"/>
        <v>5457.7912652536907</v>
      </c>
      <c r="Y41" s="227">
        <f t="shared" si="10"/>
        <v>5566.0543505330834</v>
      </c>
      <c r="Z41" s="227">
        <f t="shared" si="10"/>
        <v>5676.4649543100541</v>
      </c>
      <c r="AA41" s="227">
        <f t="shared" si="10"/>
        <v>5789.0656743082945</v>
      </c>
      <c r="AB41" s="227">
        <f t="shared" si="10"/>
        <v>23150.163456453723</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297.13462493872521</v>
      </c>
      <c r="E43" s="227">
        <f t="shared" ref="E43:R43" si="11">E41</f>
        <v>306.62406150609831</v>
      </c>
      <c r="F43" s="227">
        <f t="shared" si="11"/>
        <v>316.30173276724736</v>
      </c>
      <c r="G43" s="227">
        <f t="shared" si="11"/>
        <v>326.17137252955217</v>
      </c>
      <c r="H43" s="227">
        <f t="shared" si="11"/>
        <v>336.23678866266937</v>
      </c>
      <c r="I43" s="227">
        <f t="shared" si="11"/>
        <v>5246.4494523520143</v>
      </c>
      <c r="J43" s="227">
        <f t="shared" si="11"/>
        <v>4145.6186961359308</v>
      </c>
      <c r="K43" s="227">
        <f t="shared" si="11"/>
        <v>4227.8533228138876</v>
      </c>
      <c r="L43" s="227">
        <f t="shared" si="11"/>
        <v>4311.7191717989135</v>
      </c>
      <c r="M43" s="227">
        <f t="shared" si="11"/>
        <v>4397.2485998164002</v>
      </c>
      <c r="N43" s="227">
        <f t="shared" si="11"/>
        <v>4484.474605405293</v>
      </c>
      <c r="O43" s="227">
        <f t="shared" si="11"/>
        <v>4573.4308416486165</v>
      </c>
      <c r="P43" s="227">
        <f t="shared" si="11"/>
        <v>4664.1516291564949</v>
      </c>
      <c r="Q43" s="227">
        <f t="shared" si="11"/>
        <v>4756.6719693066952</v>
      </c>
      <c r="R43" s="227">
        <f t="shared" si="11"/>
        <v>4851.0275577477914</v>
      </c>
      <c r="S43" s="227">
        <f>S41</f>
        <v>4947.25479817018</v>
      </c>
      <c r="T43" s="227">
        <f>T41</f>
        <v>5045.3908163502065</v>
      </c>
      <c r="U43" s="227">
        <f>U41</f>
        <v>5145.4734744728876</v>
      </c>
      <c r="V43" s="227">
        <f>V41</f>
        <v>5247.5413857387121</v>
      </c>
      <c r="W43" s="227">
        <f t="shared" ref="W43:AB43" si="12">W41</f>
        <v>5351.6339292601579</v>
      </c>
      <c r="X43" s="227">
        <f t="shared" si="12"/>
        <v>5457.7912652536907</v>
      </c>
      <c r="Y43" s="227">
        <f t="shared" si="12"/>
        <v>5566.0543505330834</v>
      </c>
      <c r="Z43" s="227">
        <f t="shared" si="12"/>
        <v>5676.4649543100541</v>
      </c>
      <c r="AA43" s="227">
        <f t="shared" si="12"/>
        <v>5789.0656743082945</v>
      </c>
      <c r="AB43" s="227">
        <f t="shared" si="12"/>
        <v>23150.163456453723</v>
      </c>
    </row>
    <row r="44" spans="2:28" ht="14" x14ac:dyDescent="0.2">
      <c r="B44" s="216" t="s">
        <v>337</v>
      </c>
      <c r="C44" s="232"/>
      <c r="D44" s="227">
        <f t="shared" ref="D44:AB44" si="13">D43*IF(D35&gt;Time_Based_Flip_Target_Year,Tax_Equity_Post_Flip_Share,Tax_Equity_Pre_Flip_Share)</f>
        <v>294.16327868933797</v>
      </c>
      <c r="E44" s="227">
        <f t="shared" si="13"/>
        <v>303.55782089103735</v>
      </c>
      <c r="F44" s="227">
        <f t="shared" si="13"/>
        <v>313.13871543957487</v>
      </c>
      <c r="G44" s="227">
        <f t="shared" si="13"/>
        <v>322.90965880425665</v>
      </c>
      <c r="H44" s="227">
        <f t="shared" si="13"/>
        <v>332.87442077604265</v>
      </c>
      <c r="I44" s="227">
        <f t="shared" si="13"/>
        <v>262.32247261760074</v>
      </c>
      <c r="J44" s="227">
        <f t="shared" si="13"/>
        <v>207.28093480679655</v>
      </c>
      <c r="K44" s="227">
        <f t="shared" si="13"/>
        <v>211.39266614069439</v>
      </c>
      <c r="L44" s="227">
        <f t="shared" si="13"/>
        <v>215.58595858994568</v>
      </c>
      <c r="M44" s="227">
        <f t="shared" si="13"/>
        <v>219.86242999082003</v>
      </c>
      <c r="N44" s="227">
        <f t="shared" si="13"/>
        <v>224.22373027026467</v>
      </c>
      <c r="O44" s="227">
        <f t="shared" si="13"/>
        <v>228.67154208243085</v>
      </c>
      <c r="P44" s="227">
        <f t="shared" si="13"/>
        <v>233.20758145782474</v>
      </c>
      <c r="Q44" s="227">
        <f t="shared" si="13"/>
        <v>237.83359846533477</v>
      </c>
      <c r="R44" s="227">
        <f t="shared" si="13"/>
        <v>242.55137788738958</v>
      </c>
      <c r="S44" s="227">
        <f t="shared" si="13"/>
        <v>247.36273990850901</v>
      </c>
      <c r="T44" s="227">
        <f t="shared" si="13"/>
        <v>252.26954081751035</v>
      </c>
      <c r="U44" s="227">
        <f t="shared" si="13"/>
        <v>257.27367372364438</v>
      </c>
      <c r="V44" s="227">
        <f t="shared" si="13"/>
        <v>262.37706928693564</v>
      </c>
      <c r="W44" s="227">
        <f t="shared" si="13"/>
        <v>267.58169646300792</v>
      </c>
      <c r="X44" s="227">
        <f t="shared" si="13"/>
        <v>272.88956326268453</v>
      </c>
      <c r="Y44" s="227">
        <f t="shared" si="13"/>
        <v>278.30271752665419</v>
      </c>
      <c r="Z44" s="227">
        <f t="shared" si="13"/>
        <v>283.8232477155027</v>
      </c>
      <c r="AA44" s="227">
        <f t="shared" si="13"/>
        <v>289.45328371541473</v>
      </c>
      <c r="AB44" s="227">
        <f t="shared" si="13"/>
        <v>1157.5081728226862</v>
      </c>
    </row>
    <row r="45" spans="2:28" ht="14" x14ac:dyDescent="0.2">
      <c r="B45" s="216" t="s">
        <v>338</v>
      </c>
      <c r="C45" s="232"/>
      <c r="D45" s="227">
        <f>D43-D44</f>
        <v>2.9713462493872385</v>
      </c>
      <c r="E45" s="227">
        <f>E43-E44</f>
        <v>3.0662406150609627</v>
      </c>
      <c r="F45" s="227">
        <f t="shared" ref="F45:R45" si="14">F43-F44</f>
        <v>3.1630173276724918</v>
      </c>
      <c r="G45" s="227">
        <f t="shared" si="14"/>
        <v>3.2617137252955217</v>
      </c>
      <c r="H45" s="227">
        <f t="shared" si="14"/>
        <v>3.3623678866267142</v>
      </c>
      <c r="I45" s="227">
        <f t="shared" si="14"/>
        <v>4984.1269797344139</v>
      </c>
      <c r="J45" s="227">
        <f t="shared" si="14"/>
        <v>3938.3377613291341</v>
      </c>
      <c r="K45" s="227">
        <f t="shared" si="14"/>
        <v>4016.4606566731932</v>
      </c>
      <c r="L45" s="227">
        <f t="shared" si="14"/>
        <v>4096.1332132089683</v>
      </c>
      <c r="M45" s="227">
        <f t="shared" si="14"/>
        <v>4177.3861698255805</v>
      </c>
      <c r="N45" s="227">
        <f t="shared" si="14"/>
        <v>4260.2508751350288</v>
      </c>
      <c r="O45" s="227">
        <f t="shared" si="14"/>
        <v>4344.7592995661853</v>
      </c>
      <c r="P45" s="227">
        <f t="shared" si="14"/>
        <v>4430.9440476986701</v>
      </c>
      <c r="Q45" s="227">
        <f t="shared" si="14"/>
        <v>4518.8383708413603</v>
      </c>
      <c r="R45" s="227">
        <f t="shared" si="14"/>
        <v>4608.4761798604022</v>
      </c>
      <c r="S45" s="227">
        <f>S43-S44</f>
        <v>4699.8920582616711</v>
      </c>
      <c r="T45" s="227">
        <f>T43-T44</f>
        <v>4793.121275532696</v>
      </c>
      <c r="U45" s="227">
        <f>U43-U44</f>
        <v>4888.199800749243</v>
      </c>
      <c r="V45" s="227">
        <f>V43-V44</f>
        <v>4985.1643164517764</v>
      </c>
      <c r="W45" s="227">
        <f t="shared" ref="W45:AB45" si="15">W43-W44</f>
        <v>5084.0522327971503</v>
      </c>
      <c r="X45" s="227">
        <f t="shared" si="15"/>
        <v>5184.9017019910061</v>
      </c>
      <c r="Y45" s="227">
        <f t="shared" si="15"/>
        <v>5287.7516330064291</v>
      </c>
      <c r="Z45" s="227">
        <f t="shared" si="15"/>
        <v>5392.6417065945516</v>
      </c>
      <c r="AA45" s="227">
        <f t="shared" si="15"/>
        <v>5499.6123905928798</v>
      </c>
      <c r="AB45" s="227">
        <f t="shared" si="15"/>
        <v>21992.655283631037</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2106.6305977915849</v>
      </c>
      <c r="E48" s="227">
        <f t="shared" ref="E48:R48" si="16">SUM(E37,E44)</f>
        <v>2116.0251399932845</v>
      </c>
      <c r="F48" s="227">
        <f t="shared" si="16"/>
        <v>2125.6060345418218</v>
      </c>
      <c r="G48" s="227">
        <f t="shared" si="16"/>
        <v>2135.3769779065037</v>
      </c>
      <c r="H48" s="227">
        <f t="shared" si="16"/>
        <v>2145.3417398782899</v>
      </c>
      <c r="I48" s="227">
        <f t="shared" si="16"/>
        <v>262.32247261760074</v>
      </c>
      <c r="J48" s="227">
        <f t="shared" si="16"/>
        <v>207.28093480679655</v>
      </c>
      <c r="K48" s="227">
        <f t="shared" si="16"/>
        <v>211.39266614069439</v>
      </c>
      <c r="L48" s="227">
        <f t="shared" si="16"/>
        <v>215.58595858994568</v>
      </c>
      <c r="M48" s="227">
        <f t="shared" si="16"/>
        <v>219.86242999082003</v>
      </c>
      <c r="N48" s="227">
        <f t="shared" si="16"/>
        <v>224.22373027026467</v>
      </c>
      <c r="O48" s="227">
        <f t="shared" si="16"/>
        <v>228.67154208243085</v>
      </c>
      <c r="P48" s="227">
        <f t="shared" si="16"/>
        <v>233.20758145782474</v>
      </c>
      <c r="Q48" s="227">
        <f t="shared" si="16"/>
        <v>237.83359846533477</v>
      </c>
      <c r="R48" s="227">
        <f t="shared" si="16"/>
        <v>242.55137788738958</v>
      </c>
      <c r="S48" s="227">
        <f>SUM(S37,S44)</f>
        <v>247.36273990850901</v>
      </c>
      <c r="T48" s="227">
        <f>SUM(T37,T44)</f>
        <v>252.26954081751035</v>
      </c>
      <c r="U48" s="227">
        <f>SUM(U37,U44)</f>
        <v>257.27367372364438</v>
      </c>
      <c r="V48" s="227">
        <f>SUM(V37,V44)</f>
        <v>262.37706928693564</v>
      </c>
      <c r="W48" s="227">
        <f t="shared" ref="W48:AB48" si="17">SUM(W37,W44)</f>
        <v>267.58169646300792</v>
      </c>
      <c r="X48" s="227">
        <f t="shared" si="17"/>
        <v>272.88956326268453</v>
      </c>
      <c r="Y48" s="227">
        <f t="shared" si="17"/>
        <v>278.30271752665419</v>
      </c>
      <c r="Z48" s="227">
        <f t="shared" si="17"/>
        <v>283.8232477155027</v>
      </c>
      <c r="AA48" s="227">
        <f t="shared" si="17"/>
        <v>289.45328371541473</v>
      </c>
      <c r="AB48" s="227">
        <f t="shared" si="17"/>
        <v>1157.5081728226862</v>
      </c>
    </row>
    <row r="49" spans="2:28" ht="15" thickBot="1" x14ac:dyDescent="0.25">
      <c r="B49" s="216" t="s">
        <v>340</v>
      </c>
      <c r="C49" s="232"/>
      <c r="D49" s="184">
        <f>SUM(D40,D45)</f>
        <v>2677.1829706979138</v>
      </c>
      <c r="E49" s="184">
        <f t="shared" ref="E49:R49" si="18">SUM(E40,E45)</f>
        <v>2762.6827941699462</v>
      </c>
      <c r="F49" s="184">
        <f t="shared" si="18"/>
        <v>2849.8786122328993</v>
      </c>
      <c r="G49" s="184">
        <f t="shared" si="18"/>
        <v>2938.8040664912646</v>
      </c>
      <c r="H49" s="184">
        <f t="shared" si="18"/>
        <v>3029.4934658506513</v>
      </c>
      <c r="I49" s="184">
        <f t="shared" si="18"/>
        <v>4984.1269797344139</v>
      </c>
      <c r="J49" s="184">
        <f t="shared" si="18"/>
        <v>3938.3377613291341</v>
      </c>
      <c r="K49" s="184">
        <f t="shared" si="18"/>
        <v>4016.4606566731932</v>
      </c>
      <c r="L49" s="184">
        <f t="shared" si="18"/>
        <v>4096.1332132089683</v>
      </c>
      <c r="M49" s="184">
        <f t="shared" si="18"/>
        <v>4177.3861698255805</v>
      </c>
      <c r="N49" s="184">
        <f t="shared" si="18"/>
        <v>4260.2508751350288</v>
      </c>
      <c r="O49" s="184">
        <f t="shared" si="18"/>
        <v>4344.7592995661853</v>
      </c>
      <c r="P49" s="184">
        <f t="shared" si="18"/>
        <v>4430.9440476986701</v>
      </c>
      <c r="Q49" s="184">
        <f t="shared" si="18"/>
        <v>4518.8383708413603</v>
      </c>
      <c r="R49" s="184">
        <f t="shared" si="18"/>
        <v>4608.4761798604022</v>
      </c>
      <c r="S49" s="184">
        <f>SUM(S40,S45)</f>
        <v>4699.8920582616711</v>
      </c>
      <c r="T49" s="184">
        <f>SUM(T40,T45)</f>
        <v>4793.121275532696</v>
      </c>
      <c r="U49" s="184">
        <f>SUM(U40,U45)</f>
        <v>4888.199800749243</v>
      </c>
      <c r="V49" s="184">
        <f>SUM(V40,V45)</f>
        <v>4985.1643164517764</v>
      </c>
      <c r="W49" s="184">
        <f t="shared" ref="W49:AB49" si="19">SUM(W40,W45)</f>
        <v>5084.0522327971503</v>
      </c>
      <c r="X49" s="184">
        <f t="shared" si="19"/>
        <v>5184.9017019910061</v>
      </c>
      <c r="Y49" s="184">
        <f t="shared" si="19"/>
        <v>5287.7516330064291</v>
      </c>
      <c r="Z49" s="184">
        <f t="shared" si="19"/>
        <v>5392.6417065945516</v>
      </c>
      <c r="AA49" s="184">
        <f t="shared" si="19"/>
        <v>5499.6123905928798</v>
      </c>
      <c r="AB49" s="184">
        <f t="shared" si="19"/>
        <v>21992.655283631037</v>
      </c>
    </row>
    <row r="50" spans="2:28" ht="15" thickTop="1" x14ac:dyDescent="0.2">
      <c r="B50" s="217" t="s">
        <v>341</v>
      </c>
      <c r="C50" s="191"/>
      <c r="D50" s="186">
        <f>D48+D49</f>
        <v>4783.8135684894987</v>
      </c>
      <c r="E50" s="186">
        <f>E48+E49</f>
        <v>4878.7079341632307</v>
      </c>
      <c r="F50" s="186">
        <f t="shared" ref="F50:R50" si="20">F48+F49</f>
        <v>4975.4846467747211</v>
      </c>
      <c r="G50" s="186">
        <f t="shared" si="20"/>
        <v>5074.1810443977683</v>
      </c>
      <c r="H50" s="186">
        <f t="shared" si="20"/>
        <v>5174.8352057289412</v>
      </c>
      <c r="I50" s="186">
        <f t="shared" si="20"/>
        <v>5246.4494523520143</v>
      </c>
      <c r="J50" s="186">
        <f t="shared" si="20"/>
        <v>4145.6186961359308</v>
      </c>
      <c r="K50" s="186">
        <f t="shared" si="20"/>
        <v>4227.8533228138876</v>
      </c>
      <c r="L50" s="186">
        <f t="shared" si="20"/>
        <v>4311.7191717989135</v>
      </c>
      <c r="M50" s="186">
        <f t="shared" si="20"/>
        <v>4397.2485998164002</v>
      </c>
      <c r="N50" s="186">
        <f t="shared" si="20"/>
        <v>4484.474605405293</v>
      </c>
      <c r="O50" s="186">
        <f t="shared" si="20"/>
        <v>4573.4308416486165</v>
      </c>
      <c r="P50" s="186">
        <f t="shared" si="20"/>
        <v>4664.1516291564949</v>
      </c>
      <c r="Q50" s="186">
        <f t="shared" si="20"/>
        <v>4756.6719693066952</v>
      </c>
      <c r="R50" s="186">
        <f t="shared" si="20"/>
        <v>4851.0275577477914</v>
      </c>
      <c r="S50" s="186">
        <f>S48+S49</f>
        <v>4947.25479817018</v>
      </c>
      <c r="T50" s="186">
        <f>T48+T49</f>
        <v>5045.3908163502065</v>
      </c>
      <c r="U50" s="186">
        <f>U48+U49</f>
        <v>5145.4734744728876</v>
      </c>
      <c r="V50" s="186">
        <f>V48+V49</f>
        <v>5247.5413857387121</v>
      </c>
      <c r="W50" s="186">
        <f t="shared" ref="W50:AB50" si="21">W48+W49</f>
        <v>5351.6339292601579</v>
      </c>
      <c r="X50" s="186">
        <f t="shared" si="21"/>
        <v>5457.7912652536907</v>
      </c>
      <c r="Y50" s="186">
        <f t="shared" si="21"/>
        <v>5566.0543505330834</v>
      </c>
      <c r="Z50" s="186">
        <f t="shared" si="21"/>
        <v>5676.4649543100541</v>
      </c>
      <c r="AA50" s="186">
        <f t="shared" si="21"/>
        <v>5789.0656743082945</v>
      </c>
      <c r="AB50" s="186">
        <f t="shared" si="21"/>
        <v>23150.163456453723</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84" t="s">
        <v>342</v>
      </c>
      <c r="C53" s="584"/>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-51784.780545778478</v>
      </c>
      <c r="D56" s="227">
        <f t="shared" ref="D56:V56" si="22">D48</f>
        <v>2106.6305977915849</v>
      </c>
      <c r="E56" s="227">
        <f t="shared" si="22"/>
        <v>2116.0251399932845</v>
      </c>
      <c r="F56" s="227">
        <f t="shared" si="22"/>
        <v>2125.6060345418218</v>
      </c>
      <c r="G56" s="227">
        <f t="shared" si="22"/>
        <v>2135.3769779065037</v>
      </c>
      <c r="H56" s="227">
        <f t="shared" si="22"/>
        <v>2145.3417398782899</v>
      </c>
      <c r="I56" s="227">
        <f t="shared" si="22"/>
        <v>262.32247261760074</v>
      </c>
      <c r="J56" s="227">
        <f t="shared" si="22"/>
        <v>207.28093480679655</v>
      </c>
      <c r="K56" s="227">
        <f t="shared" si="22"/>
        <v>211.39266614069439</v>
      </c>
      <c r="L56" s="227">
        <f t="shared" si="22"/>
        <v>215.58595858994568</v>
      </c>
      <c r="M56" s="227">
        <f t="shared" si="22"/>
        <v>219.86242999082003</v>
      </c>
      <c r="N56" s="227">
        <f t="shared" si="22"/>
        <v>224.22373027026467</v>
      </c>
      <c r="O56" s="227">
        <f t="shared" si="22"/>
        <v>228.67154208243085</v>
      </c>
      <c r="P56" s="227">
        <f t="shared" si="22"/>
        <v>233.20758145782474</v>
      </c>
      <c r="Q56" s="227">
        <f t="shared" si="22"/>
        <v>237.83359846533477</v>
      </c>
      <c r="R56" s="227">
        <f t="shared" si="22"/>
        <v>242.55137788738958</v>
      </c>
      <c r="S56" s="227">
        <f t="shared" si="22"/>
        <v>247.36273990850901</v>
      </c>
      <c r="T56" s="227">
        <f t="shared" si="22"/>
        <v>252.26954081751035</v>
      </c>
      <c r="U56" s="227">
        <f t="shared" si="22"/>
        <v>257.27367372364438</v>
      </c>
      <c r="V56" s="227">
        <f t="shared" si="22"/>
        <v>262.37706928693564</v>
      </c>
      <c r="W56" s="227">
        <f t="shared" ref="W56:AB56" si="23">W48</f>
        <v>267.58169646300792</v>
      </c>
      <c r="X56" s="227">
        <f t="shared" si="23"/>
        <v>272.88956326268453</v>
      </c>
      <c r="Y56" s="227">
        <f t="shared" si="23"/>
        <v>278.30271752665419</v>
      </c>
      <c r="Z56" s="227">
        <f t="shared" si="23"/>
        <v>283.8232477155027</v>
      </c>
      <c r="AA56" s="227">
        <f t="shared" si="23"/>
        <v>289.45328371541473</v>
      </c>
      <c r="AB56" s="227">
        <f t="shared" si="23"/>
        <v>1157.5081728226862</v>
      </c>
    </row>
    <row r="57" spans="2:28" ht="15" thickBot="1" x14ac:dyDescent="0.25">
      <c r="B57" s="210" t="s">
        <v>345</v>
      </c>
      <c r="C57" s="227"/>
      <c r="D57" s="184">
        <f t="shared" ref="D57:AB57" si="24">IF(D54&gt;Time_Based_Flip_Target_Year,Tax_Equity_Post_Flip_Share,Tax_Equity_Pre_Flip_Share)*D31</f>
        <v>34167.890997590308</v>
      </c>
      <c r="E57" s="184">
        <f t="shared" si="24"/>
        <v>5388.3880675042155</v>
      </c>
      <c r="F57" s="184">
        <f t="shared" si="24"/>
        <v>2767.1510087191596</v>
      </c>
      <c r="G57" s="184">
        <f t="shared" si="24"/>
        <v>1185.1672942029286</v>
      </c>
      <c r="H57" s="184">
        <f t="shared" si="24"/>
        <v>1162.27325357275</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-51784.780545778478</v>
      </c>
      <c r="D58" s="227">
        <f>D56+D57</f>
        <v>36274.521595381892</v>
      </c>
      <c r="E58" s="227">
        <f t="shared" ref="E58:R58" si="25">E56+E57</f>
        <v>7504.4132074975005</v>
      </c>
      <c r="F58" s="227">
        <f t="shared" si="25"/>
        <v>4892.7570432609809</v>
      </c>
      <c r="G58" s="227">
        <f t="shared" si="25"/>
        <v>3320.5442721094323</v>
      </c>
      <c r="H58" s="227">
        <f t="shared" si="25"/>
        <v>3307.6149934510399</v>
      </c>
      <c r="I58" s="227">
        <f t="shared" si="25"/>
        <v>262.32247261760074</v>
      </c>
      <c r="J58" s="227">
        <f t="shared" si="25"/>
        <v>207.28093480679655</v>
      </c>
      <c r="K58" s="227">
        <f t="shared" si="25"/>
        <v>211.39266614069439</v>
      </c>
      <c r="L58" s="227">
        <f>L56+L57</f>
        <v>215.58595858994568</v>
      </c>
      <c r="M58" s="227">
        <f t="shared" si="25"/>
        <v>219.86242999082003</v>
      </c>
      <c r="N58" s="227">
        <f t="shared" si="25"/>
        <v>224.22373027026467</v>
      </c>
      <c r="O58" s="227">
        <f t="shared" si="25"/>
        <v>228.67154208243085</v>
      </c>
      <c r="P58" s="227">
        <f t="shared" si="25"/>
        <v>233.20758145782474</v>
      </c>
      <c r="Q58" s="227">
        <f t="shared" si="25"/>
        <v>237.83359846533477</v>
      </c>
      <c r="R58" s="227">
        <f t="shared" si="25"/>
        <v>242.55137788738958</v>
      </c>
      <c r="S58" s="227">
        <f>S56+S57</f>
        <v>247.36273990850901</v>
      </c>
      <c r="T58" s="227">
        <f>T56+T57</f>
        <v>252.26954081751035</v>
      </c>
      <c r="U58" s="227">
        <f>U56+U57</f>
        <v>257.27367372364438</v>
      </c>
      <c r="V58" s="227">
        <f>V56+V57</f>
        <v>262.37706928693564</v>
      </c>
      <c r="W58" s="227">
        <f t="shared" ref="W58:AB58" si="26">W56+W57</f>
        <v>267.58169646300792</v>
      </c>
      <c r="X58" s="227">
        <f t="shared" si="26"/>
        <v>272.88956326268453</v>
      </c>
      <c r="Y58" s="227">
        <f t="shared" si="26"/>
        <v>278.30271752665419</v>
      </c>
      <c r="Z58" s="227">
        <f t="shared" si="26"/>
        <v>283.8232477155027</v>
      </c>
      <c r="AA58" s="227">
        <f t="shared" si="26"/>
        <v>289.45328371541473</v>
      </c>
      <c r="AB58" s="227">
        <f t="shared" si="26"/>
        <v>1157.5081728226862</v>
      </c>
    </row>
    <row r="59" spans="2:28" ht="14" x14ac:dyDescent="0.2">
      <c r="B59" s="210" t="s">
        <v>382</v>
      </c>
      <c r="C59" s="207">
        <v>0</v>
      </c>
      <c r="D59" s="207">
        <f>IFERROR(IRR($C58:D$58),0)</f>
        <v>-0.29951384918364776</v>
      </c>
      <c r="E59" s="207">
        <f>IFERROR(IRR($C58:E$58),0)</f>
        <v>-0.13247012639993783</v>
      </c>
      <c r="F59" s="207">
        <f>IFERROR(IRR($C58:F$58),0)</f>
        <v>-4.4399168896751107E-2</v>
      </c>
      <c r="G59" s="207">
        <f>IFERROR(IRR($C58:G$58),0)</f>
        <v>2.6284793284945263E-3</v>
      </c>
      <c r="H59" s="207">
        <f>IFERROR(IRR($C58:H$58),0)</f>
        <v>3.9275538782432839E-2</v>
      </c>
      <c r="I59" s="207">
        <f>IFERROR(IRR($C58:I$58),0)</f>
        <v>4.1740277961275662E-2</v>
      </c>
      <c r="J59" s="207">
        <f>IFERROR(IRR($C58:J$58),0)</f>
        <v>4.3574182772491588E-2</v>
      </c>
      <c r="K59" s="207">
        <f>IFERROR(IRR($C58:K$58),0)</f>
        <v>4.5331554839384891E-2</v>
      </c>
      <c r="L59" s="207">
        <f>IFERROR(IRR($C58:L$58),0)</f>
        <v>4.7008920550033917E-2</v>
      </c>
      <c r="M59" s="207">
        <f>IFERROR(IRR($C58:M$58),0)</f>
        <v>4.8604287575488847E-2</v>
      </c>
      <c r="N59" s="207">
        <f>IFERROR(IRR($C58:N$58),0)</f>
        <v>5.0116972550764638E-2</v>
      </c>
      <c r="O59" s="207">
        <f>IFERROR(IRR($C58:O$58),0)</f>
        <v>5.15474085977774E-2</v>
      </c>
      <c r="P59" s="207">
        <f>IFERROR(IRR($C58:P$58),0)</f>
        <v>5.2896948577452196E-2</v>
      </c>
      <c r="Q59" s="207">
        <f>IFERROR(IRR($C58:Q$58),0)</f>
        <v>5.4167675955456351E-2</v>
      </c>
      <c r="R59" s="207">
        <f>IFERROR(IRR($C58:R$58),0)</f>
        <v>5.5362231239766801E-2</v>
      </c>
      <c r="S59" s="207">
        <f>IFERROR(IRR($C58:S$58),0)</f>
        <v>5.6483658544564275E-2</v>
      </c>
      <c r="T59" s="207">
        <f>IFERROR(IRR($C58:T$58),0)</f>
        <v>5.753527415367099E-2</v>
      </c>
      <c r="U59" s="207">
        <f>IFERROR(IRR($C58:U$58),0)</f>
        <v>5.8520557021595421E-2</v>
      </c>
      <c r="V59" s="207">
        <f>IFERROR(IRR($C58:V$58),0)</f>
        <v>5.9443059879973559E-2</v>
      </c>
      <c r="W59" s="207">
        <f>IFERROR(IRR($C58:W$58),0)</f>
        <v>6.0306338883413524E-2</v>
      </c>
      <c r="X59" s="207">
        <f>IFERROR(IRR($C58:X$58),0)</f>
        <v>6.1113899394453997E-2</v>
      </c>
      <c r="Y59" s="207">
        <f>IFERROR(IRR($C58:Y$58),0)</f>
        <v>6.1869155449021163E-2</v>
      </c>
      <c r="Z59" s="207">
        <f>IFERROR(IRR($C58:Z$58),0)</f>
        <v>6.2575400560782368E-2</v>
      </c>
      <c r="AA59" s="207">
        <f>IFERROR(IRR($C58:AA$58),0)</f>
        <v>6.3235787739312821E-2</v>
      </c>
      <c r="AB59" s="207">
        <f>IFERROR(IRR($C58:AB$58),0)</f>
        <v>6.5573808510358988E-2</v>
      </c>
    </row>
    <row r="60" spans="2:28" ht="14" x14ac:dyDescent="0.2">
      <c r="B60" s="210" t="s">
        <v>98</v>
      </c>
      <c r="C60" s="227">
        <f>C58</f>
        <v>-51784.780545778478</v>
      </c>
      <c r="D60" s="227">
        <f>C60+D58</f>
        <v>-15510.258950396586</v>
      </c>
      <c r="E60" s="227">
        <f t="shared" ref="E60:R60" si="27">D60+E58</f>
        <v>-8005.845742899086</v>
      </c>
      <c r="F60" s="227">
        <f t="shared" si="27"/>
        <v>-3113.088699638105</v>
      </c>
      <c r="G60" s="227">
        <f t="shared" si="27"/>
        <v>207.45557247132729</v>
      </c>
      <c r="H60" s="227">
        <f t="shared" si="27"/>
        <v>3515.0705659223672</v>
      </c>
      <c r="I60" s="227">
        <f t="shared" si="27"/>
        <v>3777.3930385399681</v>
      </c>
      <c r="J60" s="227">
        <f t="shared" si="27"/>
        <v>3984.6739733467648</v>
      </c>
      <c r="K60" s="227">
        <f t="shared" si="27"/>
        <v>4196.0666394874588</v>
      </c>
      <c r="L60" s="227">
        <f t="shared" si="27"/>
        <v>4411.652598077404</v>
      </c>
      <c r="M60" s="227">
        <f t="shared" si="27"/>
        <v>4631.5150280682237</v>
      </c>
      <c r="N60" s="227">
        <f t="shared" si="27"/>
        <v>4855.738758338488</v>
      </c>
      <c r="O60" s="227">
        <f t="shared" si="27"/>
        <v>5084.4103004209192</v>
      </c>
      <c r="P60" s="227">
        <f t="shared" si="27"/>
        <v>5317.6178818787439</v>
      </c>
      <c r="Q60" s="227">
        <f t="shared" si="27"/>
        <v>5555.4514803440788</v>
      </c>
      <c r="R60" s="227">
        <f t="shared" si="27"/>
        <v>5798.0028582314681</v>
      </c>
      <c r="S60" s="227">
        <f>R60+S58</f>
        <v>6045.365598139977</v>
      </c>
      <c r="T60" s="227">
        <f>S60+T58</f>
        <v>6297.6351389574875</v>
      </c>
      <c r="U60" s="227">
        <f>T60+U58</f>
        <v>6554.9088126811321</v>
      </c>
      <c r="V60" s="227">
        <f>U60+V58</f>
        <v>6817.2858819680678</v>
      </c>
      <c r="W60" s="227">
        <f t="shared" ref="W60:AB60" si="28">V60+W58</f>
        <v>7084.8675784310753</v>
      </c>
      <c r="X60" s="227">
        <f t="shared" si="28"/>
        <v>7357.7571416937599</v>
      </c>
      <c r="Y60" s="227">
        <f t="shared" si="28"/>
        <v>7636.0598592204142</v>
      </c>
      <c r="Z60" s="227">
        <f t="shared" si="28"/>
        <v>7919.8831069359167</v>
      </c>
      <c r="AA60" s="227">
        <f t="shared" si="28"/>
        <v>8209.3363906513314</v>
      </c>
      <c r="AB60" s="227">
        <f t="shared" si="28"/>
        <v>9366.8445634740183</v>
      </c>
    </row>
    <row r="61" spans="2:28" ht="14" x14ac:dyDescent="0.2">
      <c r="B61" s="210" t="s">
        <v>347</v>
      </c>
      <c r="C61" s="227">
        <f>NPV(Investor_Discount_Rate,D58:AB58)+C58</f>
        <v>60.946624207754212</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6.5573808510358988E-2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-40832.664821366838</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-9.2670539213302372E-2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5">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4.1740277961275662E-2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-63190.309475932176</v>
      </c>
      <c r="D69" s="227">
        <f t="shared" ref="D69:AB69" si="29">D49</f>
        <v>2677.1829706979138</v>
      </c>
      <c r="E69" s="227">
        <f t="shared" si="29"/>
        <v>2762.6827941699462</v>
      </c>
      <c r="F69" s="227">
        <f t="shared" si="29"/>
        <v>2849.8786122328993</v>
      </c>
      <c r="G69" s="227">
        <f t="shared" si="29"/>
        <v>2938.8040664912646</v>
      </c>
      <c r="H69" s="227">
        <f t="shared" si="29"/>
        <v>3029.4934658506513</v>
      </c>
      <c r="I69" s="227">
        <f t="shared" si="29"/>
        <v>4984.1269797344139</v>
      </c>
      <c r="J69" s="227">
        <f t="shared" si="29"/>
        <v>3938.3377613291341</v>
      </c>
      <c r="K69" s="227">
        <f t="shared" si="29"/>
        <v>4016.4606566731932</v>
      </c>
      <c r="L69" s="227">
        <f t="shared" si="29"/>
        <v>4096.1332132089683</v>
      </c>
      <c r="M69" s="227">
        <f t="shared" si="29"/>
        <v>4177.3861698255805</v>
      </c>
      <c r="N69" s="227">
        <f t="shared" si="29"/>
        <v>4260.2508751350288</v>
      </c>
      <c r="O69" s="227">
        <f t="shared" si="29"/>
        <v>4344.7592995661853</v>
      </c>
      <c r="P69" s="227">
        <f t="shared" si="29"/>
        <v>4430.9440476986701</v>
      </c>
      <c r="Q69" s="227">
        <f t="shared" si="29"/>
        <v>4518.8383708413603</v>
      </c>
      <c r="R69" s="227">
        <f t="shared" si="29"/>
        <v>4608.4761798604022</v>
      </c>
      <c r="S69" s="227">
        <f t="shared" si="29"/>
        <v>4699.8920582616711</v>
      </c>
      <c r="T69" s="227">
        <f t="shared" si="29"/>
        <v>4793.121275532696</v>
      </c>
      <c r="U69" s="227">
        <f t="shared" si="29"/>
        <v>4888.199800749243</v>
      </c>
      <c r="V69" s="227">
        <f t="shared" si="29"/>
        <v>4985.1643164517764</v>
      </c>
      <c r="W69" s="227">
        <f t="shared" si="29"/>
        <v>5084.0522327971503</v>
      </c>
      <c r="X69" s="227">
        <f t="shared" si="29"/>
        <v>5184.9017019910061</v>
      </c>
      <c r="Y69" s="227">
        <f t="shared" si="29"/>
        <v>5287.7516330064291</v>
      </c>
      <c r="Z69" s="227">
        <f t="shared" si="29"/>
        <v>5392.6417065945516</v>
      </c>
      <c r="AA69" s="227">
        <f t="shared" si="29"/>
        <v>5499.6123905928798</v>
      </c>
      <c r="AB69" s="227">
        <f t="shared" si="29"/>
        <v>21992.655283631037</v>
      </c>
    </row>
    <row r="70" spans="2:28" ht="15" thickBot="1" x14ac:dyDescent="0.25">
      <c r="B70" s="210" t="s">
        <v>345</v>
      </c>
      <c r="C70" s="227"/>
      <c r="D70" s="184">
        <f t="shared" ref="D70:AB70" si="30">D31-D57</f>
        <v>345.13021209687577</v>
      </c>
      <c r="E70" s="184">
        <f t="shared" si="30"/>
        <v>54.428162298022471</v>
      </c>
      <c r="F70" s="184">
        <f t="shared" si="30"/>
        <v>27.951020290092401</v>
      </c>
      <c r="G70" s="184">
        <f t="shared" si="30"/>
        <v>11.971386810130525</v>
      </c>
      <c r="H70" s="184">
        <f t="shared" si="30"/>
        <v>11.740133874472122</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-63190.309475932176</v>
      </c>
      <c r="D71" s="227">
        <f>D69+D70</f>
        <v>3022.3131827947896</v>
      </c>
      <c r="E71" s="227">
        <f t="shared" ref="E71:R71" si="31">E69+E70</f>
        <v>2817.1109564679687</v>
      </c>
      <c r="F71" s="227">
        <f t="shared" si="31"/>
        <v>2877.8296325229917</v>
      </c>
      <c r="G71" s="227">
        <f t="shared" si="31"/>
        <v>2950.7754533013949</v>
      </c>
      <c r="H71" s="227">
        <f t="shared" si="31"/>
        <v>3041.2335997251234</v>
      </c>
      <c r="I71" s="227">
        <f t="shared" si="31"/>
        <v>4984.1269797344139</v>
      </c>
      <c r="J71" s="227">
        <f t="shared" si="31"/>
        <v>3938.3377613291341</v>
      </c>
      <c r="K71" s="227">
        <f t="shared" si="31"/>
        <v>4016.4606566731932</v>
      </c>
      <c r="L71" s="227">
        <f t="shared" si="31"/>
        <v>4096.1332132089683</v>
      </c>
      <c r="M71" s="227">
        <f t="shared" si="31"/>
        <v>4177.3861698255805</v>
      </c>
      <c r="N71" s="227">
        <f t="shared" si="31"/>
        <v>4260.2508751350288</v>
      </c>
      <c r="O71" s="227">
        <f t="shared" si="31"/>
        <v>4344.7592995661853</v>
      </c>
      <c r="P71" s="227">
        <f t="shared" si="31"/>
        <v>4430.9440476986701</v>
      </c>
      <c r="Q71" s="227">
        <f t="shared" si="31"/>
        <v>4518.8383708413603</v>
      </c>
      <c r="R71" s="227">
        <f t="shared" si="31"/>
        <v>4608.4761798604022</v>
      </c>
      <c r="S71" s="227">
        <f>S69+S70</f>
        <v>4699.8920582616711</v>
      </c>
      <c r="T71" s="227">
        <f>T69+T70</f>
        <v>4793.121275532696</v>
      </c>
      <c r="U71" s="227">
        <f>U69+U70</f>
        <v>4888.199800749243</v>
      </c>
      <c r="V71" s="227">
        <f>V69+V70</f>
        <v>4985.1643164517764</v>
      </c>
      <c r="W71" s="227">
        <f t="shared" ref="W71:AB71" si="32">W69+W70</f>
        <v>5084.0522327971503</v>
      </c>
      <c r="X71" s="227">
        <f t="shared" si="32"/>
        <v>5184.9017019910061</v>
      </c>
      <c r="Y71" s="227">
        <f t="shared" si="32"/>
        <v>5287.7516330064291</v>
      </c>
      <c r="Z71" s="227">
        <f t="shared" si="32"/>
        <v>5392.6417065945516</v>
      </c>
      <c r="AA71" s="227">
        <f t="shared" si="32"/>
        <v>5499.6123905928798</v>
      </c>
      <c r="AB71" s="227">
        <f t="shared" si="32"/>
        <v>21992.655283631037</v>
      </c>
    </row>
    <row r="72" spans="2:28" ht="14" x14ac:dyDescent="0.2">
      <c r="B72" s="210" t="s">
        <v>382</v>
      </c>
      <c r="C72" s="207">
        <v>0</v>
      </c>
      <c r="D72" s="207">
        <f>IFERROR(IRR($C71:D$71),0)</f>
        <v>-0.95217125524688362</v>
      </c>
      <c r="E72" s="207">
        <f>IFERROR(IRR($C71:E$71),0)</f>
        <v>-0.76359263158115021</v>
      </c>
      <c r="F72" s="207">
        <f>IFERROR(IRR($C71:F$71),0)</f>
        <v>-0.58314215306384165</v>
      </c>
      <c r="G72" s="207">
        <f>IFERROR(IRR($C71:G$71),0)</f>
        <v>-0.44684350920876836</v>
      </c>
      <c r="H72" s="207">
        <f>IFERROR(IRR($C71:H$71),0)</f>
        <v>-0.34639622567066009</v>
      </c>
      <c r="I72" s="207">
        <f>IFERROR(IRR($C71:I$71),0)</f>
        <v>-0.24284883645974942</v>
      </c>
      <c r="J72" s="207">
        <f>IFERROR(IRR($C71:J$71),0)</f>
        <v>-0.18827426011645421</v>
      </c>
      <c r="K72" s="207">
        <f>IFERROR(IRR($C71:K$71),0)</f>
        <v>-0.14598245738823334</v>
      </c>
      <c r="L72" s="207">
        <f>IFERROR(IRR($C71:L$71),0)</f>
        <v>-0.11274167936828428</v>
      </c>
      <c r="M72" s="207">
        <f>IFERROR(IRR($C71:M$71),0)</f>
        <v>-8.6201014186731317E-2</v>
      </c>
      <c r="N72" s="207">
        <f>IFERROR(IRR($C71:N$71),0)</f>
        <v>-6.4695241891110422E-2</v>
      </c>
      <c r="O72" s="207">
        <f>IFERROR(IRR($C71:O$71),0)</f>
        <v>-4.7036920458411124E-2</v>
      </c>
      <c r="P72" s="207">
        <f>IFERROR(IRR($C71:P$71),0)</f>
        <v>-3.2366320461372333E-2</v>
      </c>
      <c r="Q72" s="207">
        <f>IFERROR(IRR($C71:Q$71),0)</f>
        <v>-2.0050344628088412E-2</v>
      </c>
      <c r="R72" s="207">
        <f>IFERROR(IRR($C71:R$71),0)</f>
        <v>-9.6150138322113055E-3</v>
      </c>
      <c r="S72" s="207">
        <f>IFERROR(IRR($C71:S$71),0)</f>
        <v>-6.9995349692208997E-4</v>
      </c>
      <c r="T72" s="207">
        <f>IFERROR(IRR($C71:T$71),0)</f>
        <v>6.972749730459471E-3</v>
      </c>
      <c r="U72" s="207">
        <f>IFERROR(IRR($C71:U$71),0)</f>
        <v>1.3620210657322884E-2</v>
      </c>
      <c r="V72" s="207">
        <f>IFERROR(IRR($C71:V$71),0)</f>
        <v>1.9414061213132605E-2</v>
      </c>
      <c r="W72" s="207">
        <f>IFERROR(IRR($C71:W$71),0)</f>
        <v>2.4491448550169048E-2</v>
      </c>
      <c r="X72" s="207">
        <f>IFERROR(IRR($C71:X$71),0)</f>
        <v>2.8963048899930177E-2</v>
      </c>
      <c r="Y72" s="207">
        <f>IFERROR(IRR($C71:Y$71),0)</f>
        <v>3.2918986870731803E-2</v>
      </c>
      <c r="Z72" s="207">
        <f>IFERROR(IRR($C71:Z$71),0)</f>
        <v>3.6433263147578332E-2</v>
      </c>
      <c r="AA72" s="207">
        <f>IFERROR(IRR($C71:AA$71),0)</f>
        <v>3.956710542852715E-2</v>
      </c>
      <c r="AB72" s="207">
        <f>IFERROR(IRR($C71:AB$71),0)</f>
        <v>4.9390536936485541E-2</v>
      </c>
    </row>
    <row r="73" spans="2:28" ht="14" x14ac:dyDescent="0.2">
      <c r="B73" s="210" t="s">
        <v>98</v>
      </c>
      <c r="C73" s="227">
        <f>C71</f>
        <v>-63190.309475932176</v>
      </c>
      <c r="D73" s="227">
        <f>C73+D71</f>
        <v>-60167.996293137388</v>
      </c>
      <c r="E73" s="227">
        <f t="shared" ref="E73:R73" si="33">D73+E71</f>
        <v>-57350.885336669417</v>
      </c>
      <c r="F73" s="227">
        <f t="shared" si="33"/>
        <v>-54473.055704146427</v>
      </c>
      <c r="G73" s="227">
        <f t="shared" si="33"/>
        <v>-51522.280250845033</v>
      </c>
      <c r="H73" s="227">
        <f t="shared" si="33"/>
        <v>-48481.046651119912</v>
      </c>
      <c r="I73" s="227">
        <f t="shared" si="33"/>
        <v>-43496.919671385498</v>
      </c>
      <c r="J73" s="227">
        <f t="shared" si="33"/>
        <v>-39558.581910056368</v>
      </c>
      <c r="K73" s="227">
        <f t="shared" si="33"/>
        <v>-35542.121253383171</v>
      </c>
      <c r="L73" s="227">
        <f t="shared" si="33"/>
        <v>-31445.988040174205</v>
      </c>
      <c r="M73" s="227">
        <f t="shared" si="33"/>
        <v>-27268.601870348626</v>
      </c>
      <c r="N73" s="227">
        <f t="shared" si="33"/>
        <v>-23008.350995213597</v>
      </c>
      <c r="O73" s="227">
        <f t="shared" si="33"/>
        <v>-18663.59169564741</v>
      </c>
      <c r="P73" s="227">
        <f t="shared" si="33"/>
        <v>-14232.647647948739</v>
      </c>
      <c r="Q73" s="227">
        <f t="shared" si="33"/>
        <v>-9713.8092771073789</v>
      </c>
      <c r="R73" s="227">
        <f t="shared" si="33"/>
        <v>-5105.3330972469766</v>
      </c>
      <c r="S73" s="227">
        <f>R73+S71</f>
        <v>-405.44103898530557</v>
      </c>
      <c r="T73" s="227">
        <f>S73+T71</f>
        <v>4387.6802365473905</v>
      </c>
      <c r="U73" s="227">
        <f>T73+U71</f>
        <v>9275.8800372966325</v>
      </c>
      <c r="V73" s="227">
        <f>U73+V71</f>
        <v>14261.04435374841</v>
      </c>
      <c r="W73" s="227">
        <f t="shared" ref="W73:AB73" si="34">V73+W71</f>
        <v>19345.096586545558</v>
      </c>
      <c r="X73" s="227">
        <f t="shared" si="34"/>
        <v>24529.998288536564</v>
      </c>
      <c r="Y73" s="227">
        <f t="shared" si="34"/>
        <v>29817.749921542993</v>
      </c>
      <c r="Z73" s="227">
        <f t="shared" si="34"/>
        <v>35210.391628137542</v>
      </c>
      <c r="AA73" s="227">
        <f t="shared" si="34"/>
        <v>40710.004018730426</v>
      </c>
      <c r="AB73" s="227">
        <f t="shared" si="34"/>
        <v>62702.659302361462</v>
      </c>
    </row>
    <row r="74" spans="2:28" ht="14" x14ac:dyDescent="0.2">
      <c r="B74" s="210" t="s">
        <v>347</v>
      </c>
      <c r="C74" s="227">
        <f>NPV(Investor_Discount_Rate,D71:AB71)+C71</f>
        <v>-10635.056241931823</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4.9390536936485541E-2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-11048.12302421037</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4.8850122193621059E-2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84" t="s">
        <v>352</v>
      </c>
      <c r="C86" s="584"/>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-51784.780545778478</v>
      </c>
      <c r="D88" s="223">
        <f t="shared" si="35"/>
        <v>-15510.258950396586</v>
      </c>
      <c r="E88" s="223">
        <f t="shared" si="35"/>
        <v>-8005.845742899086</v>
      </c>
      <c r="F88" s="223">
        <f t="shared" si="35"/>
        <v>-3113.088699638105</v>
      </c>
      <c r="G88" s="223">
        <f t="shared" si="35"/>
        <v>207.45557247132729</v>
      </c>
      <c r="H88" s="223">
        <f t="shared" si="35"/>
        <v>3515.0705659223672</v>
      </c>
      <c r="I88" s="223">
        <f t="shared" si="35"/>
        <v>3777.3930385399681</v>
      </c>
      <c r="J88" s="223">
        <f t="shared" si="35"/>
        <v>3984.6739733467648</v>
      </c>
      <c r="K88" s="223">
        <f t="shared" si="35"/>
        <v>4196.0666394874588</v>
      </c>
      <c r="L88" s="223">
        <f t="shared" si="35"/>
        <v>4411.652598077404</v>
      </c>
      <c r="M88" s="223">
        <f t="shared" si="35"/>
        <v>4631.5150280682237</v>
      </c>
      <c r="N88" s="223">
        <f t="shared" si="35"/>
        <v>4855.738758338488</v>
      </c>
      <c r="O88" s="223">
        <f t="shared" si="35"/>
        <v>5084.4103004209192</v>
      </c>
      <c r="P88" s="223">
        <f t="shared" si="35"/>
        <v>5317.6178818787439</v>
      </c>
      <c r="Q88" s="223">
        <f t="shared" si="35"/>
        <v>5555.4514803440788</v>
      </c>
      <c r="R88" s="223">
        <f t="shared" si="35"/>
        <v>5798.0028582314681</v>
      </c>
      <c r="S88" s="223">
        <f t="shared" si="35"/>
        <v>6045.365598139977</v>
      </c>
      <c r="T88" s="223">
        <f t="shared" si="35"/>
        <v>6297.6351389574875</v>
      </c>
      <c r="U88" s="223">
        <f t="shared" si="35"/>
        <v>6554.9088126811321</v>
      </c>
      <c r="V88" s="223">
        <f t="shared" si="35"/>
        <v>6817.2858819680678</v>
      </c>
      <c r="W88" s="223">
        <f t="shared" si="35"/>
        <v>7084.8675784310753</v>
      </c>
      <c r="X88" s="223">
        <f t="shared" si="35"/>
        <v>7357.7571416937599</v>
      </c>
      <c r="Y88" s="223">
        <f t="shared" si="35"/>
        <v>7636.0598592204142</v>
      </c>
      <c r="Z88" s="223">
        <f t="shared" si="35"/>
        <v>7919.8831069359167</v>
      </c>
      <c r="AA88" s="223">
        <f t="shared" si="35"/>
        <v>8209.3363906513314</v>
      </c>
      <c r="AB88" s="223">
        <f t="shared" si="35"/>
        <v>9366.8445634740183</v>
      </c>
    </row>
    <row r="89" spans="2:28" ht="14" x14ac:dyDescent="0.2">
      <c r="B89" s="222" t="s">
        <v>340</v>
      </c>
      <c r="C89" s="225">
        <f>C73</f>
        <v>-63190.309475932176</v>
      </c>
      <c r="D89" s="225">
        <f t="shared" ref="D89:R89" si="36">D73</f>
        <v>-60167.996293137388</v>
      </c>
      <c r="E89" s="225">
        <f t="shared" si="36"/>
        <v>-57350.885336669417</v>
      </c>
      <c r="F89" s="225">
        <f t="shared" si="36"/>
        <v>-54473.055704146427</v>
      </c>
      <c r="G89" s="225">
        <f t="shared" si="36"/>
        <v>-51522.280250845033</v>
      </c>
      <c r="H89" s="225">
        <f t="shared" si="36"/>
        <v>-48481.046651119912</v>
      </c>
      <c r="I89" s="225">
        <f t="shared" si="36"/>
        <v>-43496.919671385498</v>
      </c>
      <c r="J89" s="225">
        <f t="shared" si="36"/>
        <v>-39558.581910056368</v>
      </c>
      <c r="K89" s="225">
        <f t="shared" si="36"/>
        <v>-35542.121253383171</v>
      </c>
      <c r="L89" s="225">
        <f t="shared" si="36"/>
        <v>-31445.988040174205</v>
      </c>
      <c r="M89" s="225">
        <f t="shared" si="36"/>
        <v>-27268.601870348626</v>
      </c>
      <c r="N89" s="225">
        <f t="shared" si="36"/>
        <v>-23008.350995213597</v>
      </c>
      <c r="O89" s="225">
        <f t="shared" si="36"/>
        <v>-18663.59169564741</v>
      </c>
      <c r="P89" s="225">
        <f t="shared" si="36"/>
        <v>-14232.647647948739</v>
      </c>
      <c r="Q89" s="225">
        <f t="shared" si="36"/>
        <v>-9713.8092771073789</v>
      </c>
      <c r="R89" s="225">
        <f t="shared" si="36"/>
        <v>-5105.3330972469766</v>
      </c>
      <c r="S89" s="225">
        <f>S73</f>
        <v>-405.44103898530557</v>
      </c>
      <c r="T89" s="225">
        <f>T73</f>
        <v>4387.6802365473905</v>
      </c>
      <c r="U89" s="225">
        <f>U73</f>
        <v>9275.8800372966325</v>
      </c>
      <c r="V89" s="225">
        <f>V73</f>
        <v>14261.04435374841</v>
      </c>
      <c r="W89" s="225">
        <f t="shared" ref="W89:AB89" si="37">W73</f>
        <v>19345.096586545558</v>
      </c>
      <c r="X89" s="225">
        <f t="shared" si="37"/>
        <v>24529.998288536564</v>
      </c>
      <c r="Y89" s="225">
        <f t="shared" si="37"/>
        <v>29817.749921542993</v>
      </c>
      <c r="Z89" s="225">
        <f t="shared" si="37"/>
        <v>35210.391628137542</v>
      </c>
      <c r="AA89" s="225">
        <f t="shared" si="37"/>
        <v>40710.004018730426</v>
      </c>
      <c r="AB89" s="225">
        <f t="shared" si="37"/>
        <v>62702.659302361462</v>
      </c>
    </row>
    <row r="91" spans="2:28" ht="16" x14ac:dyDescent="0.15">
      <c r="B91" s="586" t="s">
        <v>354</v>
      </c>
      <c r="C91" s="587"/>
    </row>
    <row r="92" spans="2:28" ht="14" x14ac:dyDescent="0.2">
      <c r="B92" s="221" t="s">
        <v>353</v>
      </c>
      <c r="C92" s="224">
        <f>-C56</f>
        <v>51784.780545778478</v>
      </c>
    </row>
    <row r="93" spans="2:28" ht="14" x14ac:dyDescent="0.2">
      <c r="B93" s="222" t="s">
        <v>340</v>
      </c>
      <c r="C93" s="226">
        <f>-C69</f>
        <v>63190.309475932176</v>
      </c>
    </row>
    <row r="95" spans="2:28" ht="16" x14ac:dyDescent="0.2">
      <c r="B95" s="584" t="s">
        <v>352</v>
      </c>
      <c r="C95" s="584"/>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-51784.780545778478</v>
      </c>
      <c r="D97" s="259">
        <f t="shared" si="38"/>
        <v>36274.521595381892</v>
      </c>
      <c r="E97" s="259">
        <f t="shared" si="38"/>
        <v>7504.4132074975005</v>
      </c>
      <c r="F97" s="259">
        <f t="shared" si="38"/>
        <v>4892.7570432609809</v>
      </c>
      <c r="G97" s="259">
        <f t="shared" si="38"/>
        <v>3320.5442721094323</v>
      </c>
      <c r="H97" s="259">
        <f t="shared" si="38"/>
        <v>3307.6149934510399</v>
      </c>
      <c r="I97" s="259">
        <f t="shared" si="38"/>
        <v>262.32247261760074</v>
      </c>
      <c r="J97" s="259">
        <f t="shared" si="38"/>
        <v>207.28093480679655</v>
      </c>
      <c r="K97" s="259">
        <f t="shared" si="38"/>
        <v>211.39266614069439</v>
      </c>
      <c r="L97" s="259">
        <f t="shared" si="38"/>
        <v>215.58595858994568</v>
      </c>
      <c r="M97" s="259">
        <f t="shared" si="38"/>
        <v>219.86242999082003</v>
      </c>
      <c r="N97" s="259">
        <f t="shared" si="38"/>
        <v>224.22373027026467</v>
      </c>
      <c r="O97" s="259">
        <f t="shared" si="38"/>
        <v>228.67154208243085</v>
      </c>
      <c r="P97" s="259">
        <f t="shared" si="38"/>
        <v>233.20758145782474</v>
      </c>
      <c r="Q97" s="259">
        <f t="shared" si="38"/>
        <v>237.83359846533477</v>
      </c>
      <c r="R97" s="259">
        <f t="shared" si="38"/>
        <v>242.55137788738958</v>
      </c>
      <c r="S97" s="259">
        <f t="shared" si="38"/>
        <v>247.36273990850901</v>
      </c>
      <c r="T97" s="259">
        <f t="shared" si="38"/>
        <v>252.26954081751035</v>
      </c>
      <c r="U97" s="259">
        <f t="shared" si="38"/>
        <v>257.27367372364438</v>
      </c>
      <c r="V97" s="259">
        <f t="shared" si="38"/>
        <v>262.37706928693564</v>
      </c>
      <c r="W97" s="259">
        <f t="shared" si="38"/>
        <v>267.58169646300792</v>
      </c>
      <c r="X97" s="259">
        <f t="shared" si="38"/>
        <v>272.88956326268453</v>
      </c>
      <c r="Y97" s="259">
        <f t="shared" si="38"/>
        <v>278.30271752665419</v>
      </c>
      <c r="Z97" s="259">
        <f t="shared" si="38"/>
        <v>283.8232477155027</v>
      </c>
      <c r="AA97" s="259">
        <f t="shared" si="38"/>
        <v>289.45328371541473</v>
      </c>
      <c r="AB97" s="259">
        <f t="shared" si="38"/>
        <v>1157.5081728226862</v>
      </c>
    </row>
    <row r="98" spans="2:28" ht="14" x14ac:dyDescent="0.2">
      <c r="B98" s="222" t="s">
        <v>340</v>
      </c>
      <c r="C98" s="260">
        <f>C71</f>
        <v>-63190.309475932176</v>
      </c>
      <c r="D98" s="260">
        <f t="shared" ref="D98:V98" si="39">D71</f>
        <v>3022.3131827947896</v>
      </c>
      <c r="E98" s="260">
        <f t="shared" si="39"/>
        <v>2817.1109564679687</v>
      </c>
      <c r="F98" s="260">
        <f t="shared" si="39"/>
        <v>2877.8296325229917</v>
      </c>
      <c r="G98" s="260">
        <f t="shared" si="39"/>
        <v>2950.7754533013949</v>
      </c>
      <c r="H98" s="260">
        <f t="shared" si="39"/>
        <v>3041.2335997251234</v>
      </c>
      <c r="I98" s="260">
        <f t="shared" si="39"/>
        <v>4984.1269797344139</v>
      </c>
      <c r="J98" s="260">
        <f t="shared" si="39"/>
        <v>3938.3377613291341</v>
      </c>
      <c r="K98" s="260">
        <f t="shared" si="39"/>
        <v>4016.4606566731932</v>
      </c>
      <c r="L98" s="260">
        <f t="shared" si="39"/>
        <v>4096.1332132089683</v>
      </c>
      <c r="M98" s="260">
        <f t="shared" si="39"/>
        <v>4177.3861698255805</v>
      </c>
      <c r="N98" s="260">
        <f t="shared" si="39"/>
        <v>4260.2508751350288</v>
      </c>
      <c r="O98" s="260">
        <f t="shared" si="39"/>
        <v>4344.7592995661853</v>
      </c>
      <c r="P98" s="260">
        <f t="shared" si="39"/>
        <v>4430.9440476986701</v>
      </c>
      <c r="Q98" s="260">
        <f t="shared" si="39"/>
        <v>4518.8383708413603</v>
      </c>
      <c r="R98" s="260">
        <f t="shared" si="39"/>
        <v>4608.4761798604022</v>
      </c>
      <c r="S98" s="260">
        <f t="shared" si="39"/>
        <v>4699.8920582616711</v>
      </c>
      <c r="T98" s="260">
        <f t="shared" si="39"/>
        <v>4793.121275532696</v>
      </c>
      <c r="U98" s="260">
        <f t="shared" si="39"/>
        <v>4888.199800749243</v>
      </c>
      <c r="V98" s="260">
        <f t="shared" si="39"/>
        <v>4985.1643164517764</v>
      </c>
      <c r="W98" s="260">
        <f t="shared" ref="W98:AB98" si="40">W71</f>
        <v>5084.0522327971503</v>
      </c>
      <c r="X98" s="260">
        <f t="shared" si="40"/>
        <v>5184.9017019910061</v>
      </c>
      <c r="Y98" s="260">
        <f t="shared" si="40"/>
        <v>5287.7516330064291</v>
      </c>
      <c r="Z98" s="260">
        <f t="shared" si="40"/>
        <v>5392.6417065945516</v>
      </c>
      <c r="AA98" s="260">
        <f t="shared" si="40"/>
        <v>5499.6123905928798</v>
      </c>
      <c r="AB98" s="260">
        <f t="shared" si="40"/>
        <v>21992.655283631037</v>
      </c>
    </row>
    <row r="113" spans="5:5" x14ac:dyDescent="0.15">
      <c r="E113" t="s">
        <v>349</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55"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62" t="s">
        <v>0</v>
      </c>
      <c r="P4" s="563"/>
      <c r="Q4" s="563"/>
      <c r="R4" s="563"/>
      <c r="S4" s="563"/>
      <c r="T4" s="563"/>
      <c r="U4" s="563"/>
      <c r="V4" s="563"/>
      <c r="W4" s="563"/>
      <c r="X4" s="563"/>
      <c r="Y4" s="563"/>
      <c r="Z4" s="563"/>
      <c r="AA4" s="34"/>
    </row>
    <row r="5" spans="1:61" ht="25" customHeight="1" x14ac:dyDescent="0.15">
      <c r="I5" s="473" t="s">
        <v>464</v>
      </c>
      <c r="J5" s="473"/>
      <c r="K5" s="473"/>
      <c r="L5" s="473"/>
      <c r="M5" s="473"/>
      <c r="O5" s="564" t="s">
        <v>134</v>
      </c>
      <c r="P5" s="565"/>
      <c r="Q5" s="565"/>
      <c r="R5" s="565"/>
      <c r="S5" s="565"/>
      <c r="T5" s="565"/>
      <c r="U5" s="565"/>
      <c r="V5" s="565"/>
      <c r="W5" s="565"/>
      <c r="X5" s="565"/>
      <c r="Y5" s="565"/>
      <c r="Z5" s="566"/>
      <c r="AA5" s="34"/>
    </row>
    <row r="6" spans="1:61" ht="25" customHeight="1" x14ac:dyDescent="0.15">
      <c r="I6" s="473"/>
      <c r="J6" s="473"/>
      <c r="K6" s="473"/>
      <c r="L6" s="473"/>
      <c r="M6" s="473"/>
      <c r="O6" s="567"/>
      <c r="P6" s="568"/>
      <c r="Q6" s="568"/>
      <c r="R6" s="568"/>
      <c r="S6" s="568"/>
      <c r="T6" s="568"/>
      <c r="U6" s="568"/>
      <c r="V6" s="568"/>
      <c r="W6" s="568"/>
      <c r="X6" s="568"/>
      <c r="Y6" s="568"/>
      <c r="Z6" s="569"/>
      <c r="AA6" s="34"/>
    </row>
    <row r="7" spans="1:61" ht="25" customHeight="1" thickBot="1" x14ac:dyDescent="0.2">
      <c r="O7" s="567"/>
      <c r="P7" s="568"/>
      <c r="Q7" s="568"/>
      <c r="R7" s="568"/>
      <c r="S7" s="568"/>
      <c r="T7" s="568"/>
      <c r="U7" s="568"/>
      <c r="V7" s="568"/>
      <c r="W7" s="568"/>
      <c r="X7" s="568"/>
      <c r="Y7" s="568"/>
      <c r="Z7" s="569"/>
      <c r="AA7" s="34"/>
    </row>
    <row r="8" spans="1:61" ht="16" x14ac:dyDescent="0.2">
      <c r="A8" s="34"/>
      <c r="B8" s="34"/>
      <c r="C8" s="34"/>
      <c r="D8" s="34"/>
      <c r="E8" s="34"/>
      <c r="F8" s="34"/>
      <c r="G8" s="34"/>
      <c r="H8" s="34"/>
      <c r="I8" s="486" t="s">
        <v>214</v>
      </c>
      <c r="J8" s="487"/>
      <c r="K8" s="580"/>
      <c r="L8" s="581"/>
      <c r="M8" s="34"/>
      <c r="O8" s="567"/>
      <c r="P8" s="568"/>
      <c r="Q8" s="568"/>
      <c r="R8" s="568"/>
      <c r="S8" s="568"/>
      <c r="T8" s="568"/>
      <c r="U8" s="568"/>
      <c r="V8" s="568"/>
      <c r="W8" s="568"/>
      <c r="X8" s="568"/>
      <c r="Y8" s="568"/>
      <c r="Z8" s="569"/>
      <c r="AA8" s="34"/>
    </row>
    <row r="9" spans="1:61" ht="17" thickBot="1" x14ac:dyDescent="0.25">
      <c r="A9" s="34"/>
      <c r="B9" s="34"/>
      <c r="C9" s="34"/>
      <c r="D9" s="34"/>
      <c r="E9" s="34"/>
      <c r="F9" s="34"/>
      <c r="G9" s="34"/>
      <c r="H9" s="34"/>
      <c r="I9" s="557" t="s">
        <v>216</v>
      </c>
      <c r="J9" s="558"/>
      <c r="K9" s="582"/>
      <c r="L9" s="583"/>
      <c r="M9" s="34"/>
      <c r="O9" s="567"/>
      <c r="P9" s="568"/>
      <c r="Q9" s="568"/>
      <c r="R9" s="568"/>
      <c r="S9" s="568"/>
      <c r="T9" s="568"/>
      <c r="U9" s="568"/>
      <c r="V9" s="568"/>
      <c r="W9" s="568"/>
      <c r="X9" s="568"/>
      <c r="Y9" s="568"/>
      <c r="Z9" s="569"/>
      <c r="AA9" s="35"/>
    </row>
    <row r="10" spans="1:61" ht="14" x14ac:dyDescent="0.2">
      <c r="A10" s="34"/>
      <c r="B10" s="34"/>
      <c r="C10" s="34"/>
      <c r="D10" s="34"/>
      <c r="E10" s="34"/>
      <c r="F10" s="34"/>
      <c r="G10" s="34"/>
      <c r="H10" s="34"/>
      <c r="L10" s="34"/>
      <c r="M10" s="34"/>
      <c r="N10" s="34"/>
      <c r="O10" s="567"/>
      <c r="P10" s="568"/>
      <c r="Q10" s="568"/>
      <c r="R10" s="568"/>
      <c r="S10" s="568"/>
      <c r="T10" s="568"/>
      <c r="U10" s="568"/>
      <c r="V10" s="568"/>
      <c r="W10" s="568"/>
      <c r="X10" s="568"/>
      <c r="Y10" s="568"/>
      <c r="Z10" s="569"/>
      <c r="AA10" s="35"/>
    </row>
    <row r="11" spans="1:61" ht="14" x14ac:dyDescent="0.2">
      <c r="A11" s="34"/>
      <c r="B11" s="34"/>
      <c r="C11" s="34"/>
      <c r="D11" s="34"/>
      <c r="E11" s="34"/>
      <c r="F11" s="34"/>
      <c r="G11" s="34"/>
      <c r="H11" s="34"/>
      <c r="I11" s="34"/>
      <c r="J11" s="34"/>
      <c r="K11" s="34"/>
      <c r="L11" s="34"/>
      <c r="M11" s="34"/>
      <c r="N11" s="34"/>
      <c r="O11" s="570"/>
      <c r="P11" s="571"/>
      <c r="Q11" s="571"/>
      <c r="R11" s="571"/>
      <c r="S11" s="571"/>
      <c r="T11" s="571"/>
      <c r="U11" s="571"/>
      <c r="V11" s="571"/>
      <c r="W11" s="571"/>
      <c r="X11" s="571"/>
      <c r="Y11" s="571"/>
      <c r="Z11" s="572"/>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5" t="s">
        <v>278</v>
      </c>
      <c r="C13" s="346"/>
      <c r="D13" s="346"/>
      <c r="E13" s="346"/>
      <c r="F13" s="346"/>
      <c r="G13" s="346"/>
      <c r="H13" s="346"/>
      <c r="I13" s="346"/>
      <c r="J13" s="346"/>
      <c r="K13" s="346"/>
      <c r="L13" s="346"/>
      <c r="M13" s="346"/>
      <c r="N13" s="346"/>
      <c r="O13" s="346"/>
      <c r="P13" s="346"/>
      <c r="Q13" s="346"/>
      <c r="R13" s="346"/>
      <c r="S13" s="346"/>
      <c r="T13" s="346"/>
      <c r="U13" s="346"/>
      <c r="V13" s="346"/>
      <c r="W13" s="347"/>
      <c r="X13" s="347"/>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5" t="s">
        <v>279</v>
      </c>
      <c r="C14" s="346"/>
      <c r="D14" s="346"/>
      <c r="E14" s="346"/>
      <c r="F14" s="346"/>
      <c r="G14" s="346"/>
      <c r="H14" s="346"/>
      <c r="I14" s="346"/>
      <c r="J14" s="346"/>
      <c r="K14" s="346"/>
      <c r="L14" s="346"/>
      <c r="M14" s="346"/>
      <c r="N14" s="346"/>
      <c r="O14" s="346"/>
      <c r="P14" s="346"/>
      <c r="Q14" s="346"/>
      <c r="R14" s="346"/>
      <c r="S14" s="346"/>
      <c r="T14" s="346"/>
      <c r="U14" s="346"/>
      <c r="V14" s="346"/>
      <c r="W14" s="347"/>
      <c r="X14" s="347"/>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5"/>
      <c r="C15" s="346"/>
      <c r="D15" s="346"/>
      <c r="E15" s="346"/>
      <c r="F15" s="346"/>
      <c r="G15" s="346"/>
      <c r="H15" s="346"/>
      <c r="I15" s="346"/>
      <c r="J15" s="346"/>
      <c r="K15" s="346"/>
      <c r="L15" s="346"/>
      <c r="M15" s="346"/>
      <c r="N15" s="346"/>
      <c r="O15" s="346"/>
      <c r="P15" s="346"/>
      <c r="Q15" s="346"/>
      <c r="R15" s="346"/>
      <c r="S15" s="346"/>
      <c r="T15" s="346"/>
      <c r="U15" s="346"/>
      <c r="V15" s="346"/>
      <c r="W15" s="346"/>
      <c r="X15" s="346"/>
    </row>
    <row r="16" spans="1:61" ht="17" thickBot="1" x14ac:dyDescent="0.25">
      <c r="A16" s="34"/>
      <c r="B16" s="600" t="s">
        <v>388</v>
      </c>
      <c r="C16" s="600"/>
      <c r="D16" s="600"/>
      <c r="E16" s="346"/>
      <c r="F16" s="346"/>
      <c r="G16" s="346"/>
      <c r="H16" s="346"/>
      <c r="I16" s="346"/>
      <c r="J16" s="346"/>
      <c r="K16" s="346"/>
      <c r="L16" s="346"/>
      <c r="M16" s="346"/>
      <c r="N16" s="346"/>
      <c r="O16" s="346"/>
      <c r="P16" s="346"/>
      <c r="Q16" s="346"/>
      <c r="R16" s="346"/>
      <c r="S16" s="346"/>
      <c r="T16" s="346"/>
      <c r="U16" s="346"/>
      <c r="V16" s="346"/>
      <c r="W16" s="347"/>
      <c r="X16" s="347"/>
      <c r="Y16" s="2"/>
    </row>
    <row r="17" spans="1:28" ht="14" x14ac:dyDescent="0.2">
      <c r="A17" s="34"/>
      <c r="B17" s="348" t="s">
        <v>286</v>
      </c>
      <c r="C17" s="349">
        <v>0</v>
      </c>
      <c r="D17" s="350">
        <v>1</v>
      </c>
      <c r="E17" s="350">
        <v>2</v>
      </c>
      <c r="F17" s="350">
        <v>3</v>
      </c>
      <c r="G17" s="350">
        <v>4</v>
      </c>
      <c r="H17" s="350">
        <v>5</v>
      </c>
      <c r="I17" s="350">
        <v>6</v>
      </c>
      <c r="J17" s="350">
        <v>7</v>
      </c>
      <c r="K17" s="350">
        <v>8</v>
      </c>
      <c r="L17" s="350">
        <v>9</v>
      </c>
      <c r="M17" s="350">
        <v>10</v>
      </c>
      <c r="N17" s="350">
        <v>11</v>
      </c>
      <c r="O17" s="350">
        <v>12</v>
      </c>
      <c r="P17" s="350">
        <v>13</v>
      </c>
      <c r="Q17" s="350">
        <v>14</v>
      </c>
      <c r="R17" s="350">
        <v>15</v>
      </c>
      <c r="S17" s="350">
        <v>16</v>
      </c>
      <c r="T17" s="350">
        <v>17</v>
      </c>
      <c r="U17" s="350">
        <v>18</v>
      </c>
      <c r="V17" s="350">
        <v>19</v>
      </c>
      <c r="W17" s="350">
        <v>20</v>
      </c>
      <c r="X17" s="350">
        <v>21</v>
      </c>
      <c r="Y17" s="350">
        <v>22</v>
      </c>
      <c r="Z17" s="350">
        <v>23</v>
      </c>
      <c r="AA17" s="350">
        <v>24</v>
      </c>
      <c r="AB17" s="350">
        <v>25</v>
      </c>
    </row>
    <row r="18" spans="1:28" ht="14" x14ac:dyDescent="0.2">
      <c r="A18" s="34"/>
      <c r="B18" s="351" t="s">
        <v>276</v>
      </c>
      <c r="C18" s="352"/>
      <c r="D18" s="353">
        <f>Customer_Monthly_kWh_Usage*12</f>
        <v>3952823.0473546092</v>
      </c>
      <c r="E18" s="354">
        <f>D18</f>
        <v>3952823.0473546092</v>
      </c>
      <c r="F18" s="354">
        <f t="shared" ref="F18:V18" si="0">E18</f>
        <v>3952823.0473546092</v>
      </c>
      <c r="G18" s="354">
        <f t="shared" si="0"/>
        <v>3952823.0473546092</v>
      </c>
      <c r="H18" s="354">
        <f t="shared" si="0"/>
        <v>3952823.0473546092</v>
      </c>
      <c r="I18" s="354">
        <f t="shared" si="0"/>
        <v>3952823.0473546092</v>
      </c>
      <c r="J18" s="354">
        <f t="shared" si="0"/>
        <v>3952823.0473546092</v>
      </c>
      <c r="K18" s="354">
        <f t="shared" si="0"/>
        <v>3952823.0473546092</v>
      </c>
      <c r="L18" s="354">
        <f t="shared" si="0"/>
        <v>3952823.0473546092</v>
      </c>
      <c r="M18" s="354">
        <f t="shared" si="0"/>
        <v>3952823.0473546092</v>
      </c>
      <c r="N18" s="354">
        <f t="shared" si="0"/>
        <v>3952823.0473546092</v>
      </c>
      <c r="O18" s="354">
        <f t="shared" si="0"/>
        <v>3952823.0473546092</v>
      </c>
      <c r="P18" s="354">
        <f t="shared" si="0"/>
        <v>3952823.0473546092</v>
      </c>
      <c r="Q18" s="354">
        <f t="shared" si="0"/>
        <v>3952823.0473546092</v>
      </c>
      <c r="R18" s="354">
        <f t="shared" si="0"/>
        <v>3952823.0473546092</v>
      </c>
      <c r="S18" s="354">
        <f t="shared" si="0"/>
        <v>3952823.0473546092</v>
      </c>
      <c r="T18" s="354">
        <f t="shared" si="0"/>
        <v>3952823.0473546092</v>
      </c>
      <c r="U18" s="354">
        <f t="shared" si="0"/>
        <v>3952823.0473546092</v>
      </c>
      <c r="V18" s="354">
        <f t="shared" si="0"/>
        <v>3952823.0473546092</v>
      </c>
      <c r="W18" s="354">
        <f t="shared" ref="W18:AB18" si="1">V18</f>
        <v>3952823.0473546092</v>
      </c>
      <c r="X18" s="354">
        <f t="shared" si="1"/>
        <v>3952823.0473546092</v>
      </c>
      <c r="Y18" s="354">
        <f t="shared" si="1"/>
        <v>3952823.0473546092</v>
      </c>
      <c r="Z18" s="354">
        <f t="shared" si="1"/>
        <v>3952823.0473546092</v>
      </c>
      <c r="AA18" s="354">
        <f t="shared" si="1"/>
        <v>3952823.0473546092</v>
      </c>
      <c r="AB18" s="354">
        <f t="shared" si="1"/>
        <v>3952823.0473546092</v>
      </c>
    </row>
    <row r="19" spans="1:28" ht="14" x14ac:dyDescent="0.2">
      <c r="A19" s="34"/>
      <c r="B19" s="351" t="s">
        <v>277</v>
      </c>
      <c r="C19" s="352"/>
      <c r="D19" s="353">
        <f>D18-D21</f>
        <v>3860724.9373546089</v>
      </c>
      <c r="E19" s="353">
        <f>E18-E21</f>
        <v>3861185.4279046091</v>
      </c>
      <c r="F19" s="353">
        <f t="shared" ref="F19:V19" si="2">F18-F21</f>
        <v>3861643.6160018588</v>
      </c>
      <c r="G19" s="353">
        <f t="shared" si="2"/>
        <v>3862099.5131586227</v>
      </c>
      <c r="H19" s="353">
        <f t="shared" si="2"/>
        <v>3862553.1308296025</v>
      </c>
      <c r="I19" s="353">
        <f t="shared" si="2"/>
        <v>3863004.4804122276</v>
      </c>
      <c r="J19" s="353">
        <f t="shared" si="2"/>
        <v>3863453.5732469396</v>
      </c>
      <c r="K19" s="353">
        <f t="shared" si="2"/>
        <v>3863900.420617478</v>
      </c>
      <c r="L19" s="353">
        <f t="shared" si="2"/>
        <v>3864345.0337511636</v>
      </c>
      <c r="M19" s="353">
        <f t="shared" si="2"/>
        <v>3864787.4238191806</v>
      </c>
      <c r="N19" s="353">
        <f t="shared" si="2"/>
        <v>3865227.6019368581</v>
      </c>
      <c r="O19" s="353">
        <f t="shared" si="2"/>
        <v>3865665.5791639467</v>
      </c>
      <c r="P19" s="353">
        <f t="shared" si="2"/>
        <v>3866101.3665049002</v>
      </c>
      <c r="Q19" s="353">
        <f t="shared" si="2"/>
        <v>3866534.9749091486</v>
      </c>
      <c r="R19" s="353">
        <f t="shared" si="2"/>
        <v>3866966.4152713758</v>
      </c>
      <c r="S19" s="353">
        <f t="shared" si="2"/>
        <v>3867395.6984317922</v>
      </c>
      <c r="T19" s="353">
        <f t="shared" si="2"/>
        <v>3867822.835176406</v>
      </c>
      <c r="U19" s="353">
        <f t="shared" si="2"/>
        <v>3868247.8362372969</v>
      </c>
      <c r="V19" s="353">
        <f t="shared" si="2"/>
        <v>3868670.7122928835</v>
      </c>
      <c r="W19" s="353">
        <f t="shared" ref="W19:AB19" si="3">W18-W21</f>
        <v>3869091.4739681925</v>
      </c>
      <c r="X19" s="353">
        <f t="shared" si="3"/>
        <v>3869510.1318351245</v>
      </c>
      <c r="Y19" s="353">
        <f t="shared" si="3"/>
        <v>3869926.6964127216</v>
      </c>
      <c r="Z19" s="353">
        <f t="shared" si="3"/>
        <v>3870341.1781674311</v>
      </c>
      <c r="AA19" s="353">
        <f t="shared" si="3"/>
        <v>3870753.5875133672</v>
      </c>
      <c r="AB19" s="353">
        <f t="shared" si="3"/>
        <v>3871163.9348125733</v>
      </c>
    </row>
    <row r="20" spans="1:28" ht="14" x14ac:dyDescent="0.2">
      <c r="A20" s="34"/>
      <c r="B20" s="351"/>
      <c r="C20" s="352"/>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row>
    <row r="21" spans="1:28" ht="14" x14ac:dyDescent="0.2">
      <c r="A21" s="34"/>
      <c r="B21" s="355" t="s">
        <v>240</v>
      </c>
      <c r="C21" s="352"/>
      <c r="D21" s="354">
        <f>Unstructured!D21</f>
        <v>92098.110000000306</v>
      </c>
      <c r="E21" s="354">
        <f>Unstructured!E21</f>
        <v>91637.619450000304</v>
      </c>
      <c r="F21" s="354">
        <f>Unstructured!F21</f>
        <v>91179.431352750296</v>
      </c>
      <c r="G21" s="354">
        <f>Unstructured!G21</f>
        <v>90723.534195986547</v>
      </c>
      <c r="H21" s="354">
        <f>Unstructured!H21</f>
        <v>90269.916525006614</v>
      </c>
      <c r="I21" s="354">
        <f>Unstructured!I21</f>
        <v>89818.566942381585</v>
      </c>
      <c r="J21" s="354">
        <f>Unstructured!J21</f>
        <v>89369.474107669681</v>
      </c>
      <c r="K21" s="354">
        <f>Unstructured!K21</f>
        <v>88922.62673713133</v>
      </c>
      <c r="L21" s="354">
        <f>Unstructured!L21</f>
        <v>88478.013603445666</v>
      </c>
      <c r="M21" s="354">
        <f>Unstructured!M21</f>
        <v>88035.623535428444</v>
      </c>
      <c r="N21" s="354">
        <f>Unstructured!N21</f>
        <v>87595.445417751296</v>
      </c>
      <c r="O21" s="354">
        <f>Unstructured!O21</f>
        <v>87157.468190662534</v>
      </c>
      <c r="P21" s="354">
        <f>Unstructured!P21</f>
        <v>86721.680849709228</v>
      </c>
      <c r="Q21" s="354">
        <f>Unstructured!Q21</f>
        <v>86288.072445460683</v>
      </c>
      <c r="R21" s="354">
        <f>Unstructured!R21</f>
        <v>85856.632083233373</v>
      </c>
      <c r="S21" s="354">
        <f>Unstructured!S21</f>
        <v>85427.348922817211</v>
      </c>
      <c r="T21" s="354">
        <f>Unstructured!T21</f>
        <v>85000.212178203132</v>
      </c>
      <c r="U21" s="354">
        <f>Unstructured!U21</f>
        <v>84575.211117312123</v>
      </c>
      <c r="V21" s="354">
        <f>Unstructured!V21</f>
        <v>84152.335061725564</v>
      </c>
      <c r="W21" s="354">
        <f>Unstructured!W21</f>
        <v>83731.573386416931</v>
      </c>
      <c r="X21" s="354">
        <f>Unstructured!X21</f>
        <v>83312.915519484843</v>
      </c>
      <c r="Y21" s="354">
        <f>Unstructured!Y21</f>
        <v>82896.350941887416</v>
      </c>
      <c r="Z21" s="354">
        <f>Unstructured!Z21</f>
        <v>82481.869187177974</v>
      </c>
      <c r="AA21" s="354">
        <f>Unstructured!AA21</f>
        <v>82069.459841242089</v>
      </c>
      <c r="AB21" s="354">
        <f>Unstructured!AB21</f>
        <v>81659.112542035873</v>
      </c>
    </row>
    <row r="22" spans="1:28" ht="14" x14ac:dyDescent="0.2">
      <c r="A22" s="34"/>
      <c r="B22" s="355" t="s">
        <v>387</v>
      </c>
      <c r="C22" s="352"/>
      <c r="D22" s="356">
        <f>Customer_Utility_Charge_kWh</f>
        <v>7.3648296020305801E-2</v>
      </c>
      <c r="E22" s="356">
        <f>D22*(1+Customer_Utility_Charge_Escalator)</f>
        <v>7.5489503420813439E-2</v>
      </c>
      <c r="F22" s="356">
        <f t="shared" ref="F22:V22" si="4">E22*(1+Customer_Utility_Charge_Escalator)</f>
        <v>7.7376741006333766E-2</v>
      </c>
      <c r="G22" s="356">
        <f t="shared" si="4"/>
        <v>7.9311159531492106E-2</v>
      </c>
      <c r="H22" s="356">
        <f t="shared" si="4"/>
        <v>8.1293938519779396E-2</v>
      </c>
      <c r="I22" s="356">
        <f t="shared" si="4"/>
        <v>8.3326286982773876E-2</v>
      </c>
      <c r="J22" s="356">
        <f t="shared" si="4"/>
        <v>8.5409444157343209E-2</v>
      </c>
      <c r="K22" s="356">
        <f t="shared" si="4"/>
        <v>8.7544680261276778E-2</v>
      </c>
      <c r="L22" s="356">
        <f t="shared" si="4"/>
        <v>8.9733297267808695E-2</v>
      </c>
      <c r="M22" s="356">
        <f t="shared" si="4"/>
        <v>9.1976629699503903E-2</v>
      </c>
      <c r="N22" s="356">
        <f t="shared" si="4"/>
        <v>9.4276045441991488E-2</v>
      </c>
      <c r="O22" s="356">
        <f t="shared" si="4"/>
        <v>9.6632946578041265E-2</v>
      </c>
      <c r="P22" s="356">
        <f t="shared" si="4"/>
        <v>9.9048770242492284E-2</v>
      </c>
      <c r="Q22" s="356">
        <f t="shared" si="4"/>
        <v>0.10152498949855458</v>
      </c>
      <c r="R22" s="356">
        <f t="shared" si="4"/>
        <v>0.10406311423601844</v>
      </c>
      <c r="S22" s="356">
        <f t="shared" si="4"/>
        <v>0.10666469209191889</v>
      </c>
      <c r="T22" s="356">
        <f t="shared" si="4"/>
        <v>0.10933130939421686</v>
      </c>
      <c r="U22" s="356">
        <f t="shared" si="4"/>
        <v>0.11206459212907227</v>
      </c>
      <c r="V22" s="356">
        <f t="shared" si="4"/>
        <v>0.11486620693229907</v>
      </c>
      <c r="W22" s="356">
        <f t="shared" ref="W22:AB22" si="5">V22*(1+Customer_Utility_Charge_Escalator)</f>
        <v>0.11773786210560654</v>
      </c>
      <c r="X22" s="356">
        <f t="shared" si="5"/>
        <v>0.12068130865824669</v>
      </c>
      <c r="Y22" s="356">
        <f t="shared" si="5"/>
        <v>0.12369834137470286</v>
      </c>
      <c r="Z22" s="356">
        <f t="shared" si="5"/>
        <v>0.12679079990907041</v>
      </c>
      <c r="AA22" s="356">
        <f t="shared" si="5"/>
        <v>0.12996056990679716</v>
      </c>
      <c r="AB22" s="356">
        <f t="shared" si="5"/>
        <v>0.13320958415446707</v>
      </c>
    </row>
    <row r="23" spans="1:28" ht="14" x14ac:dyDescent="0.2">
      <c r="A23" s="34"/>
      <c r="B23" s="355" t="s">
        <v>247</v>
      </c>
      <c r="C23" s="352"/>
      <c r="D23" s="356">
        <f>D22*Customer_Dem_Charge_Percent</f>
        <v>0</v>
      </c>
      <c r="E23" s="356">
        <f>E22*Customer_Dem_Charge_Percent</f>
        <v>0</v>
      </c>
      <c r="F23" s="356">
        <f t="shared" ref="F23:V23" si="6">F22*Customer_Dem_Charge_Percent</f>
        <v>0</v>
      </c>
      <c r="G23" s="356">
        <f t="shared" si="6"/>
        <v>0</v>
      </c>
      <c r="H23" s="356">
        <f t="shared" si="6"/>
        <v>0</v>
      </c>
      <c r="I23" s="356">
        <f t="shared" si="6"/>
        <v>0</v>
      </c>
      <c r="J23" s="356">
        <f t="shared" si="6"/>
        <v>0</v>
      </c>
      <c r="K23" s="356">
        <f t="shared" si="6"/>
        <v>0</v>
      </c>
      <c r="L23" s="356">
        <f t="shared" si="6"/>
        <v>0</v>
      </c>
      <c r="M23" s="356">
        <f t="shared" si="6"/>
        <v>0</v>
      </c>
      <c r="N23" s="356">
        <f t="shared" si="6"/>
        <v>0</v>
      </c>
      <c r="O23" s="356">
        <f t="shared" si="6"/>
        <v>0</v>
      </c>
      <c r="P23" s="356">
        <f t="shared" si="6"/>
        <v>0</v>
      </c>
      <c r="Q23" s="356">
        <f t="shared" si="6"/>
        <v>0</v>
      </c>
      <c r="R23" s="356">
        <f t="shared" si="6"/>
        <v>0</v>
      </c>
      <c r="S23" s="356">
        <f t="shared" si="6"/>
        <v>0</v>
      </c>
      <c r="T23" s="356">
        <f t="shared" si="6"/>
        <v>0</v>
      </c>
      <c r="U23" s="356">
        <f t="shared" si="6"/>
        <v>0</v>
      </c>
      <c r="V23" s="356">
        <f t="shared" si="6"/>
        <v>0</v>
      </c>
      <c r="W23" s="356">
        <f t="shared" ref="W23:AB23" si="7">W22*Customer_Dem_Charge_Percent</f>
        <v>0</v>
      </c>
      <c r="X23" s="356">
        <f t="shared" si="7"/>
        <v>0</v>
      </c>
      <c r="Y23" s="356">
        <f t="shared" si="7"/>
        <v>0</v>
      </c>
      <c r="Z23" s="356">
        <f t="shared" si="7"/>
        <v>0</v>
      </c>
      <c r="AA23" s="356">
        <f t="shared" si="7"/>
        <v>0</v>
      </c>
      <c r="AB23" s="356">
        <f t="shared" si="7"/>
        <v>0</v>
      </c>
    </row>
    <row r="24" spans="1:28" ht="14" x14ac:dyDescent="0.2">
      <c r="A24" s="34"/>
      <c r="B24" s="355" t="s">
        <v>118</v>
      </c>
      <c r="C24" s="352"/>
      <c r="D24" s="356">
        <f>Unstructured!D19</f>
        <v>7.3031580167629145E-2</v>
      </c>
      <c r="E24" s="356">
        <f>Unstructured!E19</f>
        <v>7.4857369671819871E-2</v>
      </c>
      <c r="F24" s="356">
        <f>Unstructured!F19</f>
        <v>7.6728803913615362E-2</v>
      </c>
      <c r="G24" s="356">
        <f>Unstructured!G19</f>
        <v>7.8647024011455735E-2</v>
      </c>
      <c r="H24" s="356">
        <f>Unstructured!H19</f>
        <v>8.0613199611742126E-2</v>
      </c>
      <c r="I24" s="356">
        <f>Unstructured!I19</f>
        <v>8.2628529602035677E-2</v>
      </c>
      <c r="J24" s="356">
        <f>Unstructured!J19</f>
        <v>8.4694242842086556E-2</v>
      </c>
      <c r="K24" s="356">
        <f>Unstructured!K19</f>
        <v>8.6811598913138707E-2</v>
      </c>
      <c r="L24" s="356">
        <f>Unstructured!L19</f>
        <v>8.898188888596717E-2</v>
      </c>
      <c r="M24" s="356">
        <f>Unstructured!M19</f>
        <v>9.1206436108116337E-2</v>
      </c>
      <c r="N24" s="356">
        <f>Unstructured!N19</f>
        <v>9.3486597010819239E-2</v>
      </c>
      <c r="O24" s="356">
        <f>Unstructured!O19</f>
        <v>9.5823761936089713E-2</v>
      </c>
      <c r="P24" s="356">
        <f>Unstructured!P19</f>
        <v>9.8219355984491941E-2</v>
      </c>
      <c r="Q24" s="356">
        <f>Unstructured!Q19</f>
        <v>0.10067483988410424</v>
      </c>
      <c r="R24" s="356">
        <f>Unstructured!R19</f>
        <v>0.10319171088120684</v>
      </c>
      <c r="S24" s="356">
        <f>Unstructured!S19</f>
        <v>0.105771503653237</v>
      </c>
      <c r="T24" s="356">
        <f>Unstructured!T19</f>
        <v>0.10841579124456791</v>
      </c>
      <c r="U24" s="356">
        <f>Unstructured!U19</f>
        <v>0.1111261860256821</v>
      </c>
      <c r="V24" s="356">
        <f>Unstructured!V19</f>
        <v>0.11390434067632414</v>
      </c>
      <c r="W24" s="356">
        <f>Unstructured!W19</f>
        <v>0.11675194919323223</v>
      </c>
      <c r="X24" s="356">
        <f>Unstructured!X19</f>
        <v>0.11967074792306302</v>
      </c>
      <c r="Y24" s="356">
        <f>Unstructured!Y19</f>
        <v>0.12266251662113958</v>
      </c>
      <c r="Z24" s="356">
        <f>Unstructured!Z19</f>
        <v>0.12572907953666806</v>
      </c>
      <c r="AA24" s="356">
        <f>Unstructured!AA19</f>
        <v>0.12887230652508475</v>
      </c>
      <c r="AB24" s="356">
        <f>Unstructured!AB19</f>
        <v>0.13209411418821185</v>
      </c>
    </row>
    <row r="25" spans="1:28" ht="14" x14ac:dyDescent="0.2">
      <c r="A25" s="34"/>
      <c r="B25" s="351" t="s">
        <v>401</v>
      </c>
      <c r="C25" s="352"/>
      <c r="D25" s="357">
        <f t="shared" ref="D25:V25" si="8">D21*(D22+D23)</f>
        <v>6782.8688681907088</v>
      </c>
      <c r="E25" s="357">
        <f t="shared" si="8"/>
        <v>6917.6783869459978</v>
      </c>
      <c r="F25" s="357">
        <f t="shared" si="8"/>
        <v>7055.1672448865484</v>
      </c>
      <c r="G25" s="357">
        <f t="shared" si="8"/>
        <v>7195.3886938786682</v>
      </c>
      <c r="H25" s="357">
        <f t="shared" si="8"/>
        <v>7338.3970441695055</v>
      </c>
      <c r="I25" s="357">
        <f t="shared" si="8"/>
        <v>7484.2476854223751</v>
      </c>
      <c r="J25" s="357">
        <f t="shared" si="8"/>
        <v>7632.9971081701433</v>
      </c>
      <c r="K25" s="357">
        <f t="shared" si="8"/>
        <v>7784.7029256950236</v>
      </c>
      <c r="L25" s="357">
        <f t="shared" si="8"/>
        <v>7939.4238963432117</v>
      </c>
      <c r="M25" s="357">
        <f t="shared" si="8"/>
        <v>8097.2199462830322</v>
      </c>
      <c r="N25" s="357">
        <f t="shared" si="8"/>
        <v>8258.1521927154063</v>
      </c>
      <c r="O25" s="357">
        <f t="shared" si="8"/>
        <v>8422.2829675456233</v>
      </c>
      <c r="P25" s="357">
        <f t="shared" si="8"/>
        <v>8589.6758415255917</v>
      </c>
      <c r="Q25" s="357">
        <f t="shared" si="8"/>
        <v>8760.3956488759122</v>
      </c>
      <c r="R25" s="357">
        <f t="shared" si="8"/>
        <v>8934.5085123973204</v>
      </c>
      <c r="S25" s="357">
        <f t="shared" si="8"/>
        <v>9112.0818690812175</v>
      </c>
      <c r="T25" s="357">
        <f t="shared" si="8"/>
        <v>9293.1844962292053</v>
      </c>
      <c r="U25" s="357">
        <f t="shared" si="8"/>
        <v>9477.8865380917614</v>
      </c>
      <c r="V25" s="357">
        <f t="shared" si="8"/>
        <v>9666.2595330363347</v>
      </c>
      <c r="W25" s="357">
        <f t="shared" ref="W25:AB25" si="9">W21*(W22+W23)</f>
        <v>9858.3764412554301</v>
      </c>
      <c r="X25" s="357">
        <f t="shared" si="9"/>
        <v>10054.311673025382</v>
      </c>
      <c r="Y25" s="357">
        <f t="shared" si="9"/>
        <v>10254.14111752676</v>
      </c>
      <c r="Z25" s="357">
        <f t="shared" si="9"/>
        <v>10457.942172237603</v>
      </c>
      <c r="AA25" s="357">
        <f t="shared" si="9"/>
        <v>10665.793772910825</v>
      </c>
      <c r="AB25" s="357">
        <f t="shared" si="9"/>
        <v>10877.776424147425</v>
      </c>
    </row>
    <row r="26" spans="1:28" ht="14" x14ac:dyDescent="0.2">
      <c r="A26" s="34"/>
      <c r="B26" s="351" t="s">
        <v>384</v>
      </c>
      <c r="C26" s="352"/>
      <c r="D26" s="358">
        <f>D21*D24</f>
        <v>6726.0705037521502</v>
      </c>
      <c r="E26" s="358">
        <f t="shared" ref="E26:V26" si="10">E21*E24</f>
        <v>6859.7511550142235</v>
      </c>
      <c r="F26" s="358">
        <f t="shared" si="10"/>
        <v>6996.0887092201301</v>
      </c>
      <c r="G26" s="358">
        <f t="shared" si="10"/>
        <v>7135.1359723158794</v>
      </c>
      <c r="H26" s="358">
        <f t="shared" si="10"/>
        <v>7276.9467997656575</v>
      </c>
      <c r="I26" s="358">
        <f t="shared" si="10"/>
        <v>7421.5761174110003</v>
      </c>
      <c r="J26" s="358">
        <f t="shared" si="10"/>
        <v>7569.0799427445427</v>
      </c>
      <c r="K26" s="358">
        <f t="shared" si="10"/>
        <v>7719.5154066065888</v>
      </c>
      <c r="L26" s="358">
        <f t="shared" si="10"/>
        <v>7872.9407753128944</v>
      </c>
      <c r="M26" s="358">
        <f t="shared" si="10"/>
        <v>8029.4154732222369</v>
      </c>
      <c r="N26" s="358">
        <f t="shared" si="10"/>
        <v>8189.0001057525278</v>
      </c>
      <c r="O26" s="358">
        <f t="shared" si="10"/>
        <v>8351.7564828543582</v>
      </c>
      <c r="P26" s="358">
        <f t="shared" si="10"/>
        <v>8517.747642951088</v>
      </c>
      <c r="Q26" s="358">
        <f t="shared" si="10"/>
        <v>8687.0378773547418</v>
      </c>
      <c r="R26" s="358">
        <f t="shared" si="10"/>
        <v>8859.6927551671652</v>
      </c>
      <c r="S26" s="358">
        <f t="shared" si="10"/>
        <v>9035.7791486761125</v>
      </c>
      <c r="T26" s="358">
        <f t="shared" si="10"/>
        <v>9215.3652592560502</v>
      </c>
      <c r="U26" s="358">
        <f t="shared" si="10"/>
        <v>9398.5206437837642</v>
      </c>
      <c r="V26" s="358">
        <f t="shared" si="10"/>
        <v>9585.3162415789648</v>
      </c>
      <c r="W26" s="358">
        <f t="shared" ref="W26:AB26" si="11">W21*W24</f>
        <v>9775.8244018803452</v>
      </c>
      <c r="X26" s="358">
        <f t="shared" si="11"/>
        <v>9970.1189118677157</v>
      </c>
      <c r="Y26" s="358">
        <f t="shared" si="11"/>
        <v>10168.275025241086</v>
      </c>
      <c r="Z26" s="358">
        <f t="shared" si="11"/>
        <v>10370.36949136775</v>
      </c>
      <c r="AA26" s="358">
        <f t="shared" si="11"/>
        <v>10576.480585008683</v>
      </c>
      <c r="AB26" s="358">
        <f t="shared" si="11"/>
        <v>10786.688136635728</v>
      </c>
    </row>
    <row r="27" spans="1:28" ht="14" x14ac:dyDescent="0.2">
      <c r="A27" s="34"/>
      <c r="B27" s="351" t="s">
        <v>402</v>
      </c>
      <c r="C27" s="352"/>
      <c r="D27" s="357">
        <f t="shared" ref="D27:V27" si="12">D25-D26</f>
        <v>56.798364438558565</v>
      </c>
      <c r="E27" s="357">
        <f t="shared" si="12"/>
        <v>57.927231931774259</v>
      </c>
      <c r="F27" s="357">
        <f t="shared" si="12"/>
        <v>59.078535666418247</v>
      </c>
      <c r="G27" s="357">
        <f t="shared" si="12"/>
        <v>60.252721562788793</v>
      </c>
      <c r="H27" s="357">
        <f t="shared" si="12"/>
        <v>61.450244403848046</v>
      </c>
      <c r="I27" s="357">
        <f t="shared" si="12"/>
        <v>62.671568011374802</v>
      </c>
      <c r="J27" s="357">
        <f t="shared" si="12"/>
        <v>63.917165425600615</v>
      </c>
      <c r="K27" s="357">
        <f t="shared" si="12"/>
        <v>65.187519088434783</v>
      </c>
      <c r="L27" s="357">
        <f t="shared" si="12"/>
        <v>66.483121030317307</v>
      </c>
      <c r="M27" s="357">
        <f t="shared" si="12"/>
        <v>67.804473060795317</v>
      </c>
      <c r="N27" s="357">
        <f t="shared" si="12"/>
        <v>69.152086962878457</v>
      </c>
      <c r="O27" s="357">
        <f t="shared" si="12"/>
        <v>70.526484691265068</v>
      </c>
      <c r="P27" s="357">
        <f t="shared" si="12"/>
        <v>71.928198574503767</v>
      </c>
      <c r="Q27" s="357">
        <f t="shared" si="12"/>
        <v>73.357771521170434</v>
      </c>
      <c r="R27" s="357">
        <f t="shared" si="12"/>
        <v>74.815757230155214</v>
      </c>
      <c r="S27" s="357">
        <f t="shared" si="12"/>
        <v>76.302720405104992</v>
      </c>
      <c r="T27" s="357">
        <f t="shared" si="12"/>
        <v>77.819236973155057</v>
      </c>
      <c r="U27" s="357">
        <f t="shared" si="12"/>
        <v>79.365894307997223</v>
      </c>
      <c r="V27" s="357">
        <f t="shared" si="12"/>
        <v>80.943291457369924</v>
      </c>
      <c r="W27" s="357">
        <f t="shared" ref="W27:AB27" si="13">W25-W26</f>
        <v>82.55203937508486</v>
      </c>
      <c r="X27" s="357">
        <f t="shared" si="13"/>
        <v>84.19276115766661</v>
      </c>
      <c r="Y27" s="357">
        <f t="shared" si="13"/>
        <v>85.866092285674313</v>
      </c>
      <c r="Z27" s="357">
        <f t="shared" si="13"/>
        <v>87.572680869852775</v>
      </c>
      <c r="AA27" s="357">
        <f t="shared" si="13"/>
        <v>89.31318790214209</v>
      </c>
      <c r="AB27" s="357">
        <f t="shared" si="13"/>
        <v>91.088287511696763</v>
      </c>
    </row>
    <row r="28" spans="1:28" ht="14" x14ac:dyDescent="0.2">
      <c r="A28" s="34"/>
      <c r="B28" s="351" t="s">
        <v>451</v>
      </c>
      <c r="C28" s="352"/>
      <c r="D28" s="357">
        <f>NPV(Customer_Discount_Rate,D27:AB27)</f>
        <v>876.08977443651042</v>
      </c>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row>
    <row r="29" spans="1:28" ht="14" x14ac:dyDescent="0.2">
      <c r="A29" s="34"/>
      <c r="B29" s="351"/>
      <c r="C29" s="352"/>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row>
    <row r="30" spans="1:28" ht="14" x14ac:dyDescent="0.2">
      <c r="A30" s="34"/>
      <c r="B30" s="397" t="s">
        <v>140</v>
      </c>
      <c r="C30" s="352"/>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row>
    <row r="31" spans="1:28" ht="14" x14ac:dyDescent="0.2">
      <c r="A31" s="34"/>
      <c r="B31" s="355" t="s">
        <v>394</v>
      </c>
      <c r="C31" s="352"/>
      <c r="D31" s="359"/>
      <c r="E31" s="359"/>
      <c r="F31" s="359"/>
      <c r="G31" s="359"/>
      <c r="H31" s="359"/>
      <c r="I31" s="359"/>
      <c r="J31" s="357">
        <f>NPV(Customer_Discount_Rate,Unstructured!K87:$AB$87)</f>
        <v>58787.20435260528</v>
      </c>
      <c r="K31" s="357">
        <f>NPV(Customer_Discount_Rate,Unstructured!L87:$AB$87)</f>
        <v>58086.583290947725</v>
      </c>
      <c r="L31" s="357">
        <f>NPV(Customer_Discount_Rate,Unstructured!M87:$AB$87)</f>
        <v>57260.059116605662</v>
      </c>
      <c r="M31" s="357">
        <f>NPV(Customer_Discount_Rate,Unstructured!N87:$AB$87)</f>
        <v>56298.414063785618</v>
      </c>
      <c r="N31" s="357">
        <f>NPV(Customer_Discount_Rate,Unstructured!O87:$AB$87)</f>
        <v>55191.84430220745</v>
      </c>
      <c r="O31" s="357">
        <f>NPV(Customer_Discount_Rate,Unstructured!P87:$AB$87)</f>
        <v>53929.924118691291</v>
      </c>
      <c r="P31" s="357">
        <f>NPV(Customer_Discount_Rate,Unstructured!Q87:$AB$87)</f>
        <v>52501.567936656276</v>
      </c>
      <c r="Q31" s="357">
        <f>NPV(Customer_Discount_Rate,Unstructured!R87:$AB$87)</f>
        <v>50894.990043548976</v>
      </c>
      <c r="R31" s="357">
        <f>NPV(Customer_Discount_Rate,Unstructured!S87:$AB$87)</f>
        <v>49097.661888414121</v>
      </c>
      <c r="S31" s="357">
        <f>NPV(Customer_Discount_Rate,Unstructured!T87:$AB$87)</f>
        <v>47096.26680354878</v>
      </c>
      <c r="T31" s="357">
        <f>NPV(Customer_Discount_Rate,Unstructured!U87:$AB$87)</f>
        <v>44876.651995411507</v>
      </c>
      <c r="U31" s="357">
        <f>NPV(Customer_Discount_Rate,Unstructured!V87:$AB$87)</f>
        <v>42423.77764066332</v>
      </c>
      <c r="V31" s="357">
        <f>NPV(Customer_Discount_Rate,Unstructured!W87:$AB$87)</f>
        <v>39721.662913364402</v>
      </c>
      <c r="W31" s="357">
        <f>NPV(Customer_Discount_Rate,Unstructured!X87:$AB$87)</f>
        <v>36753.328758906115</v>
      </c>
      <c r="X31" s="357">
        <f>NPV(Customer_Discount_Rate,Unstructured!Y87:$AB$87)</f>
        <v>33500.737219186791</v>
      </c>
      <c r="Y31" s="357">
        <f>NPV(Customer_Discount_Rate,Unstructured!Z87:$AB$87)</f>
        <v>29944.727101804918</v>
      </c>
      <c r="Z31" s="357">
        <f>NPV(Customer_Discount_Rate,Unstructured!AA87:$AB$87)</f>
        <v>26064.945773603162</v>
      </c>
      <c r="AA31" s="357">
        <f>NPV(Customer_Discount_Rate,Unstructured!AB87:$AB$87)</f>
        <v>21839.776845711058</v>
      </c>
      <c r="AB31" s="357">
        <f>NPV(Customer_Discount_Rate,Unstructured!$AB87:AC$87)</f>
        <v>21839.776845711058</v>
      </c>
    </row>
    <row r="32" spans="1:28" ht="14" x14ac:dyDescent="0.2">
      <c r="A32" s="34"/>
      <c r="B32" s="355" t="s">
        <v>395</v>
      </c>
      <c r="C32" s="352"/>
      <c r="D32" s="359"/>
      <c r="E32" s="359"/>
      <c r="F32" s="359"/>
      <c r="G32" s="359"/>
      <c r="H32" s="359"/>
      <c r="I32" s="359"/>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row>
    <row r="33" spans="1:28" ht="14" x14ac:dyDescent="0.2">
      <c r="A33" s="34"/>
      <c r="B33" s="355" t="s">
        <v>393</v>
      </c>
      <c r="C33" s="352"/>
      <c r="D33" s="359"/>
      <c r="E33" s="359"/>
      <c r="F33" s="359"/>
      <c r="G33" s="359"/>
      <c r="H33" s="359"/>
      <c r="I33" s="359"/>
      <c r="J33" s="358">
        <f t="shared" ref="J33:V33" si="14">NPV(Customer_Discount_Rate,J32:W32)</f>
        <v>0</v>
      </c>
      <c r="K33" s="358">
        <f>NPV(Customer_Discount_Rate,K32:AB32)</f>
        <v>0</v>
      </c>
      <c r="L33" s="358">
        <f t="shared" si="14"/>
        <v>0</v>
      </c>
      <c r="M33" s="358">
        <f t="shared" si="14"/>
        <v>0</v>
      </c>
      <c r="N33" s="358">
        <f t="shared" si="14"/>
        <v>0</v>
      </c>
      <c r="O33" s="358">
        <f t="shared" si="14"/>
        <v>0</v>
      </c>
      <c r="P33" s="358">
        <f t="shared" si="14"/>
        <v>0</v>
      </c>
      <c r="Q33" s="358">
        <f t="shared" si="14"/>
        <v>0</v>
      </c>
      <c r="R33" s="358">
        <f t="shared" si="14"/>
        <v>0</v>
      </c>
      <c r="S33" s="358">
        <f t="shared" si="14"/>
        <v>0</v>
      </c>
      <c r="T33" s="358">
        <f t="shared" si="14"/>
        <v>0</v>
      </c>
      <c r="U33" s="358">
        <f t="shared" si="14"/>
        <v>0</v>
      </c>
      <c r="V33" s="358">
        <f t="shared" si="14"/>
        <v>0</v>
      </c>
      <c r="W33" s="358">
        <f t="shared" ref="W33:AB33" si="15">NPV(Customer_Discount_Rate,W32:AJ32)</f>
        <v>0</v>
      </c>
      <c r="X33" s="358">
        <f t="shared" si="15"/>
        <v>0</v>
      </c>
      <c r="Y33" s="358">
        <f t="shared" si="15"/>
        <v>0</v>
      </c>
      <c r="Z33" s="358">
        <f t="shared" si="15"/>
        <v>0</v>
      </c>
      <c r="AA33" s="358">
        <f t="shared" si="15"/>
        <v>0</v>
      </c>
      <c r="AB33" s="358">
        <f t="shared" si="15"/>
        <v>0</v>
      </c>
    </row>
    <row r="34" spans="1:28" ht="14" x14ac:dyDescent="0.2">
      <c r="A34" s="34"/>
      <c r="B34" s="361" t="s">
        <v>210</v>
      </c>
      <c r="C34" s="352"/>
      <c r="D34" s="359"/>
      <c r="E34" s="359"/>
      <c r="F34" s="359"/>
      <c r="G34" s="359"/>
      <c r="H34" s="359"/>
      <c r="I34" s="359"/>
      <c r="J34" s="357">
        <f>SUM(J31+J33)</f>
        <v>58787.20435260528</v>
      </c>
      <c r="K34" s="357">
        <f t="shared" ref="K34:V34" si="16">SUM(K31+K33)</f>
        <v>58086.583290947725</v>
      </c>
      <c r="L34" s="357">
        <f t="shared" si="16"/>
        <v>57260.059116605662</v>
      </c>
      <c r="M34" s="357">
        <f t="shared" si="16"/>
        <v>56298.414063785618</v>
      </c>
      <c r="N34" s="357">
        <f t="shared" si="16"/>
        <v>55191.84430220745</v>
      </c>
      <c r="O34" s="357">
        <f t="shared" si="16"/>
        <v>53929.924118691291</v>
      </c>
      <c r="P34" s="357">
        <f t="shared" si="16"/>
        <v>52501.567936656276</v>
      </c>
      <c r="Q34" s="357">
        <f t="shared" si="16"/>
        <v>50894.990043548976</v>
      </c>
      <c r="R34" s="357">
        <f t="shared" si="16"/>
        <v>49097.661888414121</v>
      </c>
      <c r="S34" s="357">
        <f t="shared" si="16"/>
        <v>47096.26680354878</v>
      </c>
      <c r="T34" s="357">
        <f t="shared" si="16"/>
        <v>44876.651995411507</v>
      </c>
      <c r="U34" s="357">
        <f t="shared" si="16"/>
        <v>42423.77764066332</v>
      </c>
      <c r="V34" s="357">
        <f t="shared" si="16"/>
        <v>39721.662913364402</v>
      </c>
      <c r="W34" s="357">
        <f t="shared" ref="W34:AB34" si="17">SUM(W31+W33)</f>
        <v>36753.328758906115</v>
      </c>
      <c r="X34" s="357">
        <f t="shared" si="17"/>
        <v>33500.737219186791</v>
      </c>
      <c r="Y34" s="357">
        <f t="shared" si="17"/>
        <v>29944.727101804918</v>
      </c>
      <c r="Z34" s="357">
        <f t="shared" si="17"/>
        <v>26064.945773603162</v>
      </c>
      <c r="AA34" s="357">
        <f t="shared" si="17"/>
        <v>21839.776845711058</v>
      </c>
      <c r="AB34" s="357">
        <f t="shared" si="17"/>
        <v>21839.776845711058</v>
      </c>
    </row>
    <row r="35" spans="1:28" ht="14" x14ac:dyDescent="0.2">
      <c r="A35" s="34"/>
      <c r="B35" s="360"/>
      <c r="C35" s="352"/>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row>
    <row r="36" spans="1:28" ht="14" x14ac:dyDescent="0.2">
      <c r="A36" s="34"/>
      <c r="B36" s="361" t="s">
        <v>391</v>
      </c>
      <c r="C36" s="352"/>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row>
    <row r="37" spans="1:28" ht="14" x14ac:dyDescent="0.2">
      <c r="A37" s="34"/>
      <c r="B37" s="361" t="s">
        <v>472</v>
      </c>
      <c r="C37" s="352"/>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row>
    <row r="38" spans="1:28" ht="14" x14ac:dyDescent="0.2">
      <c r="A38" s="34"/>
      <c r="B38" s="355" t="s">
        <v>396</v>
      </c>
      <c r="C38" s="352"/>
      <c r="D38" s="354">
        <f>SUM(D21:AB21)</f>
        <v>2169458.604134921</v>
      </c>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row>
    <row r="39" spans="1:28" ht="14" x14ac:dyDescent="0.2">
      <c r="A39" s="34"/>
      <c r="B39" s="355" t="s">
        <v>473</v>
      </c>
      <c r="C39" s="352"/>
      <c r="D39" s="357">
        <f>SUM(D25:AB25)</f>
        <v>216910.86100058703</v>
      </c>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row>
    <row r="40" spans="1:28" ht="14" x14ac:dyDescent="0.2">
      <c r="A40" s="34"/>
      <c r="B40" s="361" t="s">
        <v>398</v>
      </c>
      <c r="C40" s="352"/>
      <c r="D40" s="356">
        <f>D39/D38</f>
        <v>9.9983867213304572E-2</v>
      </c>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row>
    <row r="41" spans="1:28" ht="14" x14ac:dyDescent="0.2">
      <c r="A41" s="34"/>
      <c r="B41" s="361"/>
      <c r="C41" s="352"/>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row>
    <row r="42" spans="1:28" ht="14" x14ac:dyDescent="0.2">
      <c r="A42" s="34"/>
      <c r="B42" s="361" t="s">
        <v>400</v>
      </c>
      <c r="C42" s="352"/>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row>
    <row r="43" spans="1:28" ht="14" x14ac:dyDescent="0.2">
      <c r="A43" s="34"/>
      <c r="B43" s="355" t="s">
        <v>385</v>
      </c>
      <c r="C43" s="352"/>
      <c r="D43" s="354">
        <f>SUM(D21:AB21)</f>
        <v>2169458.604134921</v>
      </c>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row>
    <row r="44" spans="1:28" ht="14" x14ac:dyDescent="0.2">
      <c r="A44" s="34"/>
      <c r="B44" s="355" t="s">
        <v>386</v>
      </c>
      <c r="C44" s="352"/>
      <c r="D44" s="357">
        <f>SUM(D26:AB26)</f>
        <v>215094.49356474137</v>
      </c>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row>
    <row r="45" spans="1:28" ht="14" x14ac:dyDescent="0.2">
      <c r="A45" s="34"/>
      <c r="B45" s="361" t="s">
        <v>397</v>
      </c>
      <c r="C45" s="352"/>
      <c r="D45" s="362">
        <f>D44/D43</f>
        <v>9.9146622643445662E-2</v>
      </c>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row>
    <row r="46" spans="1:28" ht="14" x14ac:dyDescent="0.2">
      <c r="A46" s="34"/>
      <c r="B46" s="361"/>
      <c r="C46" s="352"/>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row>
    <row r="47" spans="1:28" ht="14" x14ac:dyDescent="0.2">
      <c r="A47" s="34"/>
      <c r="B47" s="603" t="s">
        <v>404</v>
      </c>
      <c r="C47" s="352"/>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row>
    <row r="48" spans="1:28" ht="14" x14ac:dyDescent="0.2">
      <c r="A48" s="34"/>
      <c r="B48" s="603"/>
      <c r="C48" s="352"/>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row>
    <row r="49" spans="1:28" ht="14" x14ac:dyDescent="0.2">
      <c r="A49" s="34"/>
      <c r="B49" s="355" t="s">
        <v>295</v>
      </c>
      <c r="C49" s="357">
        <f>-Unstructured!C80</f>
        <v>114975.09002171065</v>
      </c>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row>
    <row r="50" spans="1:28" ht="14" x14ac:dyDescent="0.2">
      <c r="A50" s="34"/>
      <c r="B50" s="355" t="s">
        <v>296</v>
      </c>
      <c r="C50" s="364"/>
      <c r="D50" s="359"/>
      <c r="E50" s="359"/>
      <c r="F50" s="359"/>
      <c r="G50" s="359"/>
      <c r="H50" s="359"/>
      <c r="I50" s="359"/>
      <c r="J50" s="357">
        <f t="shared" ref="J50:V50" si="18">J31</f>
        <v>58787.20435260528</v>
      </c>
      <c r="K50" s="357">
        <f t="shared" si="18"/>
        <v>58086.583290947725</v>
      </c>
      <c r="L50" s="357">
        <f t="shared" si="18"/>
        <v>57260.059116605662</v>
      </c>
      <c r="M50" s="357">
        <f t="shared" si="18"/>
        <v>56298.414063785618</v>
      </c>
      <c r="N50" s="357">
        <f t="shared" si="18"/>
        <v>55191.84430220745</v>
      </c>
      <c r="O50" s="357">
        <f t="shared" si="18"/>
        <v>53929.924118691291</v>
      </c>
      <c r="P50" s="357">
        <f t="shared" si="18"/>
        <v>52501.567936656276</v>
      </c>
      <c r="Q50" s="357">
        <f t="shared" si="18"/>
        <v>50894.990043548976</v>
      </c>
      <c r="R50" s="357">
        <f t="shared" si="18"/>
        <v>49097.661888414121</v>
      </c>
      <c r="S50" s="357">
        <f t="shared" si="18"/>
        <v>47096.26680354878</v>
      </c>
      <c r="T50" s="357">
        <f t="shared" si="18"/>
        <v>44876.651995411507</v>
      </c>
      <c r="U50" s="357">
        <f t="shared" si="18"/>
        <v>42423.77764066332</v>
      </c>
      <c r="V50" s="357">
        <f t="shared" si="18"/>
        <v>39721.662913364402</v>
      </c>
      <c r="W50" s="357">
        <f t="shared" ref="W50:AB50" si="19">W31</f>
        <v>36753.328758906115</v>
      </c>
      <c r="X50" s="357">
        <f t="shared" si="19"/>
        <v>33500.737219186791</v>
      </c>
      <c r="Y50" s="357">
        <f t="shared" si="19"/>
        <v>29944.727101804918</v>
      </c>
      <c r="Z50" s="357">
        <f t="shared" si="19"/>
        <v>26064.945773603162</v>
      </c>
      <c r="AA50" s="357">
        <f t="shared" si="19"/>
        <v>21839.776845711058</v>
      </c>
      <c r="AB50" s="357">
        <f t="shared" si="19"/>
        <v>21839.776845711058</v>
      </c>
    </row>
    <row r="51" spans="1:28" ht="14" x14ac:dyDescent="0.2">
      <c r="A51" s="34"/>
      <c r="B51" s="355" t="s">
        <v>389</v>
      </c>
      <c r="C51" s="357">
        <v>0</v>
      </c>
      <c r="D51" s="357">
        <v>0</v>
      </c>
      <c r="E51" s="357">
        <f>SUM($D$26:E26)</f>
        <v>13585.821658766374</v>
      </c>
      <c r="F51" s="357">
        <f>SUM($D$26:F26)</f>
        <v>20581.910367986504</v>
      </c>
      <c r="G51" s="357">
        <f>SUM($D$26:G26)</f>
        <v>27717.046340302382</v>
      </c>
      <c r="H51" s="357">
        <f>SUM($D$26:H26)</f>
        <v>34993.993140068036</v>
      </c>
      <c r="I51" s="357">
        <f>SUM($D$26:I26)</f>
        <v>42415.569257479037</v>
      </c>
      <c r="J51" s="357">
        <f>SUM($D$26:J26)</f>
        <v>49984.649200223583</v>
      </c>
      <c r="K51" s="357">
        <f>SUM($D$26:K26)</f>
        <v>57704.164606830171</v>
      </c>
      <c r="L51" s="357">
        <f>SUM($D$26:L26)</f>
        <v>65577.105382143069</v>
      </c>
      <c r="M51" s="357">
        <f>SUM($D$26:M26)</f>
        <v>73606.520855365306</v>
      </c>
      <c r="N51" s="357">
        <f>SUM($D$26:N26)</f>
        <v>81795.520961117829</v>
      </c>
      <c r="O51" s="357">
        <f>SUM($D$26:O26)</f>
        <v>90147.277443972183</v>
      </c>
      <c r="P51" s="357">
        <f>SUM($D$26:P26)</f>
        <v>98665.02508692327</v>
      </c>
      <c r="Q51" s="357">
        <f>SUM($D$26:Q26)</f>
        <v>107352.06296427801</v>
      </c>
      <c r="R51" s="357">
        <f>SUM($D$26:R26)</f>
        <v>116211.75571944518</v>
      </c>
      <c r="S51" s="357">
        <f>SUM($D$26:S26)</f>
        <v>125247.53486812129</v>
      </c>
      <c r="T51" s="357">
        <f>SUM($D$26:T26)</f>
        <v>134462.90012737733</v>
      </c>
      <c r="U51" s="357">
        <f>SUM($D$26:U26)</f>
        <v>143861.42077116109</v>
      </c>
      <c r="V51" s="357">
        <f>SUM($D$26:V26)</f>
        <v>153446.73701274005</v>
      </c>
      <c r="W51" s="357">
        <f>SUM($D$26:W26)</f>
        <v>163222.5614146204</v>
      </c>
      <c r="X51" s="357">
        <f>SUM($D$26:X26)</f>
        <v>173192.68032648813</v>
      </c>
      <c r="Y51" s="357">
        <f>SUM($D$26:Y26)</f>
        <v>183360.95535172921</v>
      </c>
      <c r="Z51" s="357">
        <f>SUM($D$26:Z26)</f>
        <v>193731.32484309695</v>
      </c>
      <c r="AA51" s="357">
        <f>SUM($D$26:AA26)</f>
        <v>204307.80542810564</v>
      </c>
      <c r="AB51" s="357">
        <f>SUM($D$26:AB26)</f>
        <v>215094.49356474137</v>
      </c>
    </row>
    <row r="52" spans="1:28" ht="14" x14ac:dyDescent="0.2">
      <c r="A52" s="34"/>
      <c r="B52" s="355" t="s">
        <v>181</v>
      </c>
      <c r="C52" s="357">
        <f>NPV(Customer_Discount_Rate,Unstructured!D38:$AB$38)</f>
        <v>22724.098720519756</v>
      </c>
      <c r="D52" s="357">
        <f>NPV(Customer_Discount_Rate,Unstructured!E38:$AB$38)</f>
        <v>22616.112643750945</v>
      </c>
      <c r="E52" s="357">
        <f>NPV(Customer_Discount_Rate,Unstructured!F38:$AB$38)</f>
        <v>22472.218762376007</v>
      </c>
      <c r="F52" s="357">
        <f>NPV(Customer_Discount_Rate,Unstructured!G38:$AB$38)</f>
        <v>22289.674035318567</v>
      </c>
      <c r="G52" s="357">
        <f>NPV(Customer_Discount_Rate,Unstructured!H38:$AB$38)</f>
        <v>22065.559067581678</v>
      </c>
      <c r="H52" s="357">
        <f>NPV(Customer_Discount_Rate,Unstructured!I38:$AB$38)</f>
        <v>21796.767293583467</v>
      </c>
      <c r="I52" s="357">
        <f>NPV(Customer_Discount_Rate,Unstructured!J38:$AB$38)</f>
        <v>21479.993506784289</v>
      </c>
      <c r="J52" s="357">
        <f>NPV(Customer_Discount_Rate,Unstructured!K38:$AB$38)</f>
        <v>21111.721696288878</v>
      </c>
      <c r="K52" s="357">
        <f>NPV(Customer_Discount_Rate,Unstructured!L38:$AB$38)</f>
        <v>20688.212148745697</v>
      </c>
      <c r="L52" s="357">
        <f>NPV(Customer_Discount_Rate,Unstructured!M38:$AB$38)</f>
        <v>20205.487771363511</v>
      </c>
      <c r="M52" s="357">
        <f>NPV(Customer_Discount_Rate,Unstructured!N38:$AB$38)</f>
        <v>19659.319589212264</v>
      </c>
      <c r="N52" s="357">
        <f>NPV(Customer_Discount_Rate,Unstructured!O38:$AB$38)</f>
        <v>19045.21136716328</v>
      </c>
      <c r="O52" s="357">
        <f>NPV(Customer_Discount_Rate,Unstructured!P38:$AB$38)</f>
        <v>18358.383303843315</v>
      </c>
      <c r="P52" s="357">
        <f>NPV(Customer_Discount_Rate,Unstructured!Q38:$AB$38)</f>
        <v>17593.754741817156</v>
      </c>
      <c r="Q52" s="357">
        <f>NPV(Customer_Discount_Rate,Unstructured!R38:$AB$38)</f>
        <v>16745.925834864298</v>
      </c>
      <c r="R52" s="357">
        <f>NPV(Customer_Discount_Rate,Unstructured!S38:$AB$38)</f>
        <v>15809.158109665028</v>
      </c>
      <c r="S52" s="357">
        <f>NPV(Customer_Discount_Rate,Unstructured!T38:$AB$38)</f>
        <v>14777.353855447982</v>
      </c>
      <c r="T52" s="357">
        <f>NPV(Customer_Discount_Rate,Unstructured!U38:$AB$38)</f>
        <v>13644.034271161972</v>
      </c>
      <c r="U52" s="357">
        <f>NPV(Customer_Discount_Rate,Unstructured!V38:$AB$38)</f>
        <v>12402.316295506542</v>
      </c>
      <c r="V52" s="357">
        <f>NPV(Customer_Discount_Rate,Unstructured!W38:$AB$38)</f>
        <v>11044.888040673286</v>
      </c>
      <c r="W52" s="357">
        <f>NPV(Customer_Discount_Rate,Unstructured!X38:$AB$38)</f>
        <v>9563.9827458987602</v>
      </c>
      <c r="X52" s="357">
        <f>NPV(Customer_Discount_Rate,Unstructured!Y38:$AB$38)</f>
        <v>7951.3511618934635</v>
      </c>
      <c r="Y52" s="357">
        <f>NPV(Customer_Discount_Rate,Unstructured!Z38:$AB$38)</f>
        <v>6198.2322718726673</v>
      </c>
      <c r="Z52" s="357">
        <f>NPV(Customer_Discount_Rate,Unstructured!AA38:$AB$38)</f>
        <v>4295.3222492559325</v>
      </c>
      <c r="AA52" s="357">
        <f>NPV(Customer_Discount_Rate,Unstructured!AB38:$AB$38)</f>
        <v>2232.7415461036126</v>
      </c>
      <c r="AB52" s="357">
        <f>NPV(Customer_Discount_Rate,Unstructured!$AB38:AC$38)</f>
        <v>2232.7415461036126</v>
      </c>
    </row>
    <row r="53" spans="1:28" ht="14" x14ac:dyDescent="0.2">
      <c r="A53" s="34"/>
      <c r="B53" s="360" t="s">
        <v>182</v>
      </c>
      <c r="C53" s="344">
        <f>SUM(C49:C52)</f>
        <v>137699.18874223041</v>
      </c>
      <c r="D53" s="357">
        <f>SUM(D49:D52)</f>
        <v>22616.112643750945</v>
      </c>
      <c r="E53" s="357">
        <f t="shared" ref="E53:V53" si="20">SUM(E49:E52)</f>
        <v>36058.040421142381</v>
      </c>
      <c r="F53" s="357">
        <f t="shared" si="20"/>
        <v>42871.584403305067</v>
      </c>
      <c r="G53" s="357">
        <f t="shared" si="20"/>
        <v>49782.605407884061</v>
      </c>
      <c r="H53" s="357">
        <f t="shared" si="20"/>
        <v>56790.760433651507</v>
      </c>
      <c r="I53" s="357">
        <f t="shared" si="20"/>
        <v>63895.562764263326</v>
      </c>
      <c r="J53" s="357">
        <f t="shared" si="20"/>
        <v>129883.57524911774</v>
      </c>
      <c r="K53" s="357">
        <f t="shared" si="20"/>
        <v>136478.9600465236</v>
      </c>
      <c r="L53" s="357">
        <f t="shared" si="20"/>
        <v>143042.65227011224</v>
      </c>
      <c r="M53" s="357">
        <f t="shared" si="20"/>
        <v>149564.2545083632</v>
      </c>
      <c r="N53" s="357">
        <f t="shared" si="20"/>
        <v>156032.57663048856</v>
      </c>
      <c r="O53" s="357">
        <f t="shared" si="20"/>
        <v>162435.5848665068</v>
      </c>
      <c r="P53" s="357">
        <f t="shared" si="20"/>
        <v>168760.3477653967</v>
      </c>
      <c r="Q53" s="357">
        <f t="shared" si="20"/>
        <v>174992.97884269129</v>
      </c>
      <c r="R53" s="357">
        <f t="shared" si="20"/>
        <v>181118.57571752433</v>
      </c>
      <c r="S53" s="357">
        <f t="shared" si="20"/>
        <v>187121.15552711807</v>
      </c>
      <c r="T53" s="357">
        <f t="shared" si="20"/>
        <v>192983.58639395083</v>
      </c>
      <c r="U53" s="357">
        <f t="shared" si="20"/>
        <v>198687.51470733096</v>
      </c>
      <c r="V53" s="357">
        <f t="shared" si="20"/>
        <v>204213.28796677775</v>
      </c>
      <c r="W53" s="357">
        <f t="shared" ref="W53:AB53" si="21">SUM(W49:W52)</f>
        <v>209539.87291942528</v>
      </c>
      <c r="X53" s="357">
        <f t="shared" si="21"/>
        <v>214644.76870756838</v>
      </c>
      <c r="Y53" s="357">
        <f t="shared" si="21"/>
        <v>219503.91472540679</v>
      </c>
      <c r="Z53" s="357">
        <f t="shared" si="21"/>
        <v>224091.59286595604</v>
      </c>
      <c r="AA53" s="357">
        <f t="shared" si="21"/>
        <v>228380.3238199203</v>
      </c>
      <c r="AB53" s="357">
        <f t="shared" si="21"/>
        <v>239167.01195655603</v>
      </c>
    </row>
    <row r="54" spans="1:28" ht="14" x14ac:dyDescent="0.2">
      <c r="A54" s="34"/>
      <c r="B54" s="366"/>
      <c r="C54" s="604" t="s">
        <v>403</v>
      </c>
      <c r="D54" s="604"/>
      <c r="E54" s="367"/>
      <c r="F54" s="367"/>
      <c r="G54" s="367"/>
      <c r="H54" s="367"/>
      <c r="I54" s="367"/>
      <c r="J54" s="367"/>
      <c r="K54" s="367"/>
      <c r="L54" s="367"/>
      <c r="M54" s="367"/>
      <c r="N54" s="367"/>
      <c r="O54" s="367"/>
      <c r="P54" s="367"/>
      <c r="Q54" s="367"/>
      <c r="R54" s="367"/>
      <c r="S54" s="367"/>
      <c r="T54" s="367"/>
      <c r="U54" s="367"/>
      <c r="V54" s="367"/>
      <c r="W54" s="367"/>
      <c r="X54" s="367"/>
      <c r="Y54" s="367"/>
      <c r="Z54" s="367"/>
      <c r="AA54" s="367"/>
      <c r="AB54" s="367"/>
    </row>
    <row r="55" spans="1:28" ht="14" customHeight="1" x14ac:dyDescent="0.2">
      <c r="A55" s="34"/>
      <c r="B55" s="368" t="s">
        <v>390</v>
      </c>
      <c r="C55" s="604"/>
      <c r="D55" s="604"/>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row>
    <row r="56" spans="1:28" ht="15" x14ac:dyDescent="0.2">
      <c r="A56" s="34"/>
      <c r="B56" s="355" t="s">
        <v>405</v>
      </c>
      <c r="C56" s="356">
        <f>$C$53/$D$43</f>
        <v>6.3471682971862203E-2</v>
      </c>
      <c r="D56" s="369" t="s">
        <v>399</v>
      </c>
      <c r="E56" s="370"/>
      <c r="F56" s="367"/>
      <c r="G56" s="367"/>
      <c r="H56" s="367"/>
      <c r="I56" s="367"/>
      <c r="J56" s="367"/>
      <c r="K56" s="367"/>
      <c r="L56" s="367"/>
      <c r="M56" s="367"/>
      <c r="N56" s="367"/>
      <c r="O56" s="367"/>
      <c r="P56" s="367"/>
      <c r="Q56" s="367"/>
      <c r="R56" s="367"/>
      <c r="S56" s="367"/>
      <c r="T56" s="367"/>
      <c r="U56" s="367"/>
      <c r="V56" s="367"/>
      <c r="W56" s="367"/>
      <c r="X56" s="367"/>
      <c r="Y56" s="367"/>
      <c r="Z56" s="367"/>
      <c r="AA56" s="367"/>
      <c r="AB56" s="367"/>
    </row>
    <row r="57" spans="1:28" ht="15" x14ac:dyDescent="0.2">
      <c r="A57" s="34"/>
      <c r="B57" s="355" t="s">
        <v>124</v>
      </c>
      <c r="C57" s="356">
        <f>$J$53/$D$43</f>
        <v>5.9869118959708964E-2</v>
      </c>
      <c r="D57" s="369" t="s">
        <v>399</v>
      </c>
      <c r="E57" s="370"/>
      <c r="F57" s="367"/>
      <c r="G57" s="367"/>
      <c r="H57" s="367"/>
      <c r="I57" s="367"/>
      <c r="J57" s="367"/>
      <c r="K57" s="367"/>
      <c r="L57" s="367"/>
      <c r="M57" s="367"/>
      <c r="N57" s="367"/>
      <c r="O57" s="367"/>
      <c r="P57" s="367"/>
      <c r="Q57" s="367"/>
      <c r="R57" s="367"/>
      <c r="S57" s="367"/>
      <c r="T57" s="367"/>
      <c r="U57" s="367"/>
      <c r="V57" s="367"/>
      <c r="W57" s="367"/>
      <c r="X57" s="367"/>
      <c r="Y57" s="367"/>
      <c r="Z57" s="367"/>
      <c r="AA57" s="367"/>
      <c r="AB57" s="367"/>
    </row>
    <row r="58" spans="1:28" ht="15" x14ac:dyDescent="0.2">
      <c r="A58" s="34"/>
      <c r="B58" s="355" t="s">
        <v>191</v>
      </c>
      <c r="C58" s="356">
        <f>$M$53/$D$43</f>
        <v>6.8940819715710797E-2</v>
      </c>
      <c r="D58" s="369" t="s">
        <v>399</v>
      </c>
      <c r="E58" s="370"/>
      <c r="F58" s="367"/>
      <c r="G58" s="367"/>
      <c r="H58" s="367"/>
      <c r="I58" s="367"/>
      <c r="J58" s="367"/>
      <c r="K58" s="367"/>
      <c r="L58" s="367"/>
      <c r="M58" s="367"/>
      <c r="N58" s="367"/>
      <c r="O58" s="367"/>
      <c r="P58" s="367"/>
      <c r="Q58" s="367"/>
      <c r="R58" s="367"/>
      <c r="S58" s="367"/>
      <c r="T58" s="367"/>
      <c r="U58" s="367"/>
      <c r="V58" s="367"/>
      <c r="W58" s="367"/>
      <c r="X58" s="367"/>
      <c r="Y58" s="367"/>
      <c r="Z58" s="367"/>
      <c r="AA58" s="367"/>
      <c r="AB58" s="367"/>
    </row>
    <row r="59" spans="1:28" ht="15" x14ac:dyDescent="0.2">
      <c r="A59" s="34"/>
      <c r="B59" s="355" t="s">
        <v>174</v>
      </c>
      <c r="C59" s="356">
        <f>$R$53/$D$43</f>
        <v>8.3485610360261281E-2</v>
      </c>
      <c r="D59" s="369" t="s">
        <v>399</v>
      </c>
      <c r="E59" s="370"/>
      <c r="F59" s="367"/>
      <c r="G59" s="367"/>
      <c r="H59" s="367"/>
      <c r="I59" s="367"/>
      <c r="J59" s="367"/>
      <c r="K59" s="367"/>
      <c r="L59" s="367"/>
      <c r="M59" s="367"/>
      <c r="N59" s="367"/>
      <c r="O59" s="367"/>
      <c r="P59" s="367"/>
      <c r="Q59" s="367"/>
      <c r="R59" s="367"/>
      <c r="S59" s="367"/>
      <c r="T59" s="367"/>
      <c r="U59" s="367"/>
      <c r="V59" s="367"/>
      <c r="W59" s="367"/>
      <c r="X59" s="367"/>
      <c r="Y59" s="367"/>
      <c r="Z59" s="367"/>
      <c r="AA59" s="367"/>
      <c r="AB59" s="367"/>
    </row>
    <row r="60" spans="1:28" ht="15" x14ac:dyDescent="0.2">
      <c r="A60" s="34"/>
      <c r="B60" s="355" t="s">
        <v>91</v>
      </c>
      <c r="C60" s="356">
        <f>$W$53/$D$43</f>
        <v>9.658625083698244E-2</v>
      </c>
      <c r="D60" s="369" t="s">
        <v>399</v>
      </c>
      <c r="E60" s="370"/>
      <c r="F60" s="367"/>
      <c r="G60" s="367"/>
      <c r="H60" s="367"/>
      <c r="I60" s="367"/>
      <c r="J60" s="367"/>
      <c r="K60" s="367"/>
      <c r="L60" s="367"/>
      <c r="M60" s="367"/>
      <c r="N60" s="367"/>
      <c r="O60" s="367"/>
      <c r="P60" s="367"/>
      <c r="Q60" s="367"/>
      <c r="R60" s="367"/>
      <c r="S60" s="367"/>
      <c r="T60" s="367"/>
      <c r="U60" s="367"/>
      <c r="V60" s="367"/>
      <c r="W60" s="367"/>
      <c r="X60" s="367"/>
      <c r="Y60" s="367"/>
      <c r="Z60" s="367"/>
      <c r="AA60" s="367"/>
      <c r="AB60" s="367"/>
    </row>
    <row r="61" spans="1:28" ht="16" thickBot="1" x14ac:dyDescent="0.25">
      <c r="A61" s="34"/>
      <c r="B61" s="371" t="s">
        <v>449</v>
      </c>
      <c r="C61" s="372">
        <f>$AB$53/$D$43</f>
        <v>0.11024271746910086</v>
      </c>
      <c r="D61" s="373" t="s">
        <v>399</v>
      </c>
      <c r="E61" s="374"/>
      <c r="F61" s="375"/>
      <c r="G61" s="375"/>
      <c r="H61" s="375"/>
      <c r="I61" s="375"/>
      <c r="J61" s="375"/>
      <c r="K61" s="375"/>
      <c r="L61" s="375"/>
      <c r="M61" s="375"/>
      <c r="N61" s="375"/>
      <c r="O61" s="375"/>
      <c r="P61" s="375"/>
      <c r="Q61" s="375"/>
      <c r="R61" s="375"/>
      <c r="S61" s="375"/>
      <c r="T61" s="375"/>
      <c r="U61" s="375"/>
      <c r="V61" s="375"/>
      <c r="W61" s="375"/>
      <c r="X61" s="375"/>
      <c r="Y61" s="375"/>
      <c r="Z61" s="375"/>
      <c r="AA61" s="375"/>
      <c r="AB61" s="375"/>
    </row>
    <row r="62" spans="1:28" ht="14" x14ac:dyDescent="0.2">
      <c r="A62" s="34"/>
      <c r="B62" s="376"/>
      <c r="C62" s="377"/>
      <c r="D62" s="365"/>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row>
    <row r="63" spans="1:28" ht="15" thickBot="1" x14ac:dyDescent="0.25">
      <c r="A63" s="34"/>
      <c r="B63" s="347"/>
      <c r="C63" s="377"/>
      <c r="D63" s="365"/>
      <c r="E63" s="365"/>
      <c r="F63" s="365"/>
      <c r="G63" s="365"/>
      <c r="H63" s="365"/>
      <c r="I63" s="365"/>
      <c r="J63" s="365"/>
      <c r="K63" s="365"/>
      <c r="L63" s="365"/>
      <c r="M63" s="365"/>
      <c r="N63" s="365"/>
      <c r="O63" s="365"/>
      <c r="P63" s="365"/>
      <c r="Q63" s="365"/>
      <c r="R63" s="365"/>
      <c r="S63" s="365"/>
      <c r="T63" s="365"/>
      <c r="U63" s="365"/>
      <c r="V63" s="365"/>
      <c r="W63" s="365"/>
      <c r="X63" s="365"/>
      <c r="Y63" s="365"/>
      <c r="Z63" s="365"/>
      <c r="AA63" s="365"/>
      <c r="AB63" s="365"/>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6"/>
      <c r="Q64" s="346"/>
      <c r="R64" s="346"/>
      <c r="S64" s="346"/>
      <c r="T64" s="346"/>
      <c r="U64" s="346"/>
      <c r="V64" s="346"/>
      <c r="W64" s="346"/>
      <c r="X64" s="346"/>
      <c r="Y64" s="346"/>
      <c r="Z64" s="346"/>
      <c r="AA64" s="346"/>
      <c r="AB64" s="346"/>
    </row>
    <row r="65" spans="1:28" ht="14" x14ac:dyDescent="0.2">
      <c r="A65" s="34"/>
      <c r="B65" s="348" t="s">
        <v>286</v>
      </c>
      <c r="C65" s="349">
        <v>0</v>
      </c>
      <c r="D65" s="350">
        <v>1</v>
      </c>
      <c r="E65" s="350">
        <v>2</v>
      </c>
      <c r="F65" s="350">
        <v>3</v>
      </c>
      <c r="G65" s="350">
        <v>4</v>
      </c>
      <c r="H65" s="350">
        <v>5</v>
      </c>
      <c r="I65" s="350">
        <v>6</v>
      </c>
      <c r="J65" s="350">
        <v>7</v>
      </c>
      <c r="K65" s="350">
        <v>8</v>
      </c>
      <c r="L65" s="350">
        <v>9</v>
      </c>
      <c r="M65" s="350">
        <v>10</v>
      </c>
      <c r="N65" s="350">
        <v>11</v>
      </c>
      <c r="O65" s="350">
        <v>12</v>
      </c>
      <c r="P65" s="350">
        <v>13</v>
      </c>
      <c r="Q65" s="350">
        <v>14</v>
      </c>
      <c r="R65" s="350">
        <v>15</v>
      </c>
      <c r="S65" s="350">
        <v>16</v>
      </c>
      <c r="T65" s="350">
        <v>17</v>
      </c>
      <c r="U65" s="350">
        <v>18</v>
      </c>
      <c r="V65" s="350">
        <v>19</v>
      </c>
      <c r="W65" s="350">
        <v>20</v>
      </c>
      <c r="X65" s="350">
        <v>21</v>
      </c>
      <c r="Y65" s="350">
        <v>22</v>
      </c>
      <c r="Z65" s="350">
        <v>23</v>
      </c>
      <c r="AA65" s="350">
        <v>24</v>
      </c>
      <c r="AB65" s="350">
        <v>25</v>
      </c>
    </row>
    <row r="66" spans="1:28" ht="14" x14ac:dyDescent="0.2">
      <c r="A66" s="34"/>
      <c r="B66" s="351" t="s">
        <v>267</v>
      </c>
      <c r="C66" s="378"/>
      <c r="D66" s="357">
        <f t="shared" ref="D66:V66" si="22">D25</f>
        <v>6782.8688681907088</v>
      </c>
      <c r="E66" s="357">
        <f t="shared" si="22"/>
        <v>6917.6783869459978</v>
      </c>
      <c r="F66" s="357">
        <f t="shared" si="22"/>
        <v>7055.1672448865484</v>
      </c>
      <c r="G66" s="357">
        <f t="shared" si="22"/>
        <v>7195.3886938786682</v>
      </c>
      <c r="H66" s="357">
        <f t="shared" si="22"/>
        <v>7338.3970441695055</v>
      </c>
      <c r="I66" s="357">
        <f t="shared" si="22"/>
        <v>7484.2476854223751</v>
      </c>
      <c r="J66" s="357">
        <f t="shared" si="22"/>
        <v>7632.9971081701433</v>
      </c>
      <c r="K66" s="357">
        <f t="shared" si="22"/>
        <v>7784.7029256950236</v>
      </c>
      <c r="L66" s="357">
        <f t="shared" si="22"/>
        <v>7939.4238963432117</v>
      </c>
      <c r="M66" s="357">
        <f t="shared" si="22"/>
        <v>8097.2199462830322</v>
      </c>
      <c r="N66" s="357">
        <f t="shared" si="22"/>
        <v>8258.1521927154063</v>
      </c>
      <c r="O66" s="357">
        <f t="shared" si="22"/>
        <v>8422.2829675456233</v>
      </c>
      <c r="P66" s="357">
        <f t="shared" si="22"/>
        <v>8589.6758415255917</v>
      </c>
      <c r="Q66" s="357">
        <f t="shared" si="22"/>
        <v>8760.3956488759122</v>
      </c>
      <c r="R66" s="357">
        <f t="shared" si="22"/>
        <v>8934.5085123973204</v>
      </c>
      <c r="S66" s="357">
        <f t="shared" si="22"/>
        <v>9112.0818690812175</v>
      </c>
      <c r="T66" s="357">
        <f t="shared" si="22"/>
        <v>9293.1844962292053</v>
      </c>
      <c r="U66" s="357">
        <f t="shared" si="22"/>
        <v>9477.8865380917614</v>
      </c>
      <c r="V66" s="357">
        <f t="shared" si="22"/>
        <v>9666.2595330363347</v>
      </c>
      <c r="W66" s="357">
        <f t="shared" ref="W66:AB66" si="23">W25</f>
        <v>9858.3764412554301</v>
      </c>
      <c r="X66" s="357">
        <f t="shared" si="23"/>
        <v>10054.311673025382</v>
      </c>
      <c r="Y66" s="357">
        <f t="shared" si="23"/>
        <v>10254.14111752676</v>
      </c>
      <c r="Z66" s="357">
        <f t="shared" si="23"/>
        <v>10457.942172237603</v>
      </c>
      <c r="AA66" s="357">
        <f t="shared" si="23"/>
        <v>10665.793772910825</v>
      </c>
      <c r="AB66" s="357">
        <f t="shared" si="23"/>
        <v>10877.776424147425</v>
      </c>
    </row>
    <row r="67" spans="1:28" ht="14" x14ac:dyDescent="0.2">
      <c r="A67" s="34"/>
      <c r="B67" s="351" t="s">
        <v>297</v>
      </c>
      <c r="C67" s="378"/>
      <c r="D67" s="357">
        <f>D66*(Taxpayer_Marginal_Rate+IF(Tax_Efficient_Status?="State &amp; Federal",State_Income_Tax_Rate,0))</f>
        <v>1593.9741840248164</v>
      </c>
      <c r="E67" s="357">
        <f t="shared" ref="E67:V67" si="24">E66*(Taxpayer_Marginal_Rate+IF(Tax_Efficient_Status?="State &amp; Federal",State_Income_Tax_Rate,0))</f>
        <v>1625.6544209323094</v>
      </c>
      <c r="F67" s="357">
        <f t="shared" si="24"/>
        <v>1657.9643025483388</v>
      </c>
      <c r="G67" s="357">
        <f t="shared" si="24"/>
        <v>1690.9163430614869</v>
      </c>
      <c r="H67" s="357">
        <f t="shared" si="24"/>
        <v>1724.5233053798338</v>
      </c>
      <c r="I67" s="357">
        <f t="shared" si="24"/>
        <v>1758.7982060742581</v>
      </c>
      <c r="J67" s="357">
        <f t="shared" si="24"/>
        <v>1793.7543204199835</v>
      </c>
      <c r="K67" s="357">
        <f t="shared" si="24"/>
        <v>1829.4051875383304</v>
      </c>
      <c r="L67" s="357">
        <f t="shared" si="24"/>
        <v>1865.7646156406547</v>
      </c>
      <c r="M67" s="357">
        <f t="shared" si="24"/>
        <v>1902.8466873765124</v>
      </c>
      <c r="N67" s="357">
        <f t="shared" si="24"/>
        <v>1940.6657652881204</v>
      </c>
      <c r="O67" s="357">
        <f t="shared" si="24"/>
        <v>1979.2364973732213</v>
      </c>
      <c r="P67" s="357">
        <f t="shared" si="24"/>
        <v>2018.5738227585139</v>
      </c>
      <c r="Q67" s="357">
        <f t="shared" si="24"/>
        <v>2058.692977485839</v>
      </c>
      <c r="R67" s="357">
        <f t="shared" si="24"/>
        <v>2099.6095004133704</v>
      </c>
      <c r="S67" s="357">
        <f t="shared" si="24"/>
        <v>2141.3392392340861</v>
      </c>
      <c r="T67" s="357">
        <f t="shared" si="24"/>
        <v>2183.8983566138631</v>
      </c>
      <c r="U67" s="357">
        <f t="shared" si="24"/>
        <v>2227.3033364515636</v>
      </c>
      <c r="V67" s="357">
        <f t="shared" si="24"/>
        <v>2271.5709902635385</v>
      </c>
      <c r="W67" s="357">
        <f t="shared" ref="W67:AB67" si="25">W66*(Taxpayer_Marginal_Rate+IF(Tax_Efficient_Status?="State &amp; Federal",State_Income_Tax_Rate,0))</f>
        <v>2316.718463695026</v>
      </c>
      <c r="X67" s="357">
        <f t="shared" si="25"/>
        <v>2362.7632431609645</v>
      </c>
      <c r="Y67" s="357">
        <f t="shared" si="25"/>
        <v>2409.7231626187886</v>
      </c>
      <c r="Z67" s="357">
        <f t="shared" si="25"/>
        <v>2457.6164104758363</v>
      </c>
      <c r="AA67" s="357">
        <f t="shared" si="25"/>
        <v>2506.461536634044</v>
      </c>
      <c r="AB67" s="357">
        <f t="shared" si="25"/>
        <v>2556.2774596746449</v>
      </c>
    </row>
    <row r="68" spans="1:28" ht="14" x14ac:dyDescent="0.2">
      <c r="B68" s="351" t="s">
        <v>299</v>
      </c>
      <c r="C68" s="357">
        <f>Unstructured!C87</f>
        <v>-114975.09002171065</v>
      </c>
      <c r="D68" s="357">
        <f>Unstructured!D87</f>
        <v>39296.834778176679</v>
      </c>
      <c r="E68" s="357">
        <f>Unstructured!E87</f>
        <v>10321.524163965469</v>
      </c>
      <c r="F68" s="357">
        <f>Unstructured!F87</f>
        <v>7770.5866757839731</v>
      </c>
      <c r="G68" s="357">
        <f>Unstructured!G87</f>
        <v>6271.3197254108272</v>
      </c>
      <c r="H68" s="357">
        <f>Unstructured!H87</f>
        <v>6348.8485931761634</v>
      </c>
      <c r="I68" s="357">
        <f>Unstructured!I87</f>
        <v>5246.4494523520143</v>
      </c>
      <c r="J68" s="357">
        <f>Unstructured!J87</f>
        <v>4145.6186961359308</v>
      </c>
      <c r="K68" s="357">
        <f>Unstructured!K87</f>
        <v>4227.8533228138876</v>
      </c>
      <c r="L68" s="357">
        <f>Unstructured!L87</f>
        <v>4311.7191717989135</v>
      </c>
      <c r="M68" s="357">
        <f>Unstructured!M87</f>
        <v>4397.2485998164002</v>
      </c>
      <c r="N68" s="357">
        <f>Unstructured!N87</f>
        <v>4484.474605405293</v>
      </c>
      <c r="O68" s="357">
        <f>Unstructured!O87</f>
        <v>4573.4308416486165</v>
      </c>
      <c r="P68" s="357">
        <f>Unstructured!P87</f>
        <v>4664.1516291564949</v>
      </c>
      <c r="Q68" s="357">
        <f>Unstructured!Q87</f>
        <v>4756.6719693066952</v>
      </c>
      <c r="R68" s="357">
        <f>Unstructured!R87</f>
        <v>4851.0275577477914</v>
      </c>
      <c r="S68" s="357">
        <f>Unstructured!S87</f>
        <v>4947.25479817018</v>
      </c>
      <c r="T68" s="357">
        <f>Unstructured!T87</f>
        <v>5045.3908163502065</v>
      </c>
      <c r="U68" s="357">
        <f>Unstructured!U87</f>
        <v>5145.4734744728876</v>
      </c>
      <c r="V68" s="357">
        <f>Unstructured!V87</f>
        <v>5247.5413857387121</v>
      </c>
      <c r="W68" s="357">
        <f>Unstructured!W87</f>
        <v>5351.6339292601579</v>
      </c>
      <c r="X68" s="357">
        <f>Unstructured!X87</f>
        <v>5457.7912652536907</v>
      </c>
      <c r="Y68" s="357">
        <f>Unstructured!Y87</f>
        <v>5566.0543505330834</v>
      </c>
      <c r="Z68" s="357">
        <f>Unstructured!Z87</f>
        <v>5676.4649543100541</v>
      </c>
      <c r="AA68" s="357">
        <f>Unstructured!AA87</f>
        <v>5789.0656743082945</v>
      </c>
      <c r="AB68" s="357">
        <f>Unstructured!AB87</f>
        <v>23150.163456453723</v>
      </c>
    </row>
    <row r="69" spans="1:28" ht="14" x14ac:dyDescent="0.2">
      <c r="A69" s="34"/>
      <c r="B69" s="351" t="s">
        <v>243</v>
      </c>
      <c r="C69" s="357">
        <f t="shared" ref="C69:V69" si="26">C68+C67</f>
        <v>-114975.09002171065</v>
      </c>
      <c r="D69" s="357">
        <f t="shared" si="26"/>
        <v>40890.808962201496</v>
      </c>
      <c r="E69" s="357">
        <f t="shared" si="26"/>
        <v>11947.178584897778</v>
      </c>
      <c r="F69" s="357">
        <f t="shared" si="26"/>
        <v>9428.5509783323123</v>
      </c>
      <c r="G69" s="357">
        <f t="shared" si="26"/>
        <v>7962.2360684723144</v>
      </c>
      <c r="H69" s="357">
        <f t="shared" si="26"/>
        <v>8073.3718985559972</v>
      </c>
      <c r="I69" s="357">
        <f t="shared" si="26"/>
        <v>7005.2476584262722</v>
      </c>
      <c r="J69" s="357">
        <f t="shared" si="26"/>
        <v>5939.3730165559145</v>
      </c>
      <c r="K69" s="357">
        <f t="shared" si="26"/>
        <v>6057.2585103522179</v>
      </c>
      <c r="L69" s="357">
        <f t="shared" si="26"/>
        <v>6177.483787439568</v>
      </c>
      <c r="M69" s="357">
        <f t="shared" si="26"/>
        <v>6300.095287192913</v>
      </c>
      <c r="N69" s="357">
        <f t="shared" si="26"/>
        <v>6425.1403706934134</v>
      </c>
      <c r="O69" s="357">
        <f t="shared" si="26"/>
        <v>6552.6673390218375</v>
      </c>
      <c r="P69" s="357">
        <f t="shared" si="26"/>
        <v>6682.7254519150083</v>
      </c>
      <c r="Q69" s="357">
        <f t="shared" si="26"/>
        <v>6815.3649467925343</v>
      </c>
      <c r="R69" s="357">
        <f t="shared" si="26"/>
        <v>6950.6370581611618</v>
      </c>
      <c r="S69" s="357">
        <f t="shared" si="26"/>
        <v>7088.5940374042657</v>
      </c>
      <c r="T69" s="357">
        <f t="shared" si="26"/>
        <v>7229.2891729640696</v>
      </c>
      <c r="U69" s="357">
        <f t="shared" si="26"/>
        <v>7372.7768109244516</v>
      </c>
      <c r="V69" s="357">
        <f t="shared" si="26"/>
        <v>7519.112376002251</v>
      </c>
      <c r="W69" s="357">
        <f t="shared" ref="W69:AB69" si="27">W68+W67</f>
        <v>7668.3523929551839</v>
      </c>
      <c r="X69" s="357">
        <f t="shared" si="27"/>
        <v>7820.5545084146552</v>
      </c>
      <c r="Y69" s="357">
        <f t="shared" si="27"/>
        <v>7975.777513151872</v>
      </c>
      <c r="Z69" s="357">
        <f t="shared" si="27"/>
        <v>8134.0813647858904</v>
      </c>
      <c r="AA69" s="357">
        <f t="shared" si="27"/>
        <v>8295.5272109423386</v>
      </c>
      <c r="AB69" s="357">
        <f t="shared" si="27"/>
        <v>25706.440916128369</v>
      </c>
    </row>
    <row r="70" spans="1:28" ht="14" x14ac:dyDescent="0.2">
      <c r="A70" s="34"/>
      <c r="B70" s="351" t="s">
        <v>244</v>
      </c>
      <c r="C70" s="357">
        <f>NPV(Customer_Discount_Rate,C68:AB68)</f>
        <v>-6535.8368892555445</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spans="1:28" ht="15" thickBot="1" x14ac:dyDescent="0.25">
      <c r="A71" s="34"/>
      <c r="B71" s="379" t="s">
        <v>114</v>
      </c>
      <c r="C71" s="380">
        <f>IRR(C69:AB69)</f>
        <v>8.0229392351944817E-2</v>
      </c>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spans="1:28" ht="14" x14ac:dyDescent="0.2">
      <c r="A72" s="34"/>
      <c r="B72" s="347"/>
      <c r="C72" s="377"/>
      <c r="D72" s="365"/>
      <c r="E72" s="365"/>
      <c r="F72" s="365"/>
      <c r="G72" s="365"/>
      <c r="H72" s="365"/>
      <c r="I72" s="365"/>
      <c r="J72" s="365"/>
      <c r="K72" s="365"/>
      <c r="L72" s="365"/>
      <c r="M72" s="365"/>
      <c r="N72" s="365"/>
      <c r="O72" s="365"/>
      <c r="P72" s="365"/>
      <c r="Q72" s="365"/>
      <c r="R72" s="365"/>
      <c r="S72" s="365"/>
      <c r="T72" s="365"/>
      <c r="U72" s="365"/>
      <c r="V72" s="365"/>
      <c r="W72" s="365"/>
      <c r="X72" s="365"/>
      <c r="Y72" s="365"/>
      <c r="Z72" s="365"/>
      <c r="AA72" s="365"/>
      <c r="AB72" s="365"/>
    </row>
    <row r="73" spans="1:28" ht="14" x14ac:dyDescent="0.2">
      <c r="A73" s="34"/>
      <c r="B73" s="347"/>
      <c r="C73" s="377"/>
      <c r="D73" s="365"/>
      <c r="E73" s="365"/>
      <c r="F73" s="365"/>
      <c r="G73" s="365"/>
      <c r="H73" s="365"/>
      <c r="I73" s="365"/>
      <c r="J73" s="365"/>
      <c r="K73" s="365"/>
      <c r="L73" s="365"/>
      <c r="M73" s="365"/>
      <c r="N73" s="365"/>
      <c r="O73" s="365"/>
      <c r="P73" s="365"/>
      <c r="Q73" s="365"/>
      <c r="R73" s="365"/>
      <c r="S73" s="365"/>
      <c r="T73" s="365"/>
      <c r="U73" s="365"/>
      <c r="V73" s="365"/>
      <c r="W73" s="365"/>
      <c r="X73" s="365"/>
      <c r="Y73" s="365"/>
      <c r="Z73" s="365"/>
      <c r="AA73" s="365"/>
      <c r="AB73" s="365"/>
    </row>
    <row r="74" spans="1:28" ht="15" thickBot="1" x14ac:dyDescent="0.25">
      <c r="A74" s="34"/>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spans="1:28" ht="15" thickTop="1" x14ac:dyDescent="0.2">
      <c r="A75" s="34"/>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row>
    <row r="76" spans="1:28" ht="19" x14ac:dyDescent="0.25">
      <c r="A76" s="34"/>
      <c r="B76" s="345" t="s">
        <v>363</v>
      </c>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row>
    <row r="77" spans="1:28" ht="19" x14ac:dyDescent="0.25">
      <c r="A77" s="34"/>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row>
    <row r="78" spans="1:28" ht="16" x14ac:dyDescent="0.2">
      <c r="A78" s="34"/>
      <c r="B78" s="600" t="s">
        <v>266</v>
      </c>
      <c r="C78" s="600"/>
      <c r="D78" s="600">
        <v>1</v>
      </c>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row>
    <row r="79" spans="1:28" ht="14" x14ac:dyDescent="0.2">
      <c r="B79" s="383" t="s">
        <v>286</v>
      </c>
      <c r="C79" s="384">
        <v>0</v>
      </c>
      <c r="D79" s="385">
        <v>1</v>
      </c>
      <c r="E79" s="385">
        <v>2</v>
      </c>
      <c r="F79" s="385">
        <v>3</v>
      </c>
      <c r="G79" s="385">
        <v>4</v>
      </c>
      <c r="H79" s="385">
        <v>5</v>
      </c>
      <c r="I79" s="385">
        <v>6</v>
      </c>
      <c r="J79" s="385">
        <v>7</v>
      </c>
      <c r="K79" s="385">
        <v>8</v>
      </c>
      <c r="L79" s="385">
        <v>9</v>
      </c>
      <c r="M79" s="385">
        <v>10</v>
      </c>
      <c r="N79" s="385">
        <v>11</v>
      </c>
      <c r="O79" s="385">
        <v>12</v>
      </c>
      <c r="P79" s="385">
        <v>13</v>
      </c>
      <c r="Q79" s="385">
        <v>14</v>
      </c>
      <c r="R79" s="385">
        <v>15</v>
      </c>
      <c r="S79" s="385">
        <v>16</v>
      </c>
      <c r="T79" s="385">
        <v>17</v>
      </c>
      <c r="U79" s="385">
        <v>18</v>
      </c>
      <c r="V79" s="385">
        <v>19</v>
      </c>
      <c r="W79" s="385">
        <v>20</v>
      </c>
      <c r="X79" s="385">
        <v>21</v>
      </c>
      <c r="Y79" s="385">
        <v>22</v>
      </c>
      <c r="Z79" s="385">
        <v>23</v>
      </c>
      <c r="AA79" s="385">
        <v>24</v>
      </c>
      <c r="AB79" s="385">
        <v>25</v>
      </c>
    </row>
    <row r="80" spans="1:28" ht="14" x14ac:dyDescent="0.2">
      <c r="B80" s="386" t="s">
        <v>298</v>
      </c>
      <c r="C80" s="387"/>
      <c r="D80" s="357">
        <f t="shared" ref="D80:V80" si="28">D27</f>
        <v>56.798364438558565</v>
      </c>
      <c r="E80" s="357">
        <f t="shared" si="28"/>
        <v>57.927231931774259</v>
      </c>
      <c r="F80" s="357">
        <f t="shared" si="28"/>
        <v>59.078535666418247</v>
      </c>
      <c r="G80" s="357">
        <f t="shared" si="28"/>
        <v>60.252721562788793</v>
      </c>
      <c r="H80" s="357">
        <f t="shared" si="28"/>
        <v>61.450244403848046</v>
      </c>
      <c r="I80" s="357">
        <f t="shared" si="28"/>
        <v>62.671568011374802</v>
      </c>
      <c r="J80" s="357">
        <f t="shared" si="28"/>
        <v>63.917165425600615</v>
      </c>
      <c r="K80" s="357">
        <f t="shared" si="28"/>
        <v>65.187519088434783</v>
      </c>
      <c r="L80" s="357">
        <f t="shared" si="28"/>
        <v>66.483121030317307</v>
      </c>
      <c r="M80" s="357">
        <f t="shared" si="28"/>
        <v>67.804473060795317</v>
      </c>
      <c r="N80" s="357">
        <f t="shared" si="28"/>
        <v>69.152086962878457</v>
      </c>
      <c r="O80" s="357">
        <f t="shared" si="28"/>
        <v>70.526484691265068</v>
      </c>
      <c r="P80" s="357">
        <f t="shared" si="28"/>
        <v>71.928198574503767</v>
      </c>
      <c r="Q80" s="357">
        <f t="shared" si="28"/>
        <v>73.357771521170434</v>
      </c>
      <c r="R80" s="357">
        <f t="shared" si="28"/>
        <v>74.815757230155214</v>
      </c>
      <c r="S80" s="357">
        <f t="shared" si="28"/>
        <v>76.302720405104992</v>
      </c>
      <c r="T80" s="357">
        <f t="shared" si="28"/>
        <v>77.819236973155057</v>
      </c>
      <c r="U80" s="357">
        <f t="shared" si="28"/>
        <v>79.365894307997223</v>
      </c>
      <c r="V80" s="357">
        <f t="shared" si="28"/>
        <v>80.943291457369924</v>
      </c>
      <c r="W80" s="357">
        <f t="shared" ref="W80:AB80" si="29">W27</f>
        <v>82.55203937508486</v>
      </c>
      <c r="X80" s="357">
        <f t="shared" si="29"/>
        <v>84.19276115766661</v>
      </c>
      <c r="Y80" s="357">
        <f t="shared" si="29"/>
        <v>85.866092285674313</v>
      </c>
      <c r="Z80" s="357">
        <f t="shared" si="29"/>
        <v>87.572680869852775</v>
      </c>
      <c r="AA80" s="357">
        <f t="shared" si="29"/>
        <v>89.31318790214209</v>
      </c>
      <c r="AB80" s="357">
        <f t="shared" si="29"/>
        <v>91.088287511696763</v>
      </c>
    </row>
    <row r="81" spans="1:28" ht="14" x14ac:dyDescent="0.2">
      <c r="B81" s="386" t="s">
        <v>450</v>
      </c>
      <c r="C81" s="387"/>
      <c r="D81" s="357">
        <f>D28</f>
        <v>876.08977443651042</v>
      </c>
      <c r="E81" s="367"/>
      <c r="F81" s="367"/>
      <c r="G81" s="367"/>
      <c r="H81" s="367"/>
      <c r="I81" s="367"/>
      <c r="J81" s="367"/>
      <c r="K81" s="367"/>
      <c r="L81" s="367"/>
      <c r="M81" s="367"/>
      <c r="N81" s="367"/>
      <c r="O81" s="367"/>
      <c r="P81" s="367"/>
      <c r="Q81" s="367"/>
      <c r="R81" s="367"/>
      <c r="S81" s="367"/>
      <c r="T81" s="367"/>
      <c r="U81" s="367"/>
      <c r="V81" s="367"/>
      <c r="W81" s="367"/>
      <c r="X81" s="367"/>
      <c r="Y81" s="367"/>
      <c r="Z81" s="367"/>
      <c r="AA81" s="367"/>
      <c r="AB81" s="367"/>
    </row>
    <row r="82" spans="1:28" ht="14" x14ac:dyDescent="0.2">
      <c r="B82" s="388"/>
      <c r="C82" s="38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row>
    <row r="83" spans="1:28" ht="14" x14ac:dyDescent="0.2">
      <c r="B83" s="601" t="s">
        <v>207</v>
      </c>
      <c r="C83" s="602"/>
      <c r="D83" s="357"/>
      <c r="E83" s="367"/>
      <c r="F83" s="367"/>
      <c r="G83" s="367"/>
      <c r="H83" s="367"/>
      <c r="I83" s="367"/>
      <c r="J83" s="367"/>
      <c r="K83" s="367"/>
      <c r="L83" s="367"/>
      <c r="M83" s="367"/>
      <c r="N83" s="367"/>
      <c r="O83" s="367"/>
      <c r="P83" s="367"/>
      <c r="Q83" s="367"/>
      <c r="R83" s="367"/>
      <c r="S83" s="367"/>
      <c r="T83" s="367"/>
      <c r="U83" s="367"/>
      <c r="V83" s="367"/>
      <c r="W83" s="367"/>
      <c r="X83" s="367"/>
      <c r="Y83" s="367"/>
      <c r="Z83" s="367"/>
      <c r="AA83" s="367"/>
      <c r="AB83" s="367"/>
    </row>
    <row r="84" spans="1:28" ht="14" x14ac:dyDescent="0.2">
      <c r="B84" s="389" t="s">
        <v>208</v>
      </c>
      <c r="C84" s="390">
        <f t="shared" ref="C84:C89" si="30">C56</f>
        <v>6.3471682971862203E-2</v>
      </c>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c r="AB84" s="367"/>
    </row>
    <row r="85" spans="1:28" ht="14" x14ac:dyDescent="0.2">
      <c r="B85" s="389" t="s">
        <v>209</v>
      </c>
      <c r="C85" s="390">
        <f t="shared" si="30"/>
        <v>5.9869118959708964E-2</v>
      </c>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c r="AB85" s="367"/>
    </row>
    <row r="86" spans="1:28" ht="14" x14ac:dyDescent="0.2">
      <c r="B86" s="389" t="s">
        <v>89</v>
      </c>
      <c r="C86" s="390">
        <f t="shared" si="30"/>
        <v>6.8940819715710797E-2</v>
      </c>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c r="AB86" s="367"/>
    </row>
    <row r="87" spans="1:28" ht="14" x14ac:dyDescent="0.2">
      <c r="B87" s="389" t="s">
        <v>90</v>
      </c>
      <c r="C87" s="390">
        <f t="shared" si="30"/>
        <v>8.3485610360261281E-2</v>
      </c>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c r="AB87" s="367"/>
    </row>
    <row r="88" spans="1:28" ht="14" x14ac:dyDescent="0.2">
      <c r="B88" s="389" t="s">
        <v>91</v>
      </c>
      <c r="C88" s="390">
        <f t="shared" si="30"/>
        <v>9.658625083698244E-2</v>
      </c>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row>
    <row r="89" spans="1:28" ht="14" x14ac:dyDescent="0.2">
      <c r="B89" s="391" t="s">
        <v>449</v>
      </c>
      <c r="C89" s="392">
        <f t="shared" si="30"/>
        <v>0.11024271746910086</v>
      </c>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row>
    <row r="90" spans="1:28" ht="14" x14ac:dyDescent="0.2">
      <c r="B90" s="388"/>
      <c r="C90" s="38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c r="AB90" s="367"/>
    </row>
    <row r="91" spans="1:28" ht="14" x14ac:dyDescent="0.2">
      <c r="B91" s="389" t="s">
        <v>139</v>
      </c>
      <c r="C91" s="387"/>
      <c r="D91" s="393">
        <f t="shared" ref="D91:V91" si="31">D22+D23</f>
        <v>7.3648296020305801E-2</v>
      </c>
      <c r="E91" s="393">
        <f t="shared" si="31"/>
        <v>7.5489503420813439E-2</v>
      </c>
      <c r="F91" s="393">
        <f t="shared" si="31"/>
        <v>7.7376741006333766E-2</v>
      </c>
      <c r="G91" s="393">
        <f t="shared" si="31"/>
        <v>7.9311159531492106E-2</v>
      </c>
      <c r="H91" s="393">
        <f t="shared" si="31"/>
        <v>8.1293938519779396E-2</v>
      </c>
      <c r="I91" s="393">
        <f t="shared" si="31"/>
        <v>8.3326286982773876E-2</v>
      </c>
      <c r="J91" s="393">
        <f t="shared" si="31"/>
        <v>8.5409444157343209E-2</v>
      </c>
      <c r="K91" s="393">
        <f t="shared" si="31"/>
        <v>8.7544680261276778E-2</v>
      </c>
      <c r="L91" s="393">
        <f t="shared" si="31"/>
        <v>8.9733297267808695E-2</v>
      </c>
      <c r="M91" s="393">
        <f t="shared" si="31"/>
        <v>9.1976629699503903E-2</v>
      </c>
      <c r="N91" s="393">
        <f t="shared" si="31"/>
        <v>9.4276045441991488E-2</v>
      </c>
      <c r="O91" s="393">
        <f t="shared" si="31"/>
        <v>9.6632946578041265E-2</v>
      </c>
      <c r="P91" s="393">
        <f t="shared" si="31"/>
        <v>9.9048770242492284E-2</v>
      </c>
      <c r="Q91" s="393">
        <f t="shared" si="31"/>
        <v>0.10152498949855458</v>
      </c>
      <c r="R91" s="393">
        <f t="shared" si="31"/>
        <v>0.10406311423601844</v>
      </c>
      <c r="S91" s="393">
        <f t="shared" si="31"/>
        <v>0.10666469209191889</v>
      </c>
      <c r="T91" s="393">
        <f t="shared" si="31"/>
        <v>0.10933130939421686</v>
      </c>
      <c r="U91" s="393">
        <f t="shared" si="31"/>
        <v>0.11206459212907227</v>
      </c>
      <c r="V91" s="393">
        <f t="shared" si="31"/>
        <v>0.11486620693229907</v>
      </c>
      <c r="W91" s="393">
        <f t="shared" ref="W91:AB91" si="32">W22+W23</f>
        <v>0.11773786210560654</v>
      </c>
      <c r="X91" s="393">
        <f t="shared" si="32"/>
        <v>0.12068130865824669</v>
      </c>
      <c r="Y91" s="393">
        <f t="shared" si="32"/>
        <v>0.12369834137470286</v>
      </c>
      <c r="Z91" s="393">
        <f t="shared" si="32"/>
        <v>0.12679079990907041</v>
      </c>
      <c r="AA91" s="393">
        <f t="shared" si="32"/>
        <v>0.12996056990679716</v>
      </c>
      <c r="AB91" s="393">
        <f t="shared" si="32"/>
        <v>0.13320958415446707</v>
      </c>
    </row>
    <row r="92" spans="1:28" ht="14" x14ac:dyDescent="0.2">
      <c r="B92" s="389" t="s">
        <v>115</v>
      </c>
      <c r="C92" s="387"/>
      <c r="D92" s="393">
        <f t="shared" ref="D92:V92" si="33">D24</f>
        <v>7.3031580167629145E-2</v>
      </c>
      <c r="E92" s="393">
        <f t="shared" si="33"/>
        <v>7.4857369671819871E-2</v>
      </c>
      <c r="F92" s="393">
        <f t="shared" si="33"/>
        <v>7.6728803913615362E-2</v>
      </c>
      <c r="G92" s="393">
        <f t="shared" si="33"/>
        <v>7.8647024011455735E-2</v>
      </c>
      <c r="H92" s="393">
        <f t="shared" si="33"/>
        <v>8.0613199611742126E-2</v>
      </c>
      <c r="I92" s="393">
        <f t="shared" si="33"/>
        <v>8.2628529602035677E-2</v>
      </c>
      <c r="J92" s="393">
        <f t="shared" si="33"/>
        <v>8.4694242842086556E-2</v>
      </c>
      <c r="K92" s="393">
        <f t="shared" si="33"/>
        <v>8.6811598913138707E-2</v>
      </c>
      <c r="L92" s="393">
        <f t="shared" si="33"/>
        <v>8.898188888596717E-2</v>
      </c>
      <c r="M92" s="393">
        <f t="shared" si="33"/>
        <v>9.1206436108116337E-2</v>
      </c>
      <c r="N92" s="393">
        <f t="shared" si="33"/>
        <v>9.3486597010819239E-2</v>
      </c>
      <c r="O92" s="393">
        <f t="shared" si="33"/>
        <v>9.5823761936089713E-2</v>
      </c>
      <c r="P92" s="393">
        <f t="shared" si="33"/>
        <v>9.8219355984491941E-2</v>
      </c>
      <c r="Q92" s="393">
        <f t="shared" si="33"/>
        <v>0.10067483988410424</v>
      </c>
      <c r="R92" s="393">
        <f t="shared" si="33"/>
        <v>0.10319171088120684</v>
      </c>
      <c r="S92" s="393">
        <f t="shared" si="33"/>
        <v>0.105771503653237</v>
      </c>
      <c r="T92" s="393">
        <f t="shared" si="33"/>
        <v>0.10841579124456791</v>
      </c>
      <c r="U92" s="393">
        <f t="shared" si="33"/>
        <v>0.1111261860256821</v>
      </c>
      <c r="V92" s="393">
        <f t="shared" si="33"/>
        <v>0.11390434067632414</v>
      </c>
      <c r="W92" s="393">
        <f t="shared" ref="W92:AB92" si="34">W24</f>
        <v>0.11675194919323223</v>
      </c>
      <c r="X92" s="393">
        <f t="shared" si="34"/>
        <v>0.11967074792306302</v>
      </c>
      <c r="Y92" s="393">
        <f t="shared" si="34"/>
        <v>0.12266251662113958</v>
      </c>
      <c r="Z92" s="393">
        <f t="shared" si="34"/>
        <v>0.12572907953666806</v>
      </c>
      <c r="AA92" s="393">
        <f t="shared" si="34"/>
        <v>0.12887230652508475</v>
      </c>
      <c r="AB92" s="393">
        <f t="shared" si="34"/>
        <v>0.13209411418821185</v>
      </c>
    </row>
    <row r="93" spans="1:28" ht="14" x14ac:dyDescent="0.2">
      <c r="B93" s="388"/>
      <c r="C93" s="38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c r="AB93" s="367"/>
    </row>
    <row r="94" spans="1:28" ht="14" x14ac:dyDescent="0.2">
      <c r="B94" s="389" t="s">
        <v>120</v>
      </c>
      <c r="C94" s="387"/>
      <c r="D94" s="394">
        <f t="shared" ref="D94:V94" si="35">D19</f>
        <v>3860724.9373546089</v>
      </c>
      <c r="E94" s="394">
        <f t="shared" si="35"/>
        <v>3861185.4279046091</v>
      </c>
      <c r="F94" s="394">
        <f t="shared" si="35"/>
        <v>3861643.6160018588</v>
      </c>
      <c r="G94" s="394">
        <f t="shared" si="35"/>
        <v>3862099.5131586227</v>
      </c>
      <c r="H94" s="394">
        <f t="shared" si="35"/>
        <v>3862553.1308296025</v>
      </c>
      <c r="I94" s="394">
        <f t="shared" si="35"/>
        <v>3863004.4804122276</v>
      </c>
      <c r="J94" s="394">
        <f t="shared" si="35"/>
        <v>3863453.5732469396</v>
      </c>
      <c r="K94" s="394">
        <f t="shared" si="35"/>
        <v>3863900.420617478</v>
      </c>
      <c r="L94" s="394">
        <f t="shared" si="35"/>
        <v>3864345.0337511636</v>
      </c>
      <c r="M94" s="394">
        <f t="shared" si="35"/>
        <v>3864787.4238191806</v>
      </c>
      <c r="N94" s="394">
        <f t="shared" si="35"/>
        <v>3865227.6019368581</v>
      </c>
      <c r="O94" s="394">
        <f t="shared" si="35"/>
        <v>3865665.5791639467</v>
      </c>
      <c r="P94" s="394">
        <f t="shared" si="35"/>
        <v>3866101.3665049002</v>
      </c>
      <c r="Q94" s="394">
        <f t="shared" si="35"/>
        <v>3866534.9749091486</v>
      </c>
      <c r="R94" s="394">
        <f t="shared" si="35"/>
        <v>3866966.4152713758</v>
      </c>
      <c r="S94" s="394">
        <f t="shared" si="35"/>
        <v>3867395.6984317922</v>
      </c>
      <c r="T94" s="394">
        <f t="shared" si="35"/>
        <v>3867822.835176406</v>
      </c>
      <c r="U94" s="394">
        <f t="shared" si="35"/>
        <v>3868247.8362372969</v>
      </c>
      <c r="V94" s="394">
        <f t="shared" si="35"/>
        <v>3868670.7122928835</v>
      </c>
      <c r="W94" s="394">
        <f t="shared" ref="W94:AB94" si="36">W19</f>
        <v>3869091.4739681925</v>
      </c>
      <c r="X94" s="394">
        <f t="shared" si="36"/>
        <v>3869510.1318351245</v>
      </c>
      <c r="Y94" s="394">
        <f t="shared" si="36"/>
        <v>3869926.6964127216</v>
      </c>
      <c r="Z94" s="394">
        <f t="shared" si="36"/>
        <v>3870341.1781674311</v>
      </c>
      <c r="AA94" s="394">
        <f t="shared" si="36"/>
        <v>3870753.5875133672</v>
      </c>
      <c r="AB94" s="394">
        <f t="shared" si="36"/>
        <v>3871163.9348125733</v>
      </c>
    </row>
    <row r="95" spans="1:28" ht="14" x14ac:dyDescent="0.2">
      <c r="A95" t="s">
        <v>246</v>
      </c>
      <c r="B95" s="391" t="s">
        <v>121</v>
      </c>
      <c r="C95" s="395"/>
      <c r="D95" s="396">
        <f t="shared" ref="D95:V95" si="37">D21</f>
        <v>92098.110000000306</v>
      </c>
      <c r="E95" s="396">
        <f t="shared" si="37"/>
        <v>91637.619450000304</v>
      </c>
      <c r="F95" s="396">
        <f t="shared" si="37"/>
        <v>91179.431352750296</v>
      </c>
      <c r="G95" s="396">
        <f t="shared" si="37"/>
        <v>90723.534195986547</v>
      </c>
      <c r="H95" s="396">
        <f t="shared" si="37"/>
        <v>90269.916525006614</v>
      </c>
      <c r="I95" s="396">
        <f t="shared" si="37"/>
        <v>89818.566942381585</v>
      </c>
      <c r="J95" s="396">
        <f t="shared" si="37"/>
        <v>89369.474107669681</v>
      </c>
      <c r="K95" s="396">
        <f t="shared" si="37"/>
        <v>88922.62673713133</v>
      </c>
      <c r="L95" s="396">
        <f t="shared" si="37"/>
        <v>88478.013603445666</v>
      </c>
      <c r="M95" s="396">
        <f t="shared" si="37"/>
        <v>88035.623535428444</v>
      </c>
      <c r="N95" s="396">
        <f t="shared" si="37"/>
        <v>87595.445417751296</v>
      </c>
      <c r="O95" s="396">
        <f t="shared" si="37"/>
        <v>87157.468190662534</v>
      </c>
      <c r="P95" s="396">
        <f t="shared" si="37"/>
        <v>86721.680849709228</v>
      </c>
      <c r="Q95" s="396">
        <f t="shared" si="37"/>
        <v>86288.072445460683</v>
      </c>
      <c r="R95" s="396">
        <f t="shared" si="37"/>
        <v>85856.632083233373</v>
      </c>
      <c r="S95" s="396">
        <f t="shared" si="37"/>
        <v>85427.348922817211</v>
      </c>
      <c r="T95" s="396">
        <f t="shared" si="37"/>
        <v>85000.212178203132</v>
      </c>
      <c r="U95" s="396">
        <f t="shared" si="37"/>
        <v>84575.211117312123</v>
      </c>
      <c r="V95" s="396">
        <f t="shared" si="37"/>
        <v>84152.335061725564</v>
      </c>
      <c r="W95" s="396">
        <f t="shared" ref="W95:AB95" si="38">W21</f>
        <v>83731.573386416931</v>
      </c>
      <c r="X95" s="396">
        <f t="shared" si="38"/>
        <v>83312.915519484843</v>
      </c>
      <c r="Y95" s="396">
        <f t="shared" si="38"/>
        <v>82896.350941887416</v>
      </c>
      <c r="Z95" s="396">
        <f t="shared" si="38"/>
        <v>82481.869187177974</v>
      </c>
      <c r="AA95" s="396">
        <f t="shared" si="38"/>
        <v>82069.459841242089</v>
      </c>
      <c r="AB95" s="396">
        <f t="shared" si="38"/>
        <v>81659.112542035873</v>
      </c>
    </row>
    <row r="96" spans="1:28" ht="14" x14ac:dyDescent="0.2">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row>
    <row r="97" spans="2:28" ht="14" x14ac:dyDescent="0.2">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237C01AE-5FD3-4BD3-B94B-9AA340DF4096}"/>
</file>

<file path=customXml/itemProps2.xml><?xml version="1.0" encoding="utf-8"?>
<ds:datastoreItem xmlns:ds="http://schemas.openxmlformats.org/officeDocument/2006/customXml" ds:itemID="{1CD56BFA-7F45-498C-AE59-6332E36CD53B}"/>
</file>

<file path=customXml/itemProps3.xml><?xml version="1.0" encoding="utf-8"?>
<ds:datastoreItem xmlns:ds="http://schemas.openxmlformats.org/officeDocument/2006/customXml" ds:itemID="{266D4ED1-4871-4DE9-A2E1-5C7EEB20102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2023-04-20T03:30:11Z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