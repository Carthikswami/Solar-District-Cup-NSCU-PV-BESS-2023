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80EBCF87-C97A-7A4E-AB40-BB0DAB6A7E08}" xr6:coauthVersionLast="47" xr6:coauthVersionMax="47" xr10:uidLastSave="{00000000-0000-0000-0000-000000000000}"/>
  <bookViews>
    <workbookView xWindow="10720" yWindow="7260" windowWidth="14400" windowHeight="10880" tabRatio="500" firstSheet="1"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eng" localSheetId="1" hidden="1">1</definedName>
    <definedName name="solver_lin" localSheetId="1" hidden="1">2</definedName>
    <definedName name="solver_neg" localSheetId="1" hidden="1">1</definedName>
    <definedName name="solver_num" localSheetId="1" hidden="1">0</definedName>
    <definedName name="solver_opt" localSheetId="1" hidden="1">Dashboard!$H$58</definedName>
    <definedName name="solver_typ" localSheetId="1" hidden="1">1</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c r="H65" i="1" l="1"/>
  <c r="H63" i="1"/>
  <c r="K43" i="1" l="1"/>
  <c r="K41" i="1"/>
  <c r="E28" i="1" l="1"/>
  <c r="E23" i="1" l="1"/>
  <c r="C94" i="1" l="1"/>
  <c r="C95" i="1"/>
  <c r="C89" i="1"/>
  <c r="C91" i="1" l="1"/>
  <c r="C90"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D22" i="15"/>
  <c r="D19" i="4"/>
  <c r="E19" i="4" s="1"/>
  <c r="F19" i="4" s="1"/>
  <c r="G19" i="4" s="1"/>
  <c r="H19" i="4" s="1"/>
  <c r="I19" i="4" s="1"/>
  <c r="J19" i="4" s="1"/>
  <c r="K19" i="4" s="1"/>
  <c r="L19" i="4" s="1"/>
  <c r="M19" i="4" s="1"/>
  <c r="N19" i="4" s="1"/>
  <c r="O19" i="4" s="1"/>
  <c r="P19" i="4" s="1"/>
  <c r="Q19" i="4" s="1"/>
  <c r="R19" i="4" s="1"/>
  <c r="S19" i="4" s="1"/>
  <c r="T19" i="4" s="1"/>
  <c r="U19" i="4" s="1"/>
  <c r="V19" i="4" s="1"/>
  <c r="W19" i="4" s="1"/>
  <c r="D17" i="4"/>
  <c r="K30" i="1"/>
  <c r="D33" i="4"/>
  <c r="D34" i="4"/>
  <c r="D37" i="4"/>
  <c r="D122" i="4"/>
  <c r="D115" i="4"/>
  <c r="E32" i="1"/>
  <c r="P65" i="1"/>
  <c r="E21" i="1"/>
  <c r="AA55" i="1"/>
  <c r="AA56" i="1" s="1"/>
  <c r="AA52" i="1"/>
  <c r="AA51" i="1"/>
  <c r="D22" i="1"/>
  <c r="D23" i="15" l="1"/>
  <c r="D91" i="15" s="1"/>
  <c r="D144" i="4"/>
  <c r="C88" i="1"/>
  <c r="P34" i="1"/>
  <c r="C86" i="1"/>
  <c r="D20" i="4"/>
  <c r="X19" i="4"/>
  <c r="W24" i="15"/>
  <c r="W92" i="15" s="1"/>
  <c r="P35" i="1"/>
  <c r="P56" i="1"/>
  <c r="P64" i="1"/>
  <c r="E17" i="4"/>
  <c r="E34" i="4"/>
  <c r="P18" i="1"/>
  <c r="D36" i="4"/>
  <c r="D38" i="4" s="1"/>
  <c r="E36" i="4"/>
  <c r="P36" i="1"/>
  <c r="E22" i="15"/>
  <c r="F22" i="15" s="1"/>
  <c r="F23" i="15" s="1"/>
  <c r="F91" i="15" s="1"/>
  <c r="P63" i="1"/>
  <c r="E22" i="1"/>
  <c r="D24" i="15"/>
  <c r="Y51" i="1" l="1"/>
  <c r="E20" i="4"/>
  <c r="E22" i="4"/>
  <c r="E33" i="4"/>
  <c r="E37" i="4"/>
  <c r="Y19" i="4"/>
  <c r="X24" i="15"/>
  <c r="X92" i="15" s="1"/>
  <c r="F17" i="4"/>
  <c r="F33" i="4"/>
  <c r="E23" i="15"/>
  <c r="E91" i="15" s="1"/>
  <c r="G22" i="15"/>
  <c r="G23" i="15" s="1"/>
  <c r="G91" i="15" s="1"/>
  <c r="E24" i="15"/>
  <c r="E92" i="15" s="1"/>
  <c r="D92" i="15"/>
  <c r="Y52" i="1"/>
  <c r="F37" i="4" l="1"/>
  <c r="F34" i="4"/>
  <c r="E38" i="4"/>
  <c r="F20" i="4"/>
  <c r="F22" i="4"/>
  <c r="G17" i="4"/>
  <c r="Z19" i="4"/>
  <c r="Y24" i="15"/>
  <c r="Y92" i="15" s="1"/>
  <c r="F36" i="4"/>
  <c r="G37" i="4"/>
  <c r="H17" i="4"/>
  <c r="G33" i="4"/>
  <c r="H22" i="15"/>
  <c r="I22" i="15" s="1"/>
  <c r="F24" i="15"/>
  <c r="F92" i="15" s="1"/>
  <c r="F38" i="4" l="1"/>
  <c r="G36" i="4"/>
  <c r="G34" i="4"/>
  <c r="G22" i="4"/>
  <c r="H22" i="4" s="1"/>
  <c r="G20" i="4"/>
  <c r="H20" i="4" s="1"/>
  <c r="AA19" i="4"/>
  <c r="Z24" i="15"/>
  <c r="H33" i="4"/>
  <c r="H37" i="4"/>
  <c r="H36" i="4"/>
  <c r="H34" i="4"/>
  <c r="I17" i="4"/>
  <c r="H23" i="15"/>
  <c r="H91" i="15" s="1"/>
  <c r="I23" i="15"/>
  <c r="I91" i="15" s="1"/>
  <c r="J22" i="15"/>
  <c r="G24" i="15"/>
  <c r="G92" i="15" s="1"/>
  <c r="G38" i="4" l="1"/>
  <c r="I20" i="4"/>
  <c r="I22" i="4"/>
  <c r="AB19" i="4"/>
  <c r="AB24" i="15" s="1"/>
  <c r="AB92" i="15" s="1"/>
  <c r="AA24" i="15"/>
  <c r="AA92" i="15" s="1"/>
  <c r="Z92" i="15"/>
  <c r="E115" i="4"/>
  <c r="E51" i="4"/>
  <c r="H38" i="4"/>
  <c r="I34" i="4"/>
  <c r="I37" i="4"/>
  <c r="I36" i="4"/>
  <c r="J17" i="4"/>
  <c r="I33" i="4"/>
  <c r="E58" i="4"/>
  <c r="H24" i="15"/>
  <c r="H92" i="15" s="1"/>
  <c r="J23" i="15"/>
  <c r="J91" i="15" s="1"/>
  <c r="K22" i="15"/>
  <c r="J20" i="4" l="1"/>
  <c r="J121" i="4"/>
  <c r="J166" i="4" s="1"/>
  <c r="J114" i="4"/>
  <c r="J22" i="4"/>
  <c r="E52" i="4"/>
  <c r="F51" i="4" s="1"/>
  <c r="J33" i="4"/>
  <c r="J34" i="4"/>
  <c r="J37" i="4"/>
  <c r="K17" i="4"/>
  <c r="J36" i="4"/>
  <c r="I38" i="4"/>
  <c r="I24" i="15"/>
  <c r="I92" i="15" s="1"/>
  <c r="K23" i="15"/>
  <c r="K91" i="15" s="1"/>
  <c r="L22" i="15"/>
  <c r="K20" i="4" l="1"/>
  <c r="K114" i="4"/>
  <c r="K121" i="4"/>
  <c r="K166" i="4" s="1"/>
  <c r="K22" i="4"/>
  <c r="J171" i="4"/>
  <c r="E122" i="4"/>
  <c r="K34" i="4"/>
  <c r="K36" i="4"/>
  <c r="K33" i="4"/>
  <c r="L17" i="4"/>
  <c r="K37" i="4"/>
  <c r="J38" i="4"/>
  <c r="F115" i="4"/>
  <c r="L23" i="15"/>
  <c r="L91" i="15" s="1"/>
  <c r="M22" i="15"/>
  <c r="J24" i="15"/>
  <c r="J92" i="15" s="1"/>
  <c r="L20" i="4" l="1"/>
  <c r="L114" i="4"/>
  <c r="L121" i="4"/>
  <c r="L166" i="4" s="1"/>
  <c r="L22" i="4"/>
  <c r="K171" i="4"/>
  <c r="F52" i="4"/>
  <c r="G51" i="4" s="1"/>
  <c r="L36" i="4"/>
  <c r="M17" i="4"/>
  <c r="L37" i="4"/>
  <c r="L33" i="4"/>
  <c r="L34" i="4"/>
  <c r="K38" i="4"/>
  <c r="M23" i="15"/>
  <c r="M91" i="15" s="1"/>
  <c r="N22" i="15"/>
  <c r="K24" i="15"/>
  <c r="K92" i="15" s="1"/>
  <c r="M20" i="4" l="1"/>
  <c r="M114" i="4"/>
  <c r="M121" i="4"/>
  <c r="M166" i="4" s="1"/>
  <c r="M22" i="4"/>
  <c r="L171" i="4"/>
  <c r="F122" i="4"/>
  <c r="L38" i="4"/>
  <c r="M36" i="4"/>
  <c r="M33" i="4"/>
  <c r="M37" i="4"/>
  <c r="N17" i="4"/>
  <c r="M34" i="4"/>
  <c r="G115" i="4"/>
  <c r="O22" i="15"/>
  <c r="N23" i="15"/>
  <c r="N91" i="15" s="1"/>
  <c r="L24" i="15"/>
  <c r="L92" i="15" s="1"/>
  <c r="N121" i="4" l="1"/>
  <c r="N114" i="4"/>
  <c r="N20" i="4"/>
  <c r="N22" i="4"/>
  <c r="G122" i="4"/>
  <c r="M171" i="4"/>
  <c r="E59" i="4"/>
  <c r="F58" i="4" s="1"/>
  <c r="N23" i="4"/>
  <c r="N33" i="4"/>
  <c r="N36" i="4"/>
  <c r="N37" i="4"/>
  <c r="N34" i="4"/>
  <c r="O17" i="4"/>
  <c r="M38" i="4"/>
  <c r="M24" i="15"/>
  <c r="M92" i="15" s="1"/>
  <c r="O23" i="15"/>
  <c r="O91" i="15" s="1"/>
  <c r="P22" i="15"/>
  <c r="O114" i="4" l="1"/>
  <c r="O121" i="4"/>
  <c r="O20" i="4"/>
  <c r="O22" i="4"/>
  <c r="G52" i="4"/>
  <c r="H51" i="4" s="1"/>
  <c r="N27" i="4"/>
  <c r="O23" i="4"/>
  <c r="O33" i="4"/>
  <c r="O37" i="4"/>
  <c r="O36" i="4"/>
  <c r="O34" i="4"/>
  <c r="P17" i="4"/>
  <c r="N38" i="4"/>
  <c r="P23" i="15"/>
  <c r="P91" i="15" s="1"/>
  <c r="Q22" i="15"/>
  <c r="N24" i="15"/>
  <c r="N92" i="15" s="1"/>
  <c r="P114" i="4" l="1"/>
  <c r="P121" i="4"/>
  <c r="F59" i="4"/>
  <c r="G58" i="4" s="1"/>
  <c r="P20" i="4"/>
  <c r="P22" i="4"/>
  <c r="O27" i="4"/>
  <c r="P23" i="4"/>
  <c r="P37" i="4"/>
  <c r="Q17" i="4"/>
  <c r="P34" i="4"/>
  <c r="P33" i="4"/>
  <c r="P36" i="4"/>
  <c r="O38" i="4"/>
  <c r="G59" i="4"/>
  <c r="H58" i="4" s="1"/>
  <c r="H115" i="4"/>
  <c r="O24" i="15"/>
  <c r="O92" i="15" s="1"/>
  <c r="R22" i="15"/>
  <c r="Q23" i="15"/>
  <c r="Q91" i="15" s="1"/>
  <c r="Q114" i="4" l="1"/>
  <c r="Q121" i="4"/>
  <c r="P27" i="4"/>
  <c r="H122" i="4"/>
  <c r="Q20" i="4"/>
  <c r="Q22" i="4"/>
  <c r="Q23" i="4"/>
  <c r="P38" i="4"/>
  <c r="Q37" i="4"/>
  <c r="R17" i="4"/>
  <c r="Q33" i="4"/>
  <c r="Q34" i="4"/>
  <c r="Q36" i="4"/>
  <c r="P24" i="15"/>
  <c r="P92" i="15" s="1"/>
  <c r="S22" i="15"/>
  <c r="R23" i="15"/>
  <c r="R91" i="15" s="1"/>
  <c r="R121" i="4" l="1"/>
  <c r="R114" i="4"/>
  <c r="Q27" i="4"/>
  <c r="R20" i="4"/>
  <c r="R22" i="4"/>
  <c r="H52" i="4"/>
  <c r="I51" i="4" s="1"/>
  <c r="R23" i="4"/>
  <c r="S17" i="4"/>
  <c r="R36" i="4"/>
  <c r="R34" i="4"/>
  <c r="R33" i="4"/>
  <c r="R37" i="4"/>
  <c r="Q38" i="4"/>
  <c r="S23" i="15"/>
  <c r="S91" i="15" s="1"/>
  <c r="T22" i="15"/>
  <c r="Q24" i="15"/>
  <c r="Q92" i="15" s="1"/>
  <c r="R27" i="4" l="1"/>
  <c r="S114" i="4"/>
  <c r="S121" i="4"/>
  <c r="S20" i="4"/>
  <c r="S22" i="4"/>
  <c r="S23" i="4"/>
  <c r="R38" i="4"/>
  <c r="S34" i="4"/>
  <c r="S33" i="4"/>
  <c r="S37" i="4"/>
  <c r="S36" i="4"/>
  <c r="T17" i="4"/>
  <c r="I122" i="4"/>
  <c r="I115" i="4"/>
  <c r="R24" i="15"/>
  <c r="R92" i="15" s="1"/>
  <c r="U22" i="15"/>
  <c r="T23" i="15"/>
  <c r="T91" i="15" s="1"/>
  <c r="T114" i="4" l="1"/>
  <c r="T121" i="4"/>
  <c r="T20" i="4"/>
  <c r="T22" i="4"/>
  <c r="S27" i="4"/>
  <c r="T23" i="4"/>
  <c r="S38" i="4"/>
  <c r="T37" i="4"/>
  <c r="T36" i="4"/>
  <c r="U17" i="4"/>
  <c r="T33" i="4"/>
  <c r="T34" i="4"/>
  <c r="H59" i="4"/>
  <c r="I58" i="4" s="1"/>
  <c r="V22" i="15"/>
  <c r="W22" i="15" s="1"/>
  <c r="U23" i="15"/>
  <c r="U91" i="15" s="1"/>
  <c r="S24" i="15"/>
  <c r="S92" i="15" s="1"/>
  <c r="U114" i="4" l="1"/>
  <c r="U121" i="4"/>
  <c r="U20" i="4"/>
  <c r="U22" i="4"/>
  <c r="W23" i="15"/>
  <c r="W91" i="15" s="1"/>
  <c r="X22" i="15"/>
  <c r="I52" i="4"/>
  <c r="J51" i="4" s="1"/>
  <c r="T27" i="4"/>
  <c r="U23" i="4"/>
  <c r="U33" i="4"/>
  <c r="U34" i="4"/>
  <c r="U37" i="4"/>
  <c r="V17" i="4"/>
  <c r="U36" i="4"/>
  <c r="T38" i="4"/>
  <c r="T24" i="15"/>
  <c r="T92" i="15" s="1"/>
  <c r="V23" i="15"/>
  <c r="V91" i="15" s="1"/>
  <c r="V22" i="4" l="1"/>
  <c r="V121" i="4"/>
  <c r="V114" i="4"/>
  <c r="U27" i="4"/>
  <c r="V20" i="4"/>
  <c r="W17" i="4"/>
  <c r="X23" i="15"/>
  <c r="X91" i="15" s="1"/>
  <c r="Y22" i="15"/>
  <c r="V23" i="4"/>
  <c r="V33" i="4"/>
  <c r="V34" i="4"/>
  <c r="V36" i="4"/>
  <c r="V37" i="4"/>
  <c r="U38" i="4"/>
  <c r="J122" i="4"/>
  <c r="J46" i="4" s="1"/>
  <c r="J22" i="16" s="1"/>
  <c r="J115" i="4"/>
  <c r="J45" i="4" s="1"/>
  <c r="U24" i="15"/>
  <c r="U92" i="15" s="1"/>
  <c r="W22" i="4" l="1"/>
  <c r="W114" i="4"/>
  <c r="W121" i="4"/>
  <c r="W20" i="4"/>
  <c r="W23" i="4"/>
  <c r="W33" i="4"/>
  <c r="W34" i="4"/>
  <c r="D149" i="4" s="1"/>
  <c r="P17" i="1" s="1"/>
  <c r="P19" i="1" s="1"/>
  <c r="X17" i="4"/>
  <c r="W37" i="4"/>
  <c r="W36" i="4"/>
  <c r="Y23" i="15"/>
  <c r="Y91" i="15" s="1"/>
  <c r="Z22" i="15"/>
  <c r="I59" i="4"/>
  <c r="J58" i="4" s="1"/>
  <c r="V27" i="4"/>
  <c r="V38" i="4"/>
  <c r="Z51" i="1"/>
  <c r="V24" i="15"/>
  <c r="V92" i="15" s="1"/>
  <c r="X22" i="4" l="1"/>
  <c r="X114" i="4"/>
  <c r="X121" i="4"/>
  <c r="X98" i="4"/>
  <c r="W27" i="4"/>
  <c r="X20" i="4"/>
  <c r="X23" i="4"/>
  <c r="X33" i="4"/>
  <c r="X34" i="4"/>
  <c r="Y17" i="4"/>
  <c r="X37" i="4"/>
  <c r="X36" i="4"/>
  <c r="W38" i="4"/>
  <c r="AA22" i="15"/>
  <c r="Z23" i="15"/>
  <c r="Z91" i="15" s="1"/>
  <c r="J52" i="4"/>
  <c r="K51" i="4" s="1"/>
  <c r="Z52" i="1"/>
  <c r="Y22" i="4" l="1"/>
  <c r="Y114" i="4"/>
  <c r="Y121" i="4"/>
  <c r="Y98" i="4"/>
  <c r="X27" i="4"/>
  <c r="X38" i="4"/>
  <c r="Y37" i="4"/>
  <c r="Y20" i="4"/>
  <c r="Y23" i="4"/>
  <c r="Y33" i="4"/>
  <c r="Y34" i="4"/>
  <c r="Z17" i="4"/>
  <c r="Y36" i="4"/>
  <c r="AB22" i="15"/>
  <c r="AA23" i="15"/>
  <c r="AA91" i="15" s="1"/>
  <c r="J59" i="4"/>
  <c r="K58" i="4" s="1"/>
  <c r="K115" i="4"/>
  <c r="K45" i="4" s="1"/>
  <c r="Z22" i="4" l="1"/>
  <c r="Z121" i="4"/>
  <c r="Z114" i="4"/>
  <c r="Z98" i="4"/>
  <c r="Y38" i="4"/>
  <c r="Y27" i="4"/>
  <c r="AA17" i="4"/>
  <c r="Z37" i="4"/>
  <c r="Z20" i="4"/>
  <c r="Z23" i="4"/>
  <c r="Z33" i="4"/>
  <c r="Z34" i="4"/>
  <c r="Z36" i="4"/>
  <c r="AB23" i="15"/>
  <c r="AB91" i="15" s="1"/>
  <c r="AA22" i="4" l="1"/>
  <c r="AA114" i="4"/>
  <c r="AA121" i="4"/>
  <c r="AA98" i="4"/>
  <c r="K122" i="4"/>
  <c r="K46" i="4" s="1"/>
  <c r="K22" i="16" s="1"/>
  <c r="Z27" i="4"/>
  <c r="Z38" i="4"/>
  <c r="AA20" i="4"/>
  <c r="AB17" i="4"/>
  <c r="AA23" i="4"/>
  <c r="AA34" i="4"/>
  <c r="AA33" i="4"/>
  <c r="AA37" i="4"/>
  <c r="AA36" i="4"/>
  <c r="K52" i="4"/>
  <c r="L51" i="4" s="1"/>
  <c r="AB22" i="4" l="1"/>
  <c r="AB114" i="4"/>
  <c r="AB121" i="4"/>
  <c r="AB98" i="4"/>
  <c r="AA27" i="4"/>
  <c r="AB37" i="4"/>
  <c r="AB20" i="4"/>
  <c r="AB33" i="4"/>
  <c r="AB23" i="4"/>
  <c r="AB34" i="4"/>
  <c r="AB36" i="4"/>
  <c r="AA38" i="4"/>
  <c r="K59" i="4"/>
  <c r="L58" i="4" s="1"/>
  <c r="L115" i="4"/>
  <c r="L45" i="4" s="1"/>
  <c r="AB38" i="4" l="1"/>
  <c r="V52" i="15" s="1"/>
  <c r="AB27" i="4"/>
  <c r="L122" i="4" l="1"/>
  <c r="L46" i="4" s="1"/>
  <c r="L22" i="16" s="1"/>
  <c r="AA52" i="15"/>
  <c r="AB52" i="15"/>
  <c r="C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M45" i="4" s="1"/>
  <c r="L59" i="4" l="1"/>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C82" i="1" l="1"/>
  <c r="E29" i="1" l="1"/>
  <c r="D21" i="4"/>
  <c r="C83" i="1"/>
  <c r="E21" i="4" l="1"/>
  <c r="D21" i="15"/>
  <c r="D23" i="4"/>
  <c r="D27" i="4" s="1"/>
  <c r="D26" i="4"/>
  <c r="P37" i="1" l="1"/>
  <c r="P66" i="1"/>
  <c r="E39" i="1"/>
  <c r="D28" i="4"/>
  <c r="D29" i="4" s="1"/>
  <c r="D30" i="4" s="1"/>
  <c r="D26" i="15"/>
  <c r="Y56" i="1"/>
  <c r="D25" i="15"/>
  <c r="D95" i="15"/>
  <c r="F21" i="4"/>
  <c r="E21" i="15"/>
  <c r="E26" i="4"/>
  <c r="E23" i="4"/>
  <c r="E27" i="4" s="1"/>
  <c r="E28" i="4" s="1"/>
  <c r="E29" i="4" s="1"/>
  <c r="E30" i="4" s="1"/>
  <c r="E98" i="4" l="1"/>
  <c r="C101" i="4"/>
  <c r="D99" i="4" s="1"/>
  <c r="C92" i="1"/>
  <c r="D98" i="4"/>
  <c r="D134" i="4"/>
  <c r="F98" i="4"/>
  <c r="G98" i="4"/>
  <c r="H98" i="4"/>
  <c r="I98" i="4"/>
  <c r="J98" i="4"/>
  <c r="K98" i="4"/>
  <c r="L98" i="4"/>
  <c r="M98" i="4"/>
  <c r="N98" i="4"/>
  <c r="O98" i="4"/>
  <c r="P98" i="4"/>
  <c r="Q98" i="4"/>
  <c r="R98" i="4"/>
  <c r="S98" i="4"/>
  <c r="T98" i="4"/>
  <c r="U98" i="4"/>
  <c r="V98" i="4"/>
  <c r="W98" i="4"/>
  <c r="E40" i="4"/>
  <c r="E167" i="4" s="1"/>
  <c r="E172" i="4" s="1"/>
  <c r="E103" i="4"/>
  <c r="H23" i="1"/>
  <c r="E73" i="1"/>
  <c r="D73" i="1"/>
  <c r="C73" i="1"/>
  <c r="E95" i="15"/>
  <c r="E26" i="15"/>
  <c r="E51" i="15" s="1"/>
  <c r="E53" i="15" s="1"/>
  <c r="E25" i="15"/>
  <c r="F21" i="15"/>
  <c r="G21" i="4"/>
  <c r="F26" i="4"/>
  <c r="F23" i="4"/>
  <c r="F27" i="4" s="1"/>
  <c r="D66" i="15"/>
  <c r="D67" i="15" s="1"/>
  <c r="D27" i="15"/>
  <c r="D40" i="4"/>
  <c r="D167" i="4" s="1"/>
  <c r="D172" i="4" s="1"/>
  <c r="D103" i="4"/>
  <c r="E104" i="4" l="1"/>
  <c r="D100" i="4"/>
  <c r="D101" i="4" s="1"/>
  <c r="D75" i="4"/>
  <c r="D42" i="4"/>
  <c r="D113" i="4" s="1"/>
  <c r="D160" i="4"/>
  <c r="D104" i="4"/>
  <c r="D105" i="4" s="1"/>
  <c r="F28" i="4"/>
  <c r="F29" i="4" s="1"/>
  <c r="F30" i="4" s="1"/>
  <c r="F103" i="4" s="1"/>
  <c r="F104" i="4" s="1"/>
  <c r="F25" i="15"/>
  <c r="F95" i="15"/>
  <c r="F26" i="15"/>
  <c r="F51" i="15" s="1"/>
  <c r="F53" i="15" s="1"/>
  <c r="E27" i="15"/>
  <c r="E80" i="15" s="1"/>
  <c r="E66" i="15"/>
  <c r="E67" i="15" s="1"/>
  <c r="D80" i="15"/>
  <c r="C69" i="16"/>
  <c r="C97" i="1"/>
  <c r="E51" i="1"/>
  <c r="H49" i="1"/>
  <c r="H50" i="1" s="1"/>
  <c r="Y60" i="1"/>
  <c r="Z65" i="1" s="1"/>
  <c r="H24" i="1"/>
  <c r="C56" i="16"/>
  <c r="P38" i="1"/>
  <c r="P39" i="1" s="1"/>
  <c r="P67" i="1"/>
  <c r="P68" i="1" s="1"/>
  <c r="P22" i="1"/>
  <c r="G23" i="4"/>
  <c r="G27" i="4" s="1"/>
  <c r="H21" i="4"/>
  <c r="G26" i="4"/>
  <c r="G21" i="15"/>
  <c r="D161" i="4" l="1"/>
  <c r="E105" i="4"/>
  <c r="E99" i="4"/>
  <c r="D76" i="4"/>
  <c r="E76" i="4" s="1"/>
  <c r="F76" i="4" s="1"/>
  <c r="G76" i="4" s="1"/>
  <c r="D58" i="4"/>
  <c r="F40" i="4"/>
  <c r="F167" i="4" s="1"/>
  <c r="F172" i="4" s="1"/>
  <c r="C87" i="4"/>
  <c r="H37" i="16"/>
  <c r="E37" i="16"/>
  <c r="D37" i="16"/>
  <c r="H32" i="1"/>
  <c r="P23" i="1" s="1"/>
  <c r="P24" i="1" s="1"/>
  <c r="F37" i="16"/>
  <c r="G37" i="16"/>
  <c r="D133" i="4"/>
  <c r="C80" i="4"/>
  <c r="H23" i="4"/>
  <c r="H27" i="4" s="1"/>
  <c r="H21" i="15"/>
  <c r="H26" i="4"/>
  <c r="I21" i="4"/>
  <c r="G26" i="15"/>
  <c r="G25" i="15"/>
  <c r="G95" i="15"/>
  <c r="E54" i="1"/>
  <c r="D59" i="1"/>
  <c r="I121" i="4" s="1"/>
  <c r="D56" i="1"/>
  <c r="F121" i="4" s="1"/>
  <c r="E56" i="1"/>
  <c r="F114" i="4" s="1"/>
  <c r="F45" i="4" s="1"/>
  <c r="D58" i="1"/>
  <c r="H121" i="4" s="1"/>
  <c r="D57" i="1"/>
  <c r="G121" i="4" s="1"/>
  <c r="D55" i="1"/>
  <c r="E121" i="4" s="1"/>
  <c r="E58" i="1"/>
  <c r="H114" i="4" s="1"/>
  <c r="H45" i="4" s="1"/>
  <c r="D54" i="1"/>
  <c r="H55" i="1"/>
  <c r="D51" i="4" s="1"/>
  <c r="E59" i="1"/>
  <c r="I114" i="4" s="1"/>
  <c r="I45" i="4" s="1"/>
  <c r="E55" i="1"/>
  <c r="E114" i="4" s="1"/>
  <c r="E57" i="1"/>
  <c r="G114" i="4" s="1"/>
  <c r="G45" i="4" s="1"/>
  <c r="C93" i="16"/>
  <c r="C71" i="16"/>
  <c r="O50" i="1"/>
  <c r="F105" i="4"/>
  <c r="G28" i="4"/>
  <c r="G29" i="4" s="1"/>
  <c r="G30" i="4" s="1"/>
  <c r="P50" i="1"/>
  <c r="C58" i="16"/>
  <c r="C92" i="16"/>
  <c r="F66" i="15"/>
  <c r="F67" i="15" s="1"/>
  <c r="F27" i="15"/>
  <c r="E100" i="4" l="1"/>
  <c r="E42" i="4"/>
  <c r="E113" i="4" s="1"/>
  <c r="E116" i="4" s="1"/>
  <c r="E160" i="4"/>
  <c r="H28" i="4"/>
  <c r="H29" i="4" s="1"/>
  <c r="H30" i="4" s="1"/>
  <c r="H40" i="4" s="1"/>
  <c r="H167" i="4" s="1"/>
  <c r="H172" i="4" s="1"/>
  <c r="E46" i="4"/>
  <c r="E166" i="4"/>
  <c r="C60" i="16"/>
  <c r="C97" i="16"/>
  <c r="G166" i="4"/>
  <c r="G46" i="4"/>
  <c r="G22" i="16" s="1"/>
  <c r="F80" i="15"/>
  <c r="I23" i="4"/>
  <c r="I27" i="4" s="1"/>
  <c r="J21" i="4"/>
  <c r="I26" i="4"/>
  <c r="I21" i="15"/>
  <c r="G51" i="15"/>
  <c r="G53" i="15" s="1"/>
  <c r="H95" i="15"/>
  <c r="H26" i="15"/>
  <c r="H51" i="15" s="1"/>
  <c r="H53" i="15" s="1"/>
  <c r="H25" i="15"/>
  <c r="I166" i="4"/>
  <c r="I46" i="4"/>
  <c r="I22" i="16" s="1"/>
  <c r="H166" i="4"/>
  <c r="H46" i="4"/>
  <c r="H22" i="16" s="1"/>
  <c r="G66" i="15"/>
  <c r="G67" i="15" s="1"/>
  <c r="G27" i="15"/>
  <c r="G80" i="15" s="1"/>
  <c r="G40" i="4"/>
  <c r="G167" i="4" s="1"/>
  <c r="G172" i="4" s="1"/>
  <c r="G103" i="4"/>
  <c r="G104" i="4" s="1"/>
  <c r="G105" i="4" s="1"/>
  <c r="E45" i="4"/>
  <c r="F166" i="4"/>
  <c r="F46" i="4"/>
  <c r="D121" i="4"/>
  <c r="D60" i="1"/>
  <c r="E60" i="1"/>
  <c r="D114" i="4"/>
  <c r="H76" i="4"/>
  <c r="C49" i="15"/>
  <c r="C53" i="15" s="1"/>
  <c r="C24" i="16"/>
  <c r="C81" i="4"/>
  <c r="C88" i="4"/>
  <c r="C68" i="15"/>
  <c r="C98" i="16"/>
  <c r="C73" i="16"/>
  <c r="E117" i="4" l="1"/>
  <c r="E72" i="4" s="1"/>
  <c r="E28" i="16" s="1"/>
  <c r="H103" i="4"/>
  <c r="H104" i="4" s="1"/>
  <c r="H105" i="4" s="1"/>
  <c r="E49" i="4"/>
  <c r="E50" i="4" s="1"/>
  <c r="E53" i="4" s="1"/>
  <c r="E120" i="4" s="1"/>
  <c r="E124" i="4" s="1"/>
  <c r="E70" i="4" s="1"/>
  <c r="E75" i="4"/>
  <c r="E161" i="4"/>
  <c r="E101" i="4"/>
  <c r="I28" i="4"/>
  <c r="I29" i="4" s="1"/>
  <c r="I30" i="4" s="1"/>
  <c r="I76" i="4"/>
  <c r="J76" i="4" s="1"/>
  <c r="K76" i="4" s="1"/>
  <c r="E173" i="4"/>
  <c r="E168" i="4"/>
  <c r="E171" i="4"/>
  <c r="C69" i="15"/>
  <c r="F22" i="16"/>
  <c r="D45" i="4"/>
  <c r="D49" i="4" s="1"/>
  <c r="D50" i="4" s="1"/>
  <c r="D116" i="4"/>
  <c r="D117" i="4"/>
  <c r="D72" i="4" s="1"/>
  <c r="F171" i="4"/>
  <c r="F168" i="4"/>
  <c r="F173" i="4"/>
  <c r="H168" i="4"/>
  <c r="H171" i="4"/>
  <c r="H173" i="4"/>
  <c r="G168" i="4"/>
  <c r="G171" i="4"/>
  <c r="G173" i="4"/>
  <c r="E22" i="16"/>
  <c r="I26" i="15"/>
  <c r="I25" i="15"/>
  <c r="I95" i="15"/>
  <c r="I171" i="4"/>
  <c r="H27" i="15"/>
  <c r="H80" i="15" s="1"/>
  <c r="H66" i="15"/>
  <c r="H67" i="15" s="1"/>
  <c r="J23" i="4"/>
  <c r="J27" i="4" s="1"/>
  <c r="J21" i="15"/>
  <c r="J26" i="4"/>
  <c r="K21" i="4"/>
  <c r="D46" i="4"/>
  <c r="D166" i="4"/>
  <c r="C89" i="16"/>
  <c r="C88" i="16"/>
  <c r="E155" i="4" l="1"/>
  <c r="E123" i="4"/>
  <c r="E56" i="4"/>
  <c r="E57" i="4" s="1"/>
  <c r="E60" i="4" s="1"/>
  <c r="E62" i="4" s="1"/>
  <c r="E21" i="16" s="1"/>
  <c r="E24" i="16" s="1"/>
  <c r="E36" i="16" s="1"/>
  <c r="E38" i="16" s="1"/>
  <c r="E40" i="16" s="1"/>
  <c r="E41" i="16" s="1"/>
  <c r="E43" i="16" s="1"/>
  <c r="F99" i="4"/>
  <c r="I40" i="4"/>
  <c r="I167" i="4" s="1"/>
  <c r="I172" i="4" s="1"/>
  <c r="I103" i="4"/>
  <c r="I104" i="4" s="1"/>
  <c r="I105" i="4" s="1"/>
  <c r="D168" i="4"/>
  <c r="D173" i="4"/>
  <c r="D174" i="4" s="1"/>
  <c r="E174" i="4" s="1"/>
  <c r="F174" i="4" s="1"/>
  <c r="G174" i="4" s="1"/>
  <c r="H174" i="4" s="1"/>
  <c r="D171" i="4"/>
  <c r="J28" i="4"/>
  <c r="J29" i="4" s="1"/>
  <c r="J30" i="4" s="1"/>
  <c r="D22" i="16"/>
  <c r="J26" i="15"/>
  <c r="J51" i="15" s="1"/>
  <c r="J25" i="15"/>
  <c r="J95" i="15"/>
  <c r="I51" i="15"/>
  <c r="I53" i="15" s="1"/>
  <c r="D155" i="4"/>
  <c r="D28" i="16"/>
  <c r="E73" i="4"/>
  <c r="E154" i="4"/>
  <c r="E29" i="16"/>
  <c r="E31" i="16" s="1"/>
  <c r="E57" i="16" s="1"/>
  <c r="E70" i="16" s="1"/>
  <c r="I27" i="15"/>
  <c r="I80" i="15" s="1"/>
  <c r="I66" i="15"/>
  <c r="I67" i="15" s="1"/>
  <c r="L21" i="4"/>
  <c r="K26" i="4"/>
  <c r="K21" i="15"/>
  <c r="K23" i="4"/>
  <c r="K27" i="4" s="1"/>
  <c r="D53" i="4"/>
  <c r="D120" i="4" s="1"/>
  <c r="D52" i="4"/>
  <c r="D71" i="4" s="1"/>
  <c r="D27" i="16" s="1"/>
  <c r="L76" i="4"/>
  <c r="M76" i="4" s="1"/>
  <c r="E87" i="4" l="1"/>
  <c r="E68" i="15" s="1"/>
  <c r="E69" i="15" s="1"/>
  <c r="E80" i="4"/>
  <c r="I168" i="4"/>
  <c r="I174" i="4"/>
  <c r="I173" i="4"/>
  <c r="F42" i="4"/>
  <c r="F160" i="4"/>
  <c r="F100" i="4"/>
  <c r="D56" i="4"/>
  <c r="D57" i="4" s="1"/>
  <c r="D60" i="4" s="1"/>
  <c r="D62" i="4" s="1"/>
  <c r="L23" i="4"/>
  <c r="L27" i="4" s="1"/>
  <c r="M21" i="4"/>
  <c r="L21" i="15"/>
  <c r="L26" i="4"/>
  <c r="E44" i="16"/>
  <c r="E48" i="16" s="1"/>
  <c r="J40" i="4"/>
  <c r="J167" i="4" s="1"/>
  <c r="J103" i="4"/>
  <c r="J104" i="4" s="1"/>
  <c r="J105" i="4" s="1"/>
  <c r="N76" i="4"/>
  <c r="J27" i="15"/>
  <c r="J66" i="15"/>
  <c r="J67" i="15" s="1"/>
  <c r="E84" i="4"/>
  <c r="E152" i="4"/>
  <c r="E159" i="4" s="1"/>
  <c r="K95" i="15"/>
  <c r="K25" i="15"/>
  <c r="K26" i="15"/>
  <c r="D123" i="4"/>
  <c r="D124" i="4"/>
  <c r="D70" i="4" s="1"/>
  <c r="K28" i="4"/>
  <c r="K29" i="4" s="1"/>
  <c r="K30" i="4" s="1"/>
  <c r="F75" i="4" l="1"/>
  <c r="F161" i="4"/>
  <c r="F101" i="4"/>
  <c r="F113" i="4"/>
  <c r="F49" i="4"/>
  <c r="F50" i="4" s="1"/>
  <c r="F53" i="4" s="1"/>
  <c r="F120" i="4" s="1"/>
  <c r="D59" i="4"/>
  <c r="D69" i="4" s="1"/>
  <c r="D73" i="4" s="1"/>
  <c r="D87" i="4" s="1"/>
  <c r="L28" i="4"/>
  <c r="L29" i="4" s="1"/>
  <c r="L30" i="4" s="1"/>
  <c r="L40" i="4" s="1"/>
  <c r="L167" i="4" s="1"/>
  <c r="K27" i="15"/>
  <c r="K80" i="15" s="1"/>
  <c r="K66" i="15"/>
  <c r="K67" i="15" s="1"/>
  <c r="E56" i="16"/>
  <c r="E58" i="16" s="1"/>
  <c r="E97" i="16" s="1"/>
  <c r="L26" i="15"/>
  <c r="L51" i="15" s="1"/>
  <c r="L95" i="15"/>
  <c r="L25" i="15"/>
  <c r="O76" i="4"/>
  <c r="M23" i="4"/>
  <c r="M27" i="4" s="1"/>
  <c r="N21" i="4"/>
  <c r="M26" i="4"/>
  <c r="M21" i="15"/>
  <c r="D29" i="16"/>
  <c r="D154" i="4"/>
  <c r="D80" i="4"/>
  <c r="D21" i="16"/>
  <c r="D24" i="16" s="1"/>
  <c r="D36" i="16" s="1"/>
  <c r="D38" i="16" s="1"/>
  <c r="D40" i="16" s="1"/>
  <c r="D41" i="16" s="1"/>
  <c r="D43" i="16" s="1"/>
  <c r="K40" i="4"/>
  <c r="K167" i="4" s="1"/>
  <c r="K103" i="4"/>
  <c r="K104" i="4" s="1"/>
  <c r="K105" i="4" s="1"/>
  <c r="J173" i="4"/>
  <c r="J168" i="4"/>
  <c r="J172" i="4"/>
  <c r="J174" i="4" s="1"/>
  <c r="J80" i="15"/>
  <c r="K51" i="15"/>
  <c r="E45" i="16"/>
  <c r="E49" i="16" s="1"/>
  <c r="E69" i="16" s="1"/>
  <c r="E71" i="16" s="1"/>
  <c r="E98" i="16" s="1"/>
  <c r="F56" i="4" l="1"/>
  <c r="F57" i="4" s="1"/>
  <c r="F60" i="4" s="1"/>
  <c r="F62" i="4" s="1"/>
  <c r="F21" i="16" s="1"/>
  <c r="F24" i="16" s="1"/>
  <c r="F36" i="16" s="1"/>
  <c r="F38" i="16" s="1"/>
  <c r="F40" i="16" s="1"/>
  <c r="F41" i="16" s="1"/>
  <c r="F43" i="16" s="1"/>
  <c r="F124" i="4"/>
  <c r="F70" i="4" s="1"/>
  <c r="F123" i="4"/>
  <c r="G99" i="4"/>
  <c r="F116" i="4"/>
  <c r="F117" i="4"/>
  <c r="F72" i="4" s="1"/>
  <c r="L103" i="4"/>
  <c r="L104" i="4" s="1"/>
  <c r="L105" i="4" s="1"/>
  <c r="D153" i="4"/>
  <c r="E138" i="4" s="1"/>
  <c r="D30" i="16"/>
  <c r="D31" i="16" s="1"/>
  <c r="D57" i="16" s="1"/>
  <c r="D70" i="16" s="1"/>
  <c r="O21" i="4"/>
  <c r="N26" i="4"/>
  <c r="N28" i="4" s="1"/>
  <c r="N29" i="4" s="1"/>
  <c r="N30" i="4" s="1"/>
  <c r="N21" i="15"/>
  <c r="E50" i="16"/>
  <c r="L27" i="15"/>
  <c r="L80" i="15" s="1"/>
  <c r="L66" i="15"/>
  <c r="L67" i="15" s="1"/>
  <c r="K173" i="4"/>
  <c r="K168" i="4"/>
  <c r="K172" i="4"/>
  <c r="K174" i="4" s="1"/>
  <c r="M95" i="15"/>
  <c r="M25" i="15"/>
  <c r="M26" i="15"/>
  <c r="M51" i="15" s="1"/>
  <c r="D68" i="15"/>
  <c r="D88" i="4"/>
  <c r="E88" i="4" s="1"/>
  <c r="D152" i="4"/>
  <c r="D84" i="4"/>
  <c r="D81" i="4"/>
  <c r="E81" i="4" s="1"/>
  <c r="P76" i="4"/>
  <c r="L173" i="4"/>
  <c r="L168" i="4"/>
  <c r="L172" i="4"/>
  <c r="D44" i="16"/>
  <c r="D48" i="16" s="1"/>
  <c r="M28" i="4"/>
  <c r="M29" i="4" s="1"/>
  <c r="M30" i="4" s="1"/>
  <c r="F80" i="4" l="1"/>
  <c r="F81" i="4" s="1"/>
  <c r="G42" i="4"/>
  <c r="G160" i="4"/>
  <c r="G100" i="4"/>
  <c r="F44" i="16"/>
  <c r="F48" i="16" s="1"/>
  <c r="F28" i="16"/>
  <c r="F155" i="4"/>
  <c r="F154" i="4"/>
  <c r="F29" i="16"/>
  <c r="F73" i="4"/>
  <c r="F87" i="4" s="1"/>
  <c r="F68" i="15" s="1"/>
  <c r="F69" i="15" s="1"/>
  <c r="L174" i="4"/>
  <c r="D69" i="15"/>
  <c r="N40" i="4"/>
  <c r="N103" i="4"/>
  <c r="N104" i="4" s="1"/>
  <c r="P21" i="4"/>
  <c r="O26" i="4"/>
  <c r="O28" i="4" s="1"/>
  <c r="O29" i="4" s="1"/>
  <c r="O30" i="4" s="1"/>
  <c r="O21" i="15"/>
  <c r="N26" i="15"/>
  <c r="N51" i="15" s="1"/>
  <c r="N25" i="15"/>
  <c r="N95" i="15"/>
  <c r="M40" i="4"/>
  <c r="M167" i="4" s="1"/>
  <c r="M103" i="4"/>
  <c r="M104" i="4" s="1"/>
  <c r="M105" i="4" s="1"/>
  <c r="D45" i="16"/>
  <c r="D49" i="16" s="1"/>
  <c r="D69" i="16" s="1"/>
  <c r="D159" i="4"/>
  <c r="D56" i="16"/>
  <c r="Q76" i="4"/>
  <c r="M27" i="15"/>
  <c r="M80" i="15" s="1"/>
  <c r="M66" i="15"/>
  <c r="M67" i="15" s="1"/>
  <c r="F152" i="4" l="1"/>
  <c r="F159" i="4" s="1"/>
  <c r="F84" i="4"/>
  <c r="F88" i="4"/>
  <c r="F56" i="16"/>
  <c r="G75" i="4"/>
  <c r="G161" i="4"/>
  <c r="G101" i="4"/>
  <c r="G113" i="4"/>
  <c r="G49" i="4"/>
  <c r="G50" i="4" s="1"/>
  <c r="G53" i="4" s="1"/>
  <c r="G120" i="4" s="1"/>
  <c r="F31" i="16"/>
  <c r="F57" i="16" s="1"/>
  <c r="F70" i="16" s="1"/>
  <c r="F45" i="16"/>
  <c r="F49" i="16" s="1"/>
  <c r="F69" i="16" s="1"/>
  <c r="D50" i="16"/>
  <c r="M173" i="4"/>
  <c r="M172" i="4"/>
  <c r="M174" i="4" s="1"/>
  <c r="M168" i="4"/>
  <c r="N27" i="15"/>
  <c r="N80" i="15" s="1"/>
  <c r="N66" i="15"/>
  <c r="N67" i="15" s="1"/>
  <c r="R76" i="4"/>
  <c r="S76" i="4" s="1"/>
  <c r="T76" i="4" s="1"/>
  <c r="U76" i="4" s="1"/>
  <c r="V76" i="4" s="1"/>
  <c r="W76" i="4" s="1"/>
  <c r="X76" i="4" s="1"/>
  <c r="Y76" i="4" s="1"/>
  <c r="Z76" i="4" s="1"/>
  <c r="AA76" i="4" s="1"/>
  <c r="AB76" i="4" s="1"/>
  <c r="D71" i="16"/>
  <c r="P21" i="15"/>
  <c r="Q21" i="4"/>
  <c r="P26" i="4"/>
  <c r="P28" i="4" s="1"/>
  <c r="P29" i="4" s="1"/>
  <c r="P30" i="4" s="1"/>
  <c r="O26" i="15"/>
  <c r="O51" i="15" s="1"/>
  <c r="O25" i="15"/>
  <c r="O95" i="15"/>
  <c r="O40" i="4"/>
  <c r="O103" i="4"/>
  <c r="O104" i="4" s="1"/>
  <c r="D58" i="16"/>
  <c r="N105" i="4"/>
  <c r="F71" i="16" l="1"/>
  <c r="F98" i="16" s="1"/>
  <c r="G56" i="4"/>
  <c r="G57" i="4" s="1"/>
  <c r="G60" i="4" s="1"/>
  <c r="G62" i="4" s="1"/>
  <c r="G124" i="4"/>
  <c r="G70" i="4" s="1"/>
  <c r="G123" i="4"/>
  <c r="F50" i="16"/>
  <c r="G116" i="4"/>
  <c r="G117" i="4"/>
  <c r="G72" i="4" s="1"/>
  <c r="H99" i="4"/>
  <c r="F58" i="16"/>
  <c r="F97" i="16" s="1"/>
  <c r="D97" i="16"/>
  <c r="D59" i="16"/>
  <c r="E59" i="16"/>
  <c r="D60" i="16"/>
  <c r="P40" i="4"/>
  <c r="P103" i="4"/>
  <c r="P104" i="4" s="1"/>
  <c r="O66" i="15"/>
  <c r="O67" i="15" s="1"/>
  <c r="O27" i="15"/>
  <c r="O80" i="15" s="1"/>
  <c r="D98" i="16"/>
  <c r="E72" i="16"/>
  <c r="F72" i="16"/>
  <c r="D72" i="16"/>
  <c r="D73" i="16"/>
  <c r="O105" i="4"/>
  <c r="R21" i="4"/>
  <c r="Q26" i="4"/>
  <c r="Q28" i="4" s="1"/>
  <c r="Q29" i="4" s="1"/>
  <c r="Q30" i="4" s="1"/>
  <c r="Q21" i="15"/>
  <c r="P95" i="15"/>
  <c r="P25" i="15"/>
  <c r="P26" i="15"/>
  <c r="P51" i="15" s="1"/>
  <c r="F59" i="16" l="1"/>
  <c r="H42" i="4"/>
  <c r="H160" i="4"/>
  <c r="H100" i="4"/>
  <c r="G155" i="4"/>
  <c r="G28" i="16"/>
  <c r="G29" i="16"/>
  <c r="G154" i="4"/>
  <c r="G73" i="4"/>
  <c r="G87" i="4" s="1"/>
  <c r="G21" i="16"/>
  <c r="G24" i="16" s="1"/>
  <c r="G36" i="16" s="1"/>
  <c r="G38" i="16" s="1"/>
  <c r="G40" i="16" s="1"/>
  <c r="G41" i="16" s="1"/>
  <c r="G43" i="16" s="1"/>
  <c r="G80" i="4"/>
  <c r="R26" i="4"/>
  <c r="R28" i="4" s="1"/>
  <c r="R29" i="4" s="1"/>
  <c r="R30" i="4" s="1"/>
  <c r="R21" i="15"/>
  <c r="S21" i="4"/>
  <c r="D89" i="16"/>
  <c r="E73" i="16"/>
  <c r="D88" i="16"/>
  <c r="E60" i="16"/>
  <c r="P27" i="15"/>
  <c r="P80" i="15" s="1"/>
  <c r="P66" i="15"/>
  <c r="P67" i="15" s="1"/>
  <c r="P105" i="4"/>
  <c r="Q25" i="15"/>
  <c r="Q26" i="15"/>
  <c r="Q51" i="15" s="1"/>
  <c r="Q95" i="15"/>
  <c r="Q40" i="4"/>
  <c r="Q103" i="4"/>
  <c r="Q104" i="4" s="1"/>
  <c r="H75" i="4" l="1"/>
  <c r="H161" i="4"/>
  <c r="H101" i="4"/>
  <c r="G84" i="4"/>
  <c r="G152" i="4"/>
  <c r="G159" i="4" s="1"/>
  <c r="G81" i="4"/>
  <c r="G68" i="15"/>
  <c r="G69" i="15" s="1"/>
  <c r="G88" i="4"/>
  <c r="G31" i="16"/>
  <c r="G57" i="16" s="1"/>
  <c r="G70" i="16" s="1"/>
  <c r="G44" i="16"/>
  <c r="G48" i="16" s="1"/>
  <c r="H49" i="4"/>
  <c r="H50" i="4" s="1"/>
  <c r="H53" i="4" s="1"/>
  <c r="H120" i="4" s="1"/>
  <c r="H113" i="4"/>
  <c r="E89" i="16"/>
  <c r="F73" i="16"/>
  <c r="E88" i="16"/>
  <c r="F60" i="16"/>
  <c r="R26" i="15"/>
  <c r="R51" i="15" s="1"/>
  <c r="R95" i="15"/>
  <c r="R25" i="15"/>
  <c r="S21" i="15"/>
  <c r="T21" i="4"/>
  <c r="S26" i="4"/>
  <c r="S28" i="4" s="1"/>
  <c r="S29" i="4" s="1"/>
  <c r="S30" i="4" s="1"/>
  <c r="R40" i="4"/>
  <c r="R103" i="4"/>
  <c r="R104" i="4" s="1"/>
  <c r="Q105" i="4"/>
  <c r="Q27" i="15"/>
  <c r="Q80" i="15" s="1"/>
  <c r="Q66" i="15"/>
  <c r="Q67" i="15" s="1"/>
  <c r="G45" i="16" l="1"/>
  <c r="G49" i="16" s="1"/>
  <c r="G69" i="16" s="1"/>
  <c r="G71" i="16" s="1"/>
  <c r="G98" i="16" s="1"/>
  <c r="H56" i="4"/>
  <c r="H57" i="4" s="1"/>
  <c r="H60" i="4" s="1"/>
  <c r="H62" i="4" s="1"/>
  <c r="H80" i="4" s="1"/>
  <c r="H81" i="4" s="1"/>
  <c r="I99" i="4"/>
  <c r="H117" i="4"/>
  <c r="H72" i="4" s="1"/>
  <c r="H116" i="4"/>
  <c r="H124" i="4"/>
  <c r="H70" i="4" s="1"/>
  <c r="H123" i="4"/>
  <c r="G56" i="16"/>
  <c r="G58" i="16" s="1"/>
  <c r="G60" i="16" s="1"/>
  <c r="R105" i="4"/>
  <c r="R27" i="15"/>
  <c r="R80" i="15" s="1"/>
  <c r="R66" i="15"/>
  <c r="R67" i="15" s="1"/>
  <c r="S25" i="15"/>
  <c r="S26" i="15"/>
  <c r="S51" i="15" s="1"/>
  <c r="S95" i="15"/>
  <c r="F88" i="16"/>
  <c r="F89" i="16"/>
  <c r="S40" i="4"/>
  <c r="S103" i="4"/>
  <c r="S104" i="4" s="1"/>
  <c r="U21" i="4"/>
  <c r="T26" i="4"/>
  <c r="T28" i="4" s="1"/>
  <c r="T29" i="4" s="1"/>
  <c r="T30" i="4" s="1"/>
  <c r="T21" i="15"/>
  <c r="G73" i="16" l="1"/>
  <c r="H21" i="16"/>
  <c r="H24" i="16" s="1"/>
  <c r="H36" i="16" s="1"/>
  <c r="H38" i="16" s="1"/>
  <c r="H40" i="16" s="1"/>
  <c r="H41" i="16" s="1"/>
  <c r="H43" i="16" s="1"/>
  <c r="G50" i="16"/>
  <c r="G72" i="16"/>
  <c r="G97" i="16"/>
  <c r="G59" i="16"/>
  <c r="I160" i="4"/>
  <c r="I42" i="4"/>
  <c r="I100" i="4"/>
  <c r="H73" i="4"/>
  <c r="H87" i="4" s="1"/>
  <c r="H29" i="16"/>
  <c r="H154" i="4"/>
  <c r="H28" i="16"/>
  <c r="H155" i="4"/>
  <c r="H44" i="16"/>
  <c r="H48" i="16" s="1"/>
  <c r="H84" i="4"/>
  <c r="H152" i="4"/>
  <c r="H159" i="4" s="1"/>
  <c r="S105" i="4"/>
  <c r="V21" i="4"/>
  <c r="U21" i="15"/>
  <c r="U26" i="4"/>
  <c r="U28" i="4" s="1"/>
  <c r="U29" i="4" s="1"/>
  <c r="U30" i="4" s="1"/>
  <c r="G88" i="16"/>
  <c r="S66" i="15"/>
  <c r="S67" i="15" s="1"/>
  <c r="S27" i="15"/>
  <c r="S80" i="15" s="1"/>
  <c r="G89" i="16"/>
  <c r="T25" i="15"/>
  <c r="T95" i="15"/>
  <c r="T26" i="15"/>
  <c r="T51" i="15" s="1"/>
  <c r="T40" i="4"/>
  <c r="T103" i="4"/>
  <c r="T104" i="4" s="1"/>
  <c r="H31" i="16" l="1"/>
  <c r="H57" i="16" s="1"/>
  <c r="H70" i="16" s="1"/>
  <c r="H45" i="16"/>
  <c r="H49" i="16" s="1"/>
  <c r="H69" i="16" s="1"/>
  <c r="H68" i="15"/>
  <c r="H69" i="15" s="1"/>
  <c r="H88" i="4"/>
  <c r="I113" i="4"/>
  <c r="I49" i="4"/>
  <c r="I50" i="4" s="1"/>
  <c r="I53" i="4" s="1"/>
  <c r="I120" i="4" s="1"/>
  <c r="H56" i="16"/>
  <c r="I75" i="4"/>
  <c r="I161" i="4"/>
  <c r="I101" i="4"/>
  <c r="T105" i="4"/>
  <c r="U26" i="15"/>
  <c r="U51" i="15" s="1"/>
  <c r="U95" i="15"/>
  <c r="U25" i="15"/>
  <c r="W21" i="4"/>
  <c r="V21" i="15"/>
  <c r="V26" i="4"/>
  <c r="V28" i="4" s="1"/>
  <c r="V29" i="4" s="1"/>
  <c r="V30" i="4" s="1"/>
  <c r="U40" i="4"/>
  <c r="U103" i="4"/>
  <c r="U104" i="4" s="1"/>
  <c r="T66" i="15"/>
  <c r="T67" i="15" s="1"/>
  <c r="T27" i="15"/>
  <c r="T80" i="15" s="1"/>
  <c r="U105" i="4" l="1"/>
  <c r="H71" i="16"/>
  <c r="H58" i="16"/>
  <c r="H60" i="16" s="1"/>
  <c r="I56" i="4"/>
  <c r="I57" i="4" s="1"/>
  <c r="I60" i="4" s="1"/>
  <c r="I62" i="4" s="1"/>
  <c r="I80" i="4" s="1"/>
  <c r="H50" i="16"/>
  <c r="H98" i="16"/>
  <c r="H72" i="16"/>
  <c r="H73" i="16"/>
  <c r="J99" i="4"/>
  <c r="I117" i="4"/>
  <c r="I72" i="4" s="1"/>
  <c r="I116" i="4"/>
  <c r="I124" i="4"/>
  <c r="I70" i="4" s="1"/>
  <c r="I123" i="4"/>
  <c r="U66" i="15"/>
  <c r="U67" i="15" s="1"/>
  <c r="U27" i="15"/>
  <c r="U80" i="15" s="1"/>
  <c r="V25" i="15"/>
  <c r="V95" i="15"/>
  <c r="V26" i="15"/>
  <c r="V51" i="15" s="1"/>
  <c r="W21" i="15"/>
  <c r="W26" i="4"/>
  <c r="W28" i="4" s="1"/>
  <c r="W29" i="4" s="1"/>
  <c r="W30" i="4" s="1"/>
  <c r="X21" i="4"/>
  <c r="V40" i="4"/>
  <c r="V103" i="4"/>
  <c r="V104" i="4" s="1"/>
  <c r="V105" i="4" l="1"/>
  <c r="I21" i="16"/>
  <c r="I24" i="16" s="1"/>
  <c r="I36" i="16" s="1"/>
  <c r="I38" i="16" s="1"/>
  <c r="I41" i="16" s="1"/>
  <c r="I43" i="16" s="1"/>
  <c r="I44" i="16" s="1"/>
  <c r="I48" i="16" s="1"/>
  <c r="H59" i="16"/>
  <c r="H97" i="16"/>
  <c r="I152" i="4"/>
  <c r="I159" i="4" s="1"/>
  <c r="I84" i="4"/>
  <c r="I81" i="4"/>
  <c r="I154" i="4"/>
  <c r="I29" i="16"/>
  <c r="H88" i="16"/>
  <c r="J42" i="4"/>
  <c r="J160" i="4"/>
  <c r="J100" i="4"/>
  <c r="I73" i="4"/>
  <c r="I87" i="4" s="1"/>
  <c r="I28" i="16"/>
  <c r="I155" i="4"/>
  <c r="H89" i="16"/>
  <c r="X21" i="15"/>
  <c r="X26" i="4"/>
  <c r="X28" i="4" s="1"/>
  <c r="X29" i="4" s="1"/>
  <c r="X30" i="4" s="1"/>
  <c r="Y21" i="4"/>
  <c r="W40" i="4"/>
  <c r="W103" i="4"/>
  <c r="W104" i="4" s="1"/>
  <c r="V27" i="15"/>
  <c r="V80" i="15" s="1"/>
  <c r="V66" i="15"/>
  <c r="V67" i="15" s="1"/>
  <c r="W95" i="15"/>
  <c r="W26" i="15"/>
  <c r="W51" i="15" s="1"/>
  <c r="W25" i="15"/>
  <c r="Z56" i="1"/>
  <c r="W105" i="4" l="1"/>
  <c r="C105" i="4" s="1"/>
  <c r="P32" i="1" s="1"/>
  <c r="I68" i="15"/>
  <c r="I69" i="15" s="1"/>
  <c r="I88" i="4"/>
  <c r="I45" i="16"/>
  <c r="I49" i="16" s="1"/>
  <c r="I69" i="16" s="1"/>
  <c r="I31" i="16"/>
  <c r="I57" i="16" s="1"/>
  <c r="I70" i="16" s="1"/>
  <c r="J75" i="4"/>
  <c r="J161" i="4"/>
  <c r="J101" i="4"/>
  <c r="I56" i="16"/>
  <c r="J49" i="4"/>
  <c r="J50" i="4" s="1"/>
  <c r="J53" i="4" s="1"/>
  <c r="J56" i="4" s="1"/>
  <c r="J57" i="4" s="1"/>
  <c r="J60" i="4" s="1"/>
  <c r="J62" i="4" s="1"/>
  <c r="J113" i="4"/>
  <c r="X40" i="4"/>
  <c r="X103" i="4"/>
  <c r="X104" i="4" s="1"/>
  <c r="X105" i="4" s="1"/>
  <c r="X25" i="15"/>
  <c r="X26" i="15"/>
  <c r="X51" i="15" s="1"/>
  <c r="X95" i="15"/>
  <c r="W66" i="15"/>
  <c r="W67" i="15" s="1"/>
  <c r="W27" i="15"/>
  <c r="W80" i="15" s="1"/>
  <c r="Y21" i="15"/>
  <c r="Z21" i="4"/>
  <c r="Y26" i="4"/>
  <c r="Y28" i="4" s="1"/>
  <c r="Y29" i="4" s="1"/>
  <c r="Y30" i="4" s="1"/>
  <c r="J120" i="4" l="1"/>
  <c r="J123" i="4" s="1"/>
  <c r="I71" i="16"/>
  <c r="K99" i="4"/>
  <c r="J117" i="4"/>
  <c r="J72" i="4" s="1"/>
  <c r="J116" i="4"/>
  <c r="J80" i="4"/>
  <c r="J21" i="16"/>
  <c r="J24" i="16" s="1"/>
  <c r="J36" i="16" s="1"/>
  <c r="J38" i="16" s="1"/>
  <c r="J41" i="16" s="1"/>
  <c r="J43" i="16" s="1"/>
  <c r="I50" i="16"/>
  <c r="I58" i="16"/>
  <c r="Z21" i="15"/>
  <c r="Z26" i="4"/>
  <c r="Z28" i="4" s="1"/>
  <c r="Z29" i="4" s="1"/>
  <c r="Z30" i="4" s="1"/>
  <c r="AA21" i="4"/>
  <c r="Y26" i="15"/>
  <c r="Y51" i="15" s="1"/>
  <c r="Y95" i="15"/>
  <c r="Y25" i="15"/>
  <c r="X27" i="15"/>
  <c r="X80" i="15" s="1"/>
  <c r="X66" i="15"/>
  <c r="X67" i="15" s="1"/>
  <c r="Y40" i="4"/>
  <c r="Y103" i="4"/>
  <c r="Y104" i="4" s="1"/>
  <c r="Y105" i="4" s="1"/>
  <c r="J124" i="4" l="1"/>
  <c r="J70" i="4" s="1"/>
  <c r="J73" i="4" s="1"/>
  <c r="J87" i="4" s="1"/>
  <c r="I97" i="16"/>
  <c r="I59" i="16"/>
  <c r="C66" i="16" s="1"/>
  <c r="I60" i="16"/>
  <c r="I98" i="16"/>
  <c r="I72" i="16"/>
  <c r="I73" i="16"/>
  <c r="J155" i="4"/>
  <c r="J28" i="16"/>
  <c r="J44" i="16"/>
  <c r="J48" i="16" s="1"/>
  <c r="K160" i="4"/>
  <c r="K42" i="4"/>
  <c r="K100" i="4"/>
  <c r="J84" i="4"/>
  <c r="J152" i="4"/>
  <c r="J159" i="4" s="1"/>
  <c r="J81" i="4"/>
  <c r="Z25" i="15"/>
  <c r="Z95" i="15"/>
  <c r="Z26" i="15"/>
  <c r="Z51" i="15" s="1"/>
  <c r="Y27" i="15"/>
  <c r="Y80" i="15" s="1"/>
  <c r="Y66" i="15"/>
  <c r="Y67" i="15" s="1"/>
  <c r="AA21" i="15"/>
  <c r="AA26" i="4"/>
  <c r="AA28" i="4" s="1"/>
  <c r="AA29" i="4" s="1"/>
  <c r="AA30" i="4" s="1"/>
  <c r="AB21" i="4"/>
  <c r="Z40" i="4"/>
  <c r="Z103" i="4"/>
  <c r="Z104" i="4" s="1"/>
  <c r="Z105" i="4" s="1"/>
  <c r="J29" i="16" l="1"/>
  <c r="J154" i="4"/>
  <c r="J45" i="16"/>
  <c r="J49" i="16" s="1"/>
  <c r="J69" i="16" s="1"/>
  <c r="J31" i="16"/>
  <c r="J57" i="16" s="1"/>
  <c r="J70" i="16" s="1"/>
  <c r="I89" i="16"/>
  <c r="J68" i="15"/>
  <c r="J69" i="15" s="1"/>
  <c r="J88" i="4"/>
  <c r="J56" i="16"/>
  <c r="I88" i="16"/>
  <c r="K75" i="4"/>
  <c r="K161" i="4"/>
  <c r="K101" i="4"/>
  <c r="K49" i="4"/>
  <c r="K50" i="4" s="1"/>
  <c r="K53" i="4" s="1"/>
  <c r="K120" i="4" s="1"/>
  <c r="K113" i="4"/>
  <c r="AA95" i="15"/>
  <c r="AA25" i="15"/>
  <c r="AA26" i="15"/>
  <c r="AA51" i="15" s="1"/>
  <c r="Z66" i="15"/>
  <c r="Z67" i="15" s="1"/>
  <c r="Z27" i="15"/>
  <c r="Z80" i="15" s="1"/>
  <c r="AB21" i="15"/>
  <c r="AB26" i="4"/>
  <c r="AB28" i="4" s="1"/>
  <c r="AB29" i="4" s="1"/>
  <c r="AB30" i="4" s="1"/>
  <c r="AA103" i="4"/>
  <c r="AA104" i="4" s="1"/>
  <c r="AA105" i="4" s="1"/>
  <c r="AA40" i="4"/>
  <c r="J71" i="16" l="1"/>
  <c r="J50" i="16"/>
  <c r="K123" i="4"/>
  <c r="K124" i="4"/>
  <c r="K70" i="4" s="1"/>
  <c r="K117" i="4"/>
  <c r="K72" i="4" s="1"/>
  <c r="K116" i="4"/>
  <c r="L99" i="4"/>
  <c r="J98" i="16"/>
  <c r="J72" i="16"/>
  <c r="J58" i="16"/>
  <c r="K56" i="4"/>
  <c r="K57" i="4" s="1"/>
  <c r="K60" i="4" s="1"/>
  <c r="K62" i="4" s="1"/>
  <c r="J73" i="16"/>
  <c r="AB103" i="4"/>
  <c r="AB104" i="4" s="1"/>
  <c r="AB105" i="4" s="1"/>
  <c r="AB40" i="4"/>
  <c r="AA27" i="15"/>
  <c r="AA80" i="15" s="1"/>
  <c r="AA66" i="15"/>
  <c r="AA67" i="15" s="1"/>
  <c r="AB25" i="15"/>
  <c r="AB95" i="15"/>
  <c r="AB26" i="15"/>
  <c r="D38" i="15"/>
  <c r="D43" i="15"/>
  <c r="C56" i="15" s="1"/>
  <c r="J89" i="16" l="1"/>
  <c r="L42" i="4"/>
  <c r="L160" i="4"/>
  <c r="L100" i="4"/>
  <c r="K80" i="4"/>
  <c r="K21" i="16"/>
  <c r="K24" i="16" s="1"/>
  <c r="K36" i="16" s="1"/>
  <c r="K38" i="16" s="1"/>
  <c r="K41" i="16" s="1"/>
  <c r="K43" i="16" s="1"/>
  <c r="J97" i="16"/>
  <c r="J59" i="16"/>
  <c r="J60" i="16"/>
  <c r="K28" i="16"/>
  <c r="K155" i="4"/>
  <c r="K29" i="16"/>
  <c r="K154" i="4"/>
  <c r="K73" i="4"/>
  <c r="K87" i="4" s="1"/>
  <c r="AB27" i="15"/>
  <c r="AB66" i="15"/>
  <c r="AB67" i="15" s="1"/>
  <c r="D39" i="15"/>
  <c r="D40" i="15" s="1"/>
  <c r="Y62" i="1"/>
  <c r="C84" i="15"/>
  <c r="AB51" i="15"/>
  <c r="D44" i="15"/>
  <c r="D45" i="15" s="1"/>
  <c r="K31" i="16" l="1"/>
  <c r="K57" i="16" s="1"/>
  <c r="K70" i="16" s="1"/>
  <c r="K44" i="16"/>
  <c r="K48" i="16" s="1"/>
  <c r="J88" i="16"/>
  <c r="K68" i="15"/>
  <c r="K69" i="15" s="1"/>
  <c r="K88" i="4"/>
  <c r="L113" i="4"/>
  <c r="L49" i="4"/>
  <c r="L50" i="4" s="1"/>
  <c r="L53" i="4" s="1"/>
  <c r="L120" i="4" s="1"/>
  <c r="K84" i="4"/>
  <c r="K152" i="4"/>
  <c r="K159" i="4" s="1"/>
  <c r="K81" i="4"/>
  <c r="L75" i="4"/>
  <c r="L161" i="4"/>
  <c r="L101" i="4"/>
  <c r="AB80" i="15"/>
  <c r="D28" i="15"/>
  <c r="L56" i="4" l="1"/>
  <c r="L57" i="4" s="1"/>
  <c r="L60" i="4" s="1"/>
  <c r="L62" i="4" s="1"/>
  <c r="L80" i="4" s="1"/>
  <c r="L81" i="4" s="1"/>
  <c r="K45" i="16"/>
  <c r="K49" i="16" s="1"/>
  <c r="K69" i="16" s="1"/>
  <c r="K71" i="16" s="1"/>
  <c r="L124" i="4"/>
  <c r="L70" i="4" s="1"/>
  <c r="L123" i="4"/>
  <c r="K56" i="16"/>
  <c r="K58" i="16" s="1"/>
  <c r="M99" i="4"/>
  <c r="L117" i="4"/>
  <c r="L72" i="4" s="1"/>
  <c r="L116" i="4"/>
  <c r="D81" i="15"/>
  <c r="L21" i="16" l="1"/>
  <c r="L24" i="16" s="1"/>
  <c r="L36" i="16" s="1"/>
  <c r="L38" i="16" s="1"/>
  <c r="L41" i="16" s="1"/>
  <c r="L43" i="16" s="1"/>
  <c r="L44" i="16" s="1"/>
  <c r="L48" i="16" s="1"/>
  <c r="K50" i="16"/>
  <c r="K98" i="16"/>
  <c r="K72" i="16"/>
  <c r="K73" i="16"/>
  <c r="K97" i="16"/>
  <c r="K59" i="16"/>
  <c r="K60" i="16"/>
  <c r="L73" i="4"/>
  <c r="L87" i="4" s="1"/>
  <c r="L154" i="4"/>
  <c r="L29" i="16"/>
  <c r="L155" i="4"/>
  <c r="L28" i="16"/>
  <c r="M42" i="4"/>
  <c r="M160" i="4"/>
  <c r="M100" i="4"/>
  <c r="L84" i="4"/>
  <c r="L152" i="4"/>
  <c r="L159" i="4" s="1"/>
  <c r="L45" i="16" l="1"/>
  <c r="L49" i="16" s="1"/>
  <c r="L69" i="16" s="1"/>
  <c r="L56" i="16"/>
  <c r="L31" i="16"/>
  <c r="L57" i="16" s="1"/>
  <c r="L70" i="16" s="1"/>
  <c r="K89" i="16"/>
  <c r="M75" i="4"/>
  <c r="M161" i="4"/>
  <c r="M101" i="4"/>
  <c r="L68" i="15"/>
  <c r="L88" i="4"/>
  <c r="M113" i="4"/>
  <c r="M49" i="4"/>
  <c r="M50" i="4" s="1"/>
  <c r="M53" i="4" s="1"/>
  <c r="M120" i="4" s="1"/>
  <c r="K88" i="16"/>
  <c r="L50" i="16" l="1"/>
  <c r="L71" i="16"/>
  <c r="L73" i="16" s="1"/>
  <c r="M56" i="4"/>
  <c r="M57" i="4" s="1"/>
  <c r="M60" i="4" s="1"/>
  <c r="M62" i="4" s="1"/>
  <c r="M80" i="4" s="1"/>
  <c r="L72" i="16"/>
  <c r="L89" i="16"/>
  <c r="L69" i="15"/>
  <c r="M123" i="4"/>
  <c r="M124" i="4"/>
  <c r="M70" i="4" s="1"/>
  <c r="M116" i="4"/>
  <c r="M117" i="4"/>
  <c r="M72" i="4" s="1"/>
  <c r="N99" i="4"/>
  <c r="L58" i="16"/>
  <c r="L98" i="16" l="1"/>
  <c r="M21" i="16"/>
  <c r="M24" i="16" s="1"/>
  <c r="M36" i="16" s="1"/>
  <c r="M38" i="16" s="1"/>
  <c r="M41" i="16" s="1"/>
  <c r="M43" i="16" s="1"/>
  <c r="M44" i="16" s="1"/>
  <c r="M48" i="16" s="1"/>
  <c r="M29" i="16"/>
  <c r="M73" i="4"/>
  <c r="M87" i="4" s="1"/>
  <c r="M154" i="4"/>
  <c r="L97" i="16"/>
  <c r="L59" i="16"/>
  <c r="L60" i="16"/>
  <c r="M81" i="4"/>
  <c r="M152" i="4"/>
  <c r="M84" i="4"/>
  <c r="N160" i="4"/>
  <c r="N42" i="4"/>
  <c r="N100" i="4"/>
  <c r="M155" i="4"/>
  <c r="M28" i="16"/>
  <c r="M31" i="16" l="1"/>
  <c r="M57" i="16" s="1"/>
  <c r="M70" i="16" s="1"/>
  <c r="N49" i="4"/>
  <c r="N50" i="4" s="1"/>
  <c r="N53" i="4" s="1"/>
  <c r="N120" i="4" s="1"/>
  <c r="N113" i="4"/>
  <c r="M68" i="15"/>
  <c r="M88" i="4"/>
  <c r="N75" i="4"/>
  <c r="N161" i="4"/>
  <c r="N101" i="4"/>
  <c r="M45" i="16"/>
  <c r="M49" i="16" s="1"/>
  <c r="M69" i="16" s="1"/>
  <c r="M159" i="4"/>
  <c r="L88" i="16"/>
  <c r="M56" i="16"/>
  <c r="N56" i="4" l="1"/>
  <c r="N57" i="4" s="1"/>
  <c r="N60" i="4" s="1"/>
  <c r="N62" i="4" s="1"/>
  <c r="N80" i="4" s="1"/>
  <c r="M69" i="15"/>
  <c r="M71" i="16"/>
  <c r="O99" i="4"/>
  <c r="M58" i="16"/>
  <c r="M50" i="16"/>
  <c r="N117" i="4"/>
  <c r="N72" i="4" s="1"/>
  <c r="N116" i="4"/>
  <c r="N124" i="4"/>
  <c r="N70" i="4" s="1"/>
  <c r="N123" i="4"/>
  <c r="N21" i="16" l="1"/>
  <c r="N24" i="16" s="1"/>
  <c r="N36" i="16" s="1"/>
  <c r="N38" i="16" s="1"/>
  <c r="N41" i="16" s="1"/>
  <c r="N43" i="16" s="1"/>
  <c r="N44" i="16" s="1"/>
  <c r="M97" i="16"/>
  <c r="M59" i="16"/>
  <c r="M60" i="16"/>
  <c r="N152" i="4"/>
  <c r="N84" i="4"/>
  <c r="N81" i="4"/>
  <c r="N155" i="4"/>
  <c r="N28" i="16"/>
  <c r="N73" i="4"/>
  <c r="N87" i="4" s="1"/>
  <c r="N154" i="4"/>
  <c r="N29" i="16"/>
  <c r="O160" i="4"/>
  <c r="O42" i="4"/>
  <c r="O100" i="4"/>
  <c r="M98" i="16"/>
  <c r="M72" i="16"/>
  <c r="M73" i="16"/>
  <c r="N48" i="16" l="1"/>
  <c r="N56" i="16" s="1"/>
  <c r="N45" i="16"/>
  <c r="N49" i="16" s="1"/>
  <c r="N69" i="16" s="1"/>
  <c r="O49" i="4"/>
  <c r="O50" i="4" s="1"/>
  <c r="O53" i="4" s="1"/>
  <c r="O56" i="4" s="1"/>
  <c r="O57" i="4" s="1"/>
  <c r="O60" i="4" s="1"/>
  <c r="O62" i="4" s="1"/>
  <c r="O113" i="4"/>
  <c r="M89" i="16"/>
  <c r="N159" i="4"/>
  <c r="N68" i="15"/>
  <c r="N88" i="4"/>
  <c r="M88" i="16"/>
  <c r="O75" i="4"/>
  <c r="O161" i="4"/>
  <c r="O101" i="4"/>
  <c r="N31" i="16"/>
  <c r="N57" i="16" s="1"/>
  <c r="N70" i="16" s="1"/>
  <c r="N71" i="16" s="1"/>
  <c r="N50" i="16" l="1"/>
  <c r="O120" i="4"/>
  <c r="N98" i="16"/>
  <c r="N72" i="16"/>
  <c r="N73" i="16"/>
  <c r="O124" i="4"/>
  <c r="O70" i="4" s="1"/>
  <c r="O123" i="4"/>
  <c r="N58" i="16"/>
  <c r="N69" i="15"/>
  <c r="O117" i="4"/>
  <c r="O72" i="4" s="1"/>
  <c r="O116" i="4"/>
  <c r="O21" i="16"/>
  <c r="O24" i="16" s="1"/>
  <c r="O36" i="16" s="1"/>
  <c r="O38" i="16" s="1"/>
  <c r="O41" i="16" s="1"/>
  <c r="O43" i="16" s="1"/>
  <c r="O80" i="4"/>
  <c r="P99" i="4"/>
  <c r="O152" i="4" l="1"/>
  <c r="O84" i="4"/>
  <c r="O81" i="4"/>
  <c r="O44" i="16"/>
  <c r="O48" i="16" s="1"/>
  <c r="O73" i="4"/>
  <c r="O87" i="4" s="1"/>
  <c r="O154" i="4"/>
  <c r="O29" i="16"/>
  <c r="N89" i="16"/>
  <c r="N97" i="16"/>
  <c r="N59" i="16"/>
  <c r="N60" i="16"/>
  <c r="O28" i="16"/>
  <c r="O155" i="4"/>
  <c r="P42" i="4"/>
  <c r="P160" i="4"/>
  <c r="P100" i="4"/>
  <c r="D18" i="15"/>
  <c r="O45" i="16" l="1"/>
  <c r="O49" i="16" s="1"/>
  <c r="O69" i="16" s="1"/>
  <c r="O31" i="16"/>
  <c r="O68" i="15"/>
  <c r="O88" i="4"/>
  <c r="O56" i="16"/>
  <c r="P75" i="4"/>
  <c r="P161" i="4"/>
  <c r="P101" i="4"/>
  <c r="P113" i="4"/>
  <c r="P49" i="4"/>
  <c r="P50" i="4" s="1"/>
  <c r="P53" i="4" s="1"/>
  <c r="P120" i="4" s="1"/>
  <c r="O57" i="16"/>
  <c r="N88" i="16"/>
  <c r="O159" i="4"/>
  <c r="E18" i="15"/>
  <c r="D19" i="15"/>
  <c r="O50" i="16" l="1"/>
  <c r="O58" i="16"/>
  <c r="O60" i="16" s="1"/>
  <c r="O88" i="16" s="1"/>
  <c r="P56" i="4"/>
  <c r="P57" i="4" s="1"/>
  <c r="P60" i="4" s="1"/>
  <c r="P62" i="4" s="1"/>
  <c r="P21" i="16" s="1"/>
  <c r="P24" i="16" s="1"/>
  <c r="P36" i="16" s="1"/>
  <c r="P38" i="16" s="1"/>
  <c r="P41" i="16" s="1"/>
  <c r="P43" i="16" s="1"/>
  <c r="P117" i="4"/>
  <c r="P72" i="4" s="1"/>
  <c r="P116" i="4"/>
  <c r="O97" i="16"/>
  <c r="O59" i="16"/>
  <c r="Q99" i="4"/>
  <c r="O70" i="16"/>
  <c r="O71" i="16" s="1"/>
  <c r="P123" i="4"/>
  <c r="P124" i="4"/>
  <c r="P70" i="4" s="1"/>
  <c r="O69" i="15"/>
  <c r="Y55" i="1"/>
  <c r="D94" i="15"/>
  <c r="E19" i="15"/>
  <c r="E94" i="15" s="1"/>
  <c r="F18" i="15"/>
  <c r="P80" i="4" l="1"/>
  <c r="P84" i="4" s="1"/>
  <c r="P73" i="4"/>
  <c r="P87" i="4" s="1"/>
  <c r="P154" i="4"/>
  <c r="P29" i="16"/>
  <c r="Q42" i="4"/>
  <c r="Q160" i="4"/>
  <c r="Q100" i="4"/>
  <c r="P155" i="4"/>
  <c r="P28" i="16"/>
  <c r="P44" i="16"/>
  <c r="P48" i="16" s="1"/>
  <c r="O98" i="16"/>
  <c r="O72" i="16"/>
  <c r="O73" i="16"/>
  <c r="G18" i="15"/>
  <c r="F19" i="15"/>
  <c r="F94" i="15" s="1"/>
  <c r="P152" i="4" l="1"/>
  <c r="P81" i="4"/>
  <c r="P31" i="16"/>
  <c r="P57" i="16" s="1"/>
  <c r="P70" i="16" s="1"/>
  <c r="P45" i="16"/>
  <c r="P49" i="16" s="1"/>
  <c r="P69" i="16" s="1"/>
  <c r="O89" i="16"/>
  <c r="P159" i="4"/>
  <c r="Q49" i="4"/>
  <c r="Q50" i="4" s="1"/>
  <c r="Q53" i="4" s="1"/>
  <c r="Q120" i="4" s="1"/>
  <c r="Q113" i="4"/>
  <c r="Q75" i="4"/>
  <c r="Q161" i="4"/>
  <c r="Q101" i="4"/>
  <c r="P56" i="16"/>
  <c r="P68" i="15"/>
  <c r="P88" i="4"/>
  <c r="G19" i="15"/>
  <c r="G94" i="15" s="1"/>
  <c r="H18" i="15"/>
  <c r="P50" i="16" l="1"/>
  <c r="P71" i="16"/>
  <c r="P98" i="16" s="1"/>
  <c r="Q56" i="4"/>
  <c r="Q57" i="4" s="1"/>
  <c r="Q60" i="4" s="1"/>
  <c r="Q62" i="4" s="1"/>
  <c r="Q21" i="16" s="1"/>
  <c r="Q24" i="16" s="1"/>
  <c r="Q36" i="16" s="1"/>
  <c r="Q38" i="16" s="1"/>
  <c r="Q41" i="16" s="1"/>
  <c r="Q43" i="16" s="1"/>
  <c r="Q123" i="4"/>
  <c r="Q124" i="4"/>
  <c r="Q70" i="4" s="1"/>
  <c r="P69" i="15"/>
  <c r="Q117" i="4"/>
  <c r="Q72" i="4" s="1"/>
  <c r="Q116" i="4"/>
  <c r="P58" i="16"/>
  <c r="R99" i="4"/>
  <c r="I18" i="15"/>
  <c r="H19" i="15"/>
  <c r="H94" i="15" s="1"/>
  <c r="P73" i="16" l="1"/>
  <c r="P72" i="16"/>
  <c r="Q80" i="4"/>
  <c r="Q152" i="4" s="1"/>
  <c r="Q159" i="4" s="1"/>
  <c r="P97" i="16"/>
  <c r="P59" i="16"/>
  <c r="P60" i="16"/>
  <c r="P89" i="16"/>
  <c r="Q81" i="4"/>
  <c r="R160" i="4"/>
  <c r="R42" i="4"/>
  <c r="R100" i="4"/>
  <c r="Q155" i="4"/>
  <c r="Q28" i="16"/>
  <c r="Q44" i="16"/>
  <c r="Q48" i="16" s="1"/>
  <c r="Q154" i="4"/>
  <c r="Q29" i="16"/>
  <c r="Q73" i="4"/>
  <c r="Q87" i="4" s="1"/>
  <c r="I19" i="15"/>
  <c r="I94" i="15" s="1"/>
  <c r="J18" i="15"/>
  <c r="Q84" i="4" l="1"/>
  <c r="R75" i="4"/>
  <c r="R161" i="4"/>
  <c r="R101" i="4"/>
  <c r="Q68" i="15"/>
  <c r="Q69" i="15" s="1"/>
  <c r="Q88" i="4"/>
  <c r="Q45" i="16"/>
  <c r="Q49" i="16" s="1"/>
  <c r="Q69" i="16" s="1"/>
  <c r="P88" i="16"/>
  <c r="Q56" i="16"/>
  <c r="R49" i="4"/>
  <c r="R50" i="4" s="1"/>
  <c r="R53" i="4" s="1"/>
  <c r="R56" i="4" s="1"/>
  <c r="R57" i="4" s="1"/>
  <c r="R60" i="4" s="1"/>
  <c r="R62" i="4" s="1"/>
  <c r="R113" i="4"/>
  <c r="Q31" i="16"/>
  <c r="Q57" i="16" s="1"/>
  <c r="Q70" i="16" s="1"/>
  <c r="K18" i="15"/>
  <c r="J19" i="15"/>
  <c r="J94" i="15" s="1"/>
  <c r="R120" i="4" l="1"/>
  <c r="Q50" i="16"/>
  <c r="Q71" i="16"/>
  <c r="S99" i="4"/>
  <c r="R124" i="4"/>
  <c r="R70" i="4" s="1"/>
  <c r="R123" i="4"/>
  <c r="R116" i="4"/>
  <c r="R117" i="4"/>
  <c r="R72" i="4" s="1"/>
  <c r="Q58" i="16"/>
  <c r="R21" i="16"/>
  <c r="R24" i="16" s="1"/>
  <c r="R36" i="16" s="1"/>
  <c r="R38" i="16" s="1"/>
  <c r="R41" i="16" s="1"/>
  <c r="R43" i="16" s="1"/>
  <c r="R80" i="4"/>
  <c r="K19" i="15"/>
  <c r="K94" i="15" s="1"/>
  <c r="L18" i="15"/>
  <c r="R84" i="4" l="1"/>
  <c r="R152" i="4"/>
  <c r="R159" i="4" s="1"/>
  <c r="R81" i="4"/>
  <c r="R73" i="4"/>
  <c r="R87" i="4" s="1"/>
  <c r="R29" i="16"/>
  <c r="R154" i="4"/>
  <c r="S42" i="4"/>
  <c r="S160" i="4"/>
  <c r="S100" i="4"/>
  <c r="R155" i="4"/>
  <c r="R28" i="16"/>
  <c r="R44" i="16"/>
  <c r="R48" i="16" s="1"/>
  <c r="Q97" i="16"/>
  <c r="Q59" i="16"/>
  <c r="Q60" i="16"/>
  <c r="Q98" i="16"/>
  <c r="Q72" i="16"/>
  <c r="Q73" i="16"/>
  <c r="M18" i="15"/>
  <c r="L19" i="15"/>
  <c r="L94" i="15" s="1"/>
  <c r="R45" i="16" l="1"/>
  <c r="R49" i="16" s="1"/>
  <c r="R69" i="16" s="1"/>
  <c r="R31" i="16"/>
  <c r="R57" i="16" s="1"/>
  <c r="R70" i="16" s="1"/>
  <c r="R68" i="15"/>
  <c r="R69" i="15" s="1"/>
  <c r="R88" i="4"/>
  <c r="S113" i="4"/>
  <c r="S49" i="4"/>
  <c r="S50" i="4" s="1"/>
  <c r="S53" i="4" s="1"/>
  <c r="S120" i="4" s="1"/>
  <c r="R56" i="16"/>
  <c r="R50" i="16"/>
  <c r="Q88" i="16"/>
  <c r="Q89" i="16"/>
  <c r="S75" i="4"/>
  <c r="S161" i="4"/>
  <c r="S101" i="4"/>
  <c r="M19" i="15"/>
  <c r="M94" i="15" s="1"/>
  <c r="N18" i="15"/>
  <c r="R58" i="16" l="1"/>
  <c r="R97" i="16" s="1"/>
  <c r="T99" i="4"/>
  <c r="S123" i="4"/>
  <c r="S124" i="4"/>
  <c r="S70" i="4" s="1"/>
  <c r="S56" i="4"/>
  <c r="S57" i="4" s="1"/>
  <c r="S60" i="4" s="1"/>
  <c r="S62" i="4" s="1"/>
  <c r="S117" i="4"/>
  <c r="S72" i="4" s="1"/>
  <c r="S116" i="4"/>
  <c r="R71" i="16"/>
  <c r="O18" i="15"/>
  <c r="N19" i="15"/>
  <c r="N94" i="15" s="1"/>
  <c r="R60" i="16" l="1"/>
  <c r="R88" i="16" s="1"/>
  <c r="R59" i="16"/>
  <c r="S155" i="4"/>
  <c r="S28" i="16"/>
  <c r="S29" i="16"/>
  <c r="S154" i="4"/>
  <c r="S73" i="4"/>
  <c r="S87" i="4" s="1"/>
  <c r="R98" i="16"/>
  <c r="R72" i="16"/>
  <c r="R73" i="16"/>
  <c r="S80" i="4"/>
  <c r="S21" i="16"/>
  <c r="S24" i="16" s="1"/>
  <c r="S36" i="16" s="1"/>
  <c r="S38" i="16" s="1"/>
  <c r="S41" i="16" s="1"/>
  <c r="S43" i="16" s="1"/>
  <c r="T160" i="4"/>
  <c r="T42" i="4"/>
  <c r="T100" i="4"/>
  <c r="P18" i="15"/>
  <c r="O19" i="15"/>
  <c r="O94" i="15" s="1"/>
  <c r="R89" i="16" l="1"/>
  <c r="T75" i="4"/>
  <c r="T161" i="4"/>
  <c r="T101" i="4"/>
  <c r="S31" i="16"/>
  <c r="T113" i="4"/>
  <c r="T49" i="4"/>
  <c r="T50" i="4" s="1"/>
  <c r="T53" i="4" s="1"/>
  <c r="T120" i="4" s="1"/>
  <c r="S68" i="15"/>
  <c r="S69" i="15" s="1"/>
  <c r="S88" i="4"/>
  <c r="S44" i="16"/>
  <c r="S48" i="16" s="1"/>
  <c r="S84" i="4"/>
  <c r="S152" i="4"/>
  <c r="S159" i="4" s="1"/>
  <c r="S81" i="4"/>
  <c r="P19" i="15"/>
  <c r="P94" i="15" s="1"/>
  <c r="Q18" i="15"/>
  <c r="S45" i="16" l="1"/>
  <c r="S49" i="16" s="1"/>
  <c r="S69" i="16" s="1"/>
  <c r="T123" i="4"/>
  <c r="T124" i="4"/>
  <c r="T70" i="4" s="1"/>
  <c r="T116" i="4"/>
  <c r="T117" i="4"/>
  <c r="T72" i="4" s="1"/>
  <c r="S57" i="16"/>
  <c r="U99" i="4"/>
  <c r="S56" i="16"/>
  <c r="T56" i="4"/>
  <c r="T57" i="4" s="1"/>
  <c r="T60" i="4" s="1"/>
  <c r="T62" i="4" s="1"/>
  <c r="R18" i="15"/>
  <c r="Q19" i="15"/>
  <c r="Q94" i="15" s="1"/>
  <c r="S50" i="16" l="1"/>
  <c r="S58" i="16"/>
  <c r="S59" i="16" s="1"/>
  <c r="S70" i="16"/>
  <c r="S71" i="16" s="1"/>
  <c r="T80" i="4"/>
  <c r="T21" i="16"/>
  <c r="T24" i="16" s="1"/>
  <c r="T36" i="16" s="1"/>
  <c r="T38" i="16" s="1"/>
  <c r="T41" i="16" s="1"/>
  <c r="T43" i="16" s="1"/>
  <c r="T155" i="4"/>
  <c r="T28" i="16"/>
  <c r="T29" i="16"/>
  <c r="T73" i="4"/>
  <c r="T87" i="4" s="1"/>
  <c r="T154" i="4"/>
  <c r="U42" i="4"/>
  <c r="U160" i="4"/>
  <c r="U100" i="4"/>
  <c r="S18" i="15"/>
  <c r="R19" i="15"/>
  <c r="R94" i="15" s="1"/>
  <c r="S60" i="16" l="1"/>
  <c r="S88" i="16" s="1"/>
  <c r="S97" i="16"/>
  <c r="T31" i="16"/>
  <c r="T57" i="16" s="1"/>
  <c r="T70" i="16" s="1"/>
  <c r="T44" i="16"/>
  <c r="T48" i="16" s="1"/>
  <c r="T152" i="4"/>
  <c r="T159" i="4" s="1"/>
  <c r="T84" i="4"/>
  <c r="T81" i="4"/>
  <c r="U49" i="4"/>
  <c r="U50" i="4" s="1"/>
  <c r="U53" i="4" s="1"/>
  <c r="U120" i="4" s="1"/>
  <c r="U113" i="4"/>
  <c r="T68" i="15"/>
  <c r="T69" i="15" s="1"/>
  <c r="T88" i="4"/>
  <c r="U75" i="4"/>
  <c r="U161" i="4"/>
  <c r="U101" i="4"/>
  <c r="S98" i="16"/>
  <c r="S72" i="16"/>
  <c r="S73" i="16"/>
  <c r="T18" i="15"/>
  <c r="S19" i="15"/>
  <c r="S94" i="15" s="1"/>
  <c r="T45" i="16" l="1"/>
  <c r="T49" i="16" s="1"/>
  <c r="T69" i="16" s="1"/>
  <c r="T71" i="16" s="1"/>
  <c r="T72" i="16" s="1"/>
  <c r="S89" i="16"/>
  <c r="U117" i="4"/>
  <c r="U72" i="4" s="1"/>
  <c r="U116" i="4"/>
  <c r="U56" i="4"/>
  <c r="U57" i="4" s="1"/>
  <c r="U60" i="4" s="1"/>
  <c r="U62" i="4" s="1"/>
  <c r="V99" i="4"/>
  <c r="U123" i="4"/>
  <c r="U124" i="4"/>
  <c r="U70" i="4" s="1"/>
  <c r="T56" i="16"/>
  <c r="T58" i="16" s="1"/>
  <c r="T19" i="15"/>
  <c r="T94" i="15" s="1"/>
  <c r="U18" i="15"/>
  <c r="T50" i="16" l="1"/>
  <c r="T73" i="16"/>
  <c r="T98" i="16"/>
  <c r="V160" i="4"/>
  <c r="V42" i="4"/>
  <c r="V100" i="4"/>
  <c r="T97" i="16"/>
  <c r="T59" i="16"/>
  <c r="T60" i="16"/>
  <c r="U21" i="16"/>
  <c r="U24" i="16" s="1"/>
  <c r="U36" i="16" s="1"/>
  <c r="U38" i="16" s="1"/>
  <c r="U41" i="16" s="1"/>
  <c r="U43" i="16" s="1"/>
  <c r="U80" i="4"/>
  <c r="U28" i="16"/>
  <c r="U155" i="4"/>
  <c r="T89" i="16"/>
  <c r="U154" i="4"/>
  <c r="U29" i="16"/>
  <c r="U73" i="4"/>
  <c r="U87" i="4" s="1"/>
  <c r="U19" i="15"/>
  <c r="U94" i="15" s="1"/>
  <c r="V18" i="15"/>
  <c r="U68" i="15" l="1"/>
  <c r="U69" i="15" s="1"/>
  <c r="U88" i="4"/>
  <c r="U44" i="16"/>
  <c r="U48" i="16" s="1"/>
  <c r="T88" i="16"/>
  <c r="U31" i="16"/>
  <c r="U57" i="16" s="1"/>
  <c r="U70" i="16" s="1"/>
  <c r="V75" i="4"/>
  <c r="V161" i="4"/>
  <c r="V101" i="4"/>
  <c r="V113" i="4"/>
  <c r="V49" i="4"/>
  <c r="V50" i="4" s="1"/>
  <c r="V53" i="4" s="1"/>
  <c r="V120" i="4" s="1"/>
  <c r="U81" i="4"/>
  <c r="U152" i="4"/>
  <c r="U159" i="4" s="1"/>
  <c r="U84" i="4"/>
  <c r="W18" i="15"/>
  <c r="V19" i="15"/>
  <c r="V94" i="15" s="1"/>
  <c r="V56" i="4" l="1"/>
  <c r="V57" i="4" s="1"/>
  <c r="V60" i="4" s="1"/>
  <c r="V62" i="4" s="1"/>
  <c r="V21" i="16" s="1"/>
  <c r="V24" i="16" s="1"/>
  <c r="V36" i="16" s="1"/>
  <c r="V38" i="16" s="1"/>
  <c r="V41" i="16" s="1"/>
  <c r="V43" i="16" s="1"/>
  <c r="U56" i="16"/>
  <c r="U58" i="16" s="1"/>
  <c r="W99" i="4"/>
  <c r="V117" i="4"/>
  <c r="V72" i="4" s="1"/>
  <c r="V116" i="4"/>
  <c r="V124" i="4"/>
  <c r="V70" i="4" s="1"/>
  <c r="V123" i="4"/>
  <c r="U45" i="16"/>
  <c r="U49" i="16" s="1"/>
  <c r="U69" i="16" s="1"/>
  <c r="U71" i="16" s="1"/>
  <c r="X18" i="15"/>
  <c r="W19" i="15"/>
  <c r="V80" i="4" l="1"/>
  <c r="V81" i="4" s="1"/>
  <c r="V155" i="4"/>
  <c r="V28" i="16"/>
  <c r="V154" i="4"/>
  <c r="V29" i="16"/>
  <c r="V73" i="4"/>
  <c r="V87" i="4" s="1"/>
  <c r="V84" i="4"/>
  <c r="U50" i="16"/>
  <c r="U98" i="16"/>
  <c r="U72" i="16"/>
  <c r="U73" i="16"/>
  <c r="W42" i="4"/>
  <c r="W160" i="4"/>
  <c r="W100" i="4"/>
  <c r="V44" i="16"/>
  <c r="V48" i="16" s="1"/>
  <c r="U97" i="16"/>
  <c r="U59" i="16"/>
  <c r="U60" i="16"/>
  <c r="Z55" i="1"/>
  <c r="W94" i="15"/>
  <c r="X19" i="15"/>
  <c r="X94" i="15" s="1"/>
  <c r="Y18" i="15"/>
  <c r="V152" i="4" l="1"/>
  <c r="V159" i="4" s="1"/>
  <c r="V56" i="16"/>
  <c r="W75" i="4"/>
  <c r="W161" i="4"/>
  <c r="W101" i="4"/>
  <c r="V68" i="15"/>
  <c r="V69" i="15" s="1"/>
  <c r="V88" i="4"/>
  <c r="U89" i="16"/>
  <c r="W49" i="4"/>
  <c r="W50" i="4" s="1"/>
  <c r="W53" i="4" s="1"/>
  <c r="W120" i="4" s="1"/>
  <c r="W113" i="4"/>
  <c r="U88" i="16"/>
  <c r="V31" i="16"/>
  <c r="V45" i="16"/>
  <c r="V49" i="16" s="1"/>
  <c r="V69" i="16" s="1"/>
  <c r="Z18" i="15"/>
  <c r="Y19" i="15"/>
  <c r="Y94" i="15" s="1"/>
  <c r="W116" i="4" l="1"/>
  <c r="W117" i="4"/>
  <c r="W72" i="4" s="1"/>
  <c r="V57" i="16"/>
  <c r="V58" i="16" s="1"/>
  <c r="C106" i="4"/>
  <c r="P31" i="1" s="1"/>
  <c r="X99" i="4"/>
  <c r="V50" i="16"/>
  <c r="W124" i="4"/>
  <c r="W70" i="4" s="1"/>
  <c r="W123" i="4"/>
  <c r="W56" i="4"/>
  <c r="W57" i="4" s="1"/>
  <c r="W60" i="4" s="1"/>
  <c r="W62" i="4" s="1"/>
  <c r="Z19" i="15"/>
  <c r="Z94" i="15" s="1"/>
  <c r="AA18" i="15"/>
  <c r="V70" i="16" l="1"/>
  <c r="V71" i="16" s="1"/>
  <c r="V72" i="16" s="1"/>
  <c r="W80" i="4"/>
  <c r="W21" i="16"/>
  <c r="W24" i="16" s="1"/>
  <c r="W36" i="16" s="1"/>
  <c r="W38" i="16" s="1"/>
  <c r="W41" i="16" s="1"/>
  <c r="W43" i="16" s="1"/>
  <c r="W28" i="16"/>
  <c r="W155" i="4"/>
  <c r="X42" i="4"/>
  <c r="X160" i="4"/>
  <c r="X100" i="4"/>
  <c r="V97" i="16"/>
  <c r="V59" i="16"/>
  <c r="V60" i="16"/>
  <c r="W29" i="16"/>
  <c r="W73" i="4"/>
  <c r="W87" i="4" s="1"/>
  <c r="W154" i="4"/>
  <c r="AA19" i="15"/>
  <c r="AA94" i="15" s="1"/>
  <c r="AB18" i="15"/>
  <c r="AB19" i="15" s="1"/>
  <c r="AB94" i="15" s="1"/>
  <c r="V98" i="16" l="1"/>
  <c r="V73" i="16"/>
  <c r="V89" i="16" s="1"/>
  <c r="W68" i="15"/>
  <c r="W69" i="15" s="1"/>
  <c r="W88" i="4"/>
  <c r="W31" i="16"/>
  <c r="W57" i="16" s="1"/>
  <c r="W70" i="16" s="1"/>
  <c r="V88" i="16"/>
  <c r="X113" i="4"/>
  <c r="X49" i="4"/>
  <c r="X50" i="4" s="1"/>
  <c r="X53" i="4" s="1"/>
  <c r="X120" i="4" s="1"/>
  <c r="W44" i="16"/>
  <c r="W48" i="16" s="1"/>
  <c r="X75" i="4"/>
  <c r="X161" i="4"/>
  <c r="X101" i="4"/>
  <c r="W152" i="4"/>
  <c r="W159" i="4" s="1"/>
  <c r="W84" i="4"/>
  <c r="W81" i="4"/>
  <c r="X56" i="4" l="1"/>
  <c r="X57" i="4" s="1"/>
  <c r="X60" i="4" s="1"/>
  <c r="X62" i="4" s="1"/>
  <c r="X21" i="16" s="1"/>
  <c r="X24" i="16" s="1"/>
  <c r="X36" i="16" s="1"/>
  <c r="X38" i="16" s="1"/>
  <c r="X41" i="16" s="1"/>
  <c r="X43" i="16" s="1"/>
  <c r="W56" i="16"/>
  <c r="W58" i="16" s="1"/>
  <c r="W45" i="16"/>
  <c r="W49" i="16" s="1"/>
  <c r="W69" i="16" s="1"/>
  <c r="W71" i="16" s="1"/>
  <c r="X123" i="4"/>
  <c r="X124" i="4"/>
  <c r="X70" i="4" s="1"/>
  <c r="X117" i="4"/>
  <c r="X72" i="4" s="1"/>
  <c r="X116" i="4"/>
  <c r="Y99" i="4"/>
  <c r="X80" i="4" l="1"/>
  <c r="X84" i="4" s="1"/>
  <c r="W98" i="16"/>
  <c r="W72" i="16"/>
  <c r="W73" i="16"/>
  <c r="X155" i="4"/>
  <c r="X28" i="16"/>
  <c r="X29" i="16"/>
  <c r="X154" i="4"/>
  <c r="X73" i="4"/>
  <c r="X87" i="4" s="1"/>
  <c r="W97" i="16"/>
  <c r="W59" i="16"/>
  <c r="W60" i="16"/>
  <c r="Y42" i="4"/>
  <c r="Y100" i="4"/>
  <c r="Y160" i="4"/>
  <c r="X44" i="16"/>
  <c r="X48" i="16" s="1"/>
  <c r="W50" i="16"/>
  <c r="X81" i="4" l="1"/>
  <c r="X152" i="4"/>
  <c r="X159" i="4" s="1"/>
  <c r="Y75" i="4"/>
  <c r="Y161" i="4"/>
  <c r="Y101" i="4"/>
  <c r="X68" i="15"/>
  <c r="X69" i="15" s="1"/>
  <c r="X88" i="4"/>
  <c r="X45" i="16"/>
  <c r="X49" i="16" s="1"/>
  <c r="X69" i="16" s="1"/>
  <c r="W89" i="16"/>
  <c r="X31" i="16"/>
  <c r="Y113" i="4"/>
  <c r="Y49" i="4"/>
  <c r="Y50" i="4" s="1"/>
  <c r="Y53" i="4" s="1"/>
  <c r="Y56" i="4" s="1"/>
  <c r="Y57" i="4" s="1"/>
  <c r="Y60" i="4" s="1"/>
  <c r="Y62" i="4" s="1"/>
  <c r="W88" i="16"/>
  <c r="X56" i="16"/>
  <c r="Y120" i="4" l="1"/>
  <c r="Y123" i="4" s="1"/>
  <c r="X50" i="16"/>
  <c r="Y116" i="4"/>
  <c r="Y117" i="4"/>
  <c r="Y72" i="4" s="1"/>
  <c r="Z99" i="4"/>
  <c r="X57" i="16"/>
  <c r="X58" i="16" s="1"/>
  <c r="Y21" i="16"/>
  <c r="Y24" i="16" s="1"/>
  <c r="Y36" i="16" s="1"/>
  <c r="Y38" i="16" s="1"/>
  <c r="Y41" i="16" s="1"/>
  <c r="Y43" i="16" s="1"/>
  <c r="Y80" i="4"/>
  <c r="Y124" i="4" l="1"/>
  <c r="Y70" i="4" s="1"/>
  <c r="Y154" i="4" s="1"/>
  <c r="X70" i="16"/>
  <c r="X71" i="16" s="1"/>
  <c r="Y84" i="4"/>
  <c r="Y152" i="4"/>
  <c r="Y159" i="4" s="1"/>
  <c r="Y81" i="4"/>
  <c r="Z42" i="4"/>
  <c r="Z100" i="4"/>
  <c r="Z160" i="4"/>
  <c r="Y28" i="16"/>
  <c r="Y155" i="4"/>
  <c r="X97" i="16"/>
  <c r="X59" i="16"/>
  <c r="X60" i="16"/>
  <c r="Y44" i="16"/>
  <c r="Y48" i="16" s="1"/>
  <c r="Y29" i="16" l="1"/>
  <c r="Y73" i="4"/>
  <c r="Y87" i="4" s="1"/>
  <c r="Y31" i="16"/>
  <c r="Y56" i="16"/>
  <c r="Y57" i="16"/>
  <c r="Z75" i="4"/>
  <c r="Z161" i="4"/>
  <c r="Z101" i="4"/>
  <c r="X88" i="16"/>
  <c r="Z49" i="4"/>
  <c r="Z50" i="4" s="1"/>
  <c r="Z53" i="4" s="1"/>
  <c r="Z120" i="4" s="1"/>
  <c r="Z113" i="4"/>
  <c r="Y68" i="15"/>
  <c r="Y69" i="15" s="1"/>
  <c r="Y88" i="4"/>
  <c r="Y45" i="16"/>
  <c r="Y49" i="16" s="1"/>
  <c r="Y69" i="16" s="1"/>
  <c r="X72" i="16"/>
  <c r="X98" i="16"/>
  <c r="X73" i="16"/>
  <c r="Y58" i="16" l="1"/>
  <c r="Y59" i="16" s="1"/>
  <c r="Y70" i="16"/>
  <c r="Y71" i="16" s="1"/>
  <c r="Z56" i="4"/>
  <c r="Z57" i="4" s="1"/>
  <c r="Z60" i="4" s="1"/>
  <c r="Z62" i="4" s="1"/>
  <c r="Z21" i="16" s="1"/>
  <c r="Z24" i="16" s="1"/>
  <c r="Z36" i="16" s="1"/>
  <c r="Z38" i="16" s="1"/>
  <c r="Z41" i="16" s="1"/>
  <c r="Z43" i="16" s="1"/>
  <c r="X89" i="16"/>
  <c r="Z117" i="4"/>
  <c r="Z72" i="4" s="1"/>
  <c r="Z116" i="4"/>
  <c r="AA99" i="4"/>
  <c r="Z123" i="4"/>
  <c r="Z124" i="4"/>
  <c r="Z70" i="4" s="1"/>
  <c r="Y50" i="16"/>
  <c r="Y97" i="16" l="1"/>
  <c r="Y60" i="16"/>
  <c r="Z80" i="4"/>
  <c r="Z152" i="4" s="1"/>
  <c r="Z159" i="4" s="1"/>
  <c r="Y88" i="16"/>
  <c r="Z73" i="4"/>
  <c r="Z87" i="4" s="1"/>
  <c r="Z154" i="4"/>
  <c r="Z29" i="16"/>
  <c r="AA42" i="4"/>
  <c r="AA160" i="4"/>
  <c r="AA100" i="4"/>
  <c r="Y72" i="16"/>
  <c r="Y98" i="16"/>
  <c r="Z28" i="16"/>
  <c r="Z155" i="4"/>
  <c r="Z44" i="16"/>
  <c r="Z48" i="16" s="1"/>
  <c r="Y73" i="16"/>
  <c r="Z84" i="4" l="1"/>
  <c r="Z81" i="4"/>
  <c r="Z31" i="16"/>
  <c r="Z57" i="16" s="1"/>
  <c r="Z70" i="16" s="1"/>
  <c r="Z45" i="16"/>
  <c r="Z49" i="16" s="1"/>
  <c r="Z69" i="16" s="1"/>
  <c r="Z56" i="16"/>
  <c r="Y89" i="16"/>
  <c r="AA113" i="4"/>
  <c r="AA49" i="4"/>
  <c r="AA50" i="4" s="1"/>
  <c r="AA53" i="4" s="1"/>
  <c r="AA120" i="4" s="1"/>
  <c r="Z68" i="15"/>
  <c r="Z69" i="15" s="1"/>
  <c r="Z88" i="4"/>
  <c r="AA75" i="4"/>
  <c r="AA161" i="4"/>
  <c r="AA101" i="4"/>
  <c r="Z50" i="16" l="1"/>
  <c r="Z58" i="16"/>
  <c r="Z59" i="16" s="1"/>
  <c r="Z71" i="16"/>
  <c r="AA124" i="4"/>
  <c r="AA70" i="4" s="1"/>
  <c r="AA123" i="4"/>
  <c r="AA116" i="4"/>
  <c r="AA117" i="4"/>
  <c r="AA72" i="4" s="1"/>
  <c r="AB99" i="4"/>
  <c r="AA56" i="4"/>
  <c r="AA57" i="4" s="1"/>
  <c r="AA60" i="4" s="1"/>
  <c r="AA62" i="4" s="1"/>
  <c r="Z97" i="16" l="1"/>
  <c r="Z60" i="16"/>
  <c r="Z72" i="16"/>
  <c r="Z73" i="16"/>
  <c r="Z89" i="16" s="1"/>
  <c r="Z98" i="16"/>
  <c r="Z88" i="16"/>
  <c r="AA21" i="16"/>
  <c r="AA24" i="16" s="1"/>
  <c r="AA36" i="16" s="1"/>
  <c r="AA38" i="16" s="1"/>
  <c r="AA41" i="16" s="1"/>
  <c r="AA43" i="16" s="1"/>
  <c r="AA80" i="4"/>
  <c r="AB42" i="4"/>
  <c r="AB160" i="4"/>
  <c r="AB100" i="4"/>
  <c r="AA28" i="16"/>
  <c r="AA155" i="4"/>
  <c r="AA73" i="4"/>
  <c r="AA87" i="4" s="1"/>
  <c r="AA154" i="4"/>
  <c r="AA29" i="16"/>
  <c r="AA31" i="16" l="1"/>
  <c r="AA57" i="16" s="1"/>
  <c r="AA70" i="16" s="1"/>
  <c r="AB75" i="4"/>
  <c r="AB161" i="4"/>
  <c r="AB101" i="4"/>
  <c r="AB113" i="4"/>
  <c r="AB49" i="4"/>
  <c r="AB50" i="4" s="1"/>
  <c r="AB53" i="4" s="1"/>
  <c r="AB120" i="4" s="1"/>
  <c r="AA81" i="4"/>
  <c r="AA152" i="4"/>
  <c r="AA159" i="4" s="1"/>
  <c r="AA84" i="4"/>
  <c r="AA44" i="16"/>
  <c r="AA48" i="16" s="1"/>
  <c r="AA68" i="15"/>
  <c r="AA69" i="15" s="1"/>
  <c r="AA88" i="4"/>
  <c r="AB56" i="4" l="1"/>
  <c r="AB57" i="4" s="1"/>
  <c r="AB60" i="4" s="1"/>
  <c r="AB62" i="4" s="1"/>
  <c r="AA56" i="16"/>
  <c r="AA58" i="16" s="1"/>
  <c r="AB124" i="4"/>
  <c r="AB70" i="4" s="1"/>
  <c r="AB123" i="4"/>
  <c r="AB116" i="4"/>
  <c r="AB117" i="4"/>
  <c r="AB72" i="4" s="1"/>
  <c r="AA45" i="16"/>
  <c r="AA49" i="16" s="1"/>
  <c r="AA69" i="16" s="1"/>
  <c r="AA71" i="16" s="1"/>
  <c r="AA50" i="16" l="1"/>
  <c r="AB28" i="16"/>
  <c r="AB155" i="4"/>
  <c r="E140" i="4" s="1"/>
  <c r="AB73" i="4"/>
  <c r="AB87" i="4" s="1"/>
  <c r="AB29" i="16"/>
  <c r="AB154" i="4"/>
  <c r="E139" i="4" s="1"/>
  <c r="AA97" i="16"/>
  <c r="AA59" i="16"/>
  <c r="AA60" i="16"/>
  <c r="AB21" i="16"/>
  <c r="AB80" i="4"/>
  <c r="AA98" i="16"/>
  <c r="AA72" i="16"/>
  <c r="AA73" i="16"/>
  <c r="AA89" i="16" l="1"/>
  <c r="AA88" i="16"/>
  <c r="AA31" i="15"/>
  <c r="AB31" i="15"/>
  <c r="AB68" i="15"/>
  <c r="K31" i="15"/>
  <c r="J31" i="15"/>
  <c r="C90" i="4"/>
  <c r="P26" i="1" s="1"/>
  <c r="C89" i="4"/>
  <c r="P25" i="1" s="1"/>
  <c r="L31" i="15"/>
  <c r="M31" i="15"/>
  <c r="N31" i="15"/>
  <c r="O31" i="15"/>
  <c r="P31" i="15"/>
  <c r="Q31" i="15"/>
  <c r="R31" i="15"/>
  <c r="S31" i="15"/>
  <c r="T31" i="15"/>
  <c r="U31" i="15"/>
  <c r="V31" i="15"/>
  <c r="Z31" i="15"/>
  <c r="W31" i="15"/>
  <c r="X31" i="15"/>
  <c r="Y31" i="15"/>
  <c r="AB88" i="4"/>
  <c r="C83" i="4"/>
  <c r="P27" i="1" s="1"/>
  <c r="AB23" i="16"/>
  <c r="AB24" i="16" s="1"/>
  <c r="AB36" i="16" s="1"/>
  <c r="AB38" i="16" s="1"/>
  <c r="AB41" i="16" s="1"/>
  <c r="AB43" i="16" s="1"/>
  <c r="AB152" i="4"/>
  <c r="AB84" i="4"/>
  <c r="C84" i="4" s="1"/>
  <c r="C82" i="4"/>
  <c r="AB81" i="4"/>
  <c r="AB31" i="16"/>
  <c r="AB57" i="16" s="1"/>
  <c r="AB70" i="16" s="1"/>
  <c r="P41" i="1" l="1"/>
  <c r="N34" i="15"/>
  <c r="N50" i="15"/>
  <c r="N53" i="15" s="1"/>
  <c r="U34" i="15"/>
  <c r="U50" i="15"/>
  <c r="U53" i="15" s="1"/>
  <c r="L34" i="15"/>
  <c r="L50" i="15"/>
  <c r="L53" i="15" s="1"/>
  <c r="AB159" i="4"/>
  <c r="E137" i="4"/>
  <c r="E141" i="4" s="1"/>
  <c r="Z34" i="15"/>
  <c r="Z50" i="15"/>
  <c r="Z53" i="15" s="1"/>
  <c r="O50" i="15"/>
  <c r="O53" i="15" s="1"/>
  <c r="O34" i="15"/>
  <c r="AB69" i="15"/>
  <c r="C71" i="15" s="1"/>
  <c r="Z67" i="1" s="1"/>
  <c r="C70" i="15"/>
  <c r="AB44" i="16"/>
  <c r="AB48" i="16" s="1"/>
  <c r="M50" i="15"/>
  <c r="M53" i="15" s="1"/>
  <c r="C58" i="15" s="1"/>
  <c r="M34" i="15"/>
  <c r="AA60" i="1" s="1"/>
  <c r="V34" i="15"/>
  <c r="V50" i="15"/>
  <c r="V53" i="15" s="1"/>
  <c r="AB34" i="15"/>
  <c r="AB50" i="15"/>
  <c r="AB53" i="15" s="1"/>
  <c r="C61" i="15" s="1"/>
  <c r="C89" i="15" s="1"/>
  <c r="AA34" i="15"/>
  <c r="AA50" i="15"/>
  <c r="AA53" i="15" s="1"/>
  <c r="S50" i="15"/>
  <c r="S53" i="15" s="1"/>
  <c r="S34" i="15"/>
  <c r="R34" i="15"/>
  <c r="R50" i="15"/>
  <c r="R53" i="15" s="1"/>
  <c r="C59" i="15" s="1"/>
  <c r="C87" i="15" s="1"/>
  <c r="X34" i="15"/>
  <c r="X50" i="15"/>
  <c r="X53" i="15" s="1"/>
  <c r="Q34" i="15"/>
  <c r="Q50" i="15"/>
  <c r="Q53" i="15" s="1"/>
  <c r="J34" i="15"/>
  <c r="Z60" i="1" s="1"/>
  <c r="J50" i="15"/>
  <c r="J53" i="15" s="1"/>
  <c r="C57" i="15" s="1"/>
  <c r="T34" i="15"/>
  <c r="T50" i="15"/>
  <c r="T53" i="15" s="1"/>
  <c r="Y50" i="15"/>
  <c r="Y53" i="15" s="1"/>
  <c r="Y34" i="15"/>
  <c r="P30" i="1"/>
  <c r="P59" i="1"/>
  <c r="W50" i="15"/>
  <c r="W53" i="15" s="1"/>
  <c r="C60" i="15" s="1"/>
  <c r="C88" i="15" s="1"/>
  <c r="W34" i="15"/>
  <c r="P34" i="15"/>
  <c r="P50" i="15"/>
  <c r="P53" i="15" s="1"/>
  <c r="K50" i="15"/>
  <c r="K53" i="15" s="1"/>
  <c r="K34" i="15"/>
  <c r="Z66" i="1" l="1"/>
  <c r="C93" i="1"/>
  <c r="AB56" i="16"/>
  <c r="AB45" i="16"/>
  <c r="AB49" i="16" s="1"/>
  <c r="AB69" i="16" s="1"/>
  <c r="D137" i="4"/>
  <c r="D138" i="4"/>
  <c r="D139" i="4"/>
  <c r="D140" i="4"/>
  <c r="C85" i="15"/>
  <c r="Z62" i="1"/>
  <c r="C86" i="15"/>
  <c r="AA62" i="1"/>
  <c r="D141" i="4" l="1"/>
  <c r="C77" i="16"/>
  <c r="O53" i="1" s="1"/>
  <c r="AB71" i="16"/>
  <c r="C76" i="16"/>
  <c r="AB50" i="16"/>
  <c r="AB58" i="16"/>
  <c r="C63" i="16"/>
  <c r="C64" i="16"/>
  <c r="P53" i="1" s="1"/>
  <c r="AB97" i="16" l="1"/>
  <c r="C62" i="16"/>
  <c r="P51" i="1" s="1"/>
  <c r="P70" i="1" s="1"/>
  <c r="AB59" i="16"/>
  <c r="C61" i="16"/>
  <c r="P52" i="1" s="1"/>
  <c r="AB60" i="16"/>
  <c r="AB88" i="16" s="1"/>
  <c r="AB98" i="16"/>
  <c r="AB72" i="16"/>
  <c r="C74" i="16"/>
  <c r="O52" i="1" s="1"/>
  <c r="C75" i="16"/>
  <c r="O51" i="1" s="1"/>
  <c r="AB73" i="16"/>
  <c r="AB89"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tc={121ECC63-A30D-5E4E-9CCE-D5B1E0C60472}</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121ECC63-A30D-5E4E-9CCE-D5B1E0C60472}">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<sst xmlns="http://schemas.openxmlformats.org/spreadsheetml/2006/main" count="591" uniqueCount="477">
  <si>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9" type="noConversion"/>
  </si>
  <si>
    <t>SRECS Applicable?</t>
    <phoneticPr fontId="9" type="noConversion"/>
  </si>
  <si>
    <t>State Sales Tax on Electricity</t>
    <phoneticPr fontId="9" type="noConversion"/>
  </si>
  <si>
    <t>Fixed</t>
  </si>
  <si>
    <t>Inv. Ret.Calc.</t>
    <phoneticPr fontId="9" type="noConversion"/>
  </si>
  <si>
    <t>Operating Cash</t>
    <phoneticPr fontId="9" type="noConversion"/>
  </si>
  <si>
    <t>Debt Interest</t>
    <phoneticPr fontId="9" type="noConversion"/>
  </si>
  <si>
    <t>Debt Principle</t>
    <phoneticPr fontId="9" type="noConversion"/>
  </si>
  <si>
    <t>Depreciation Bonus Rate</t>
    <phoneticPr fontId="9" type="noConversion"/>
  </si>
  <si>
    <t>Other Operating Expenses</t>
    <phoneticPr fontId="9" type="noConversion"/>
  </si>
  <si>
    <t>Site Purchase or Lease?</t>
    <phoneticPr fontId="9" type="noConversion"/>
  </si>
  <si>
    <t>Cash Equity, % of Equity Investment</t>
    <phoneticPr fontId="9" type="noConversion"/>
  </si>
  <si>
    <t>Tax Equity Partner, Post-Flip Share</t>
    <phoneticPr fontId="9" type="noConversion"/>
  </si>
  <si>
    <t>Cash Equity Partner, Post-Flip Share</t>
    <phoneticPr fontId="9" type="noConversion"/>
  </si>
  <si>
    <t>Construction Loan Fee &amp; Closing Cost</t>
    <phoneticPr fontId="9" type="noConversion"/>
  </si>
  <si>
    <t>Construction Loan Cost (IDC, Fees &amp; Closing Cost)</t>
    <phoneticPr fontId="9" type="noConversion"/>
  </si>
  <si>
    <t>Cash</t>
    <phoneticPr fontId="9" type="noConversion"/>
  </si>
  <si>
    <t>Federal ITC</t>
    <phoneticPr fontId="9" type="noConversion"/>
  </si>
  <si>
    <t>Net Fed. Dep.</t>
    <phoneticPr fontId="9" type="noConversion"/>
  </si>
  <si>
    <t>UNSTRUCTURED CHART DATA</t>
    <phoneticPr fontId="9" type="noConversion"/>
  </si>
  <si>
    <t>Current Year State Depreciation</t>
  </si>
  <si>
    <t>Cautionary Note</t>
    <phoneticPr fontId="9" type="noConversion"/>
  </si>
  <si>
    <t>DATA KEY</t>
    <phoneticPr fontId="9" type="noConversion"/>
  </si>
  <si>
    <t>Loan Principal</t>
    <phoneticPr fontId="9" type="noConversion"/>
  </si>
  <si>
    <t>Cash-on-cash NPV</t>
  </si>
  <si>
    <t>Cash-on-Cash IRR</t>
  </si>
  <si>
    <t>Customer Analysis</t>
    <phoneticPr fontId="9" type="noConversion"/>
  </si>
  <si>
    <t>Dashboard</t>
    <phoneticPr fontId="9" type="noConversion"/>
  </si>
  <si>
    <t xml:space="preserve">CUSTOMER CONVENTIONAL POWER </t>
    <phoneticPr fontId="9" type="noConversion"/>
  </si>
  <si>
    <t>Site Lease Value</t>
    <phoneticPr fontId="9" type="noConversion"/>
  </si>
  <si>
    <t>Interest Portion</t>
    <phoneticPr fontId="9" type="noConversion"/>
  </si>
  <si>
    <t>OUTPUTS AND ANALYSIS</t>
    <phoneticPr fontId="9" type="noConversion"/>
  </si>
  <si>
    <t>Year</t>
    <phoneticPr fontId="9" type="noConversion"/>
  </si>
  <si>
    <t>AC to DC Conversion Factor</t>
    <phoneticPr fontId="9" type="noConversion"/>
  </si>
  <si>
    <t>Investment</t>
    <phoneticPr fontId="9" type="noConversion"/>
  </si>
  <si>
    <t>Debt Coverage Ratio Test</t>
    <phoneticPr fontId="9" type="noConversion"/>
  </si>
  <si>
    <t>Partnership Flip Data</t>
    <phoneticPr fontId="9" type="noConversion"/>
  </si>
  <si>
    <t>Tax Equity Partner, Pre-Flip Share</t>
    <phoneticPr fontId="9" type="noConversion"/>
  </si>
  <si>
    <t>Cash Equity Partner, Pre-Flip Share</t>
    <phoneticPr fontId="9" type="noConversion"/>
  </si>
  <si>
    <t>Project Debt?</t>
    <phoneticPr fontId="9" type="noConversion"/>
  </si>
  <si>
    <t xml:space="preserve">Project Loan Term? </t>
    <phoneticPr fontId="9" type="noConversion"/>
  </si>
  <si>
    <t>Project Loan Rate</t>
    <phoneticPr fontId="9" type="noConversion"/>
  </si>
  <si>
    <t>Project Loan Amount</t>
    <phoneticPr fontId="9" type="noConversion"/>
  </si>
  <si>
    <t>Investor Return Profile</t>
  </si>
  <si>
    <t>Construction Loan Costs</t>
    <phoneticPr fontId="9" type="noConversion"/>
  </si>
  <si>
    <t>Developer Margin</t>
    <phoneticPr fontId="9" type="noConversion"/>
  </si>
  <si>
    <t>Size of System in W</t>
    <phoneticPr fontId="9" type="noConversion"/>
  </si>
  <si>
    <t>Net State Dep.</t>
    <phoneticPr fontId="9" type="noConversion"/>
  </si>
  <si>
    <t>Federal Dep.</t>
    <phoneticPr fontId="9" type="noConversion"/>
  </si>
  <si>
    <t>State Dep.</t>
    <phoneticPr fontId="9" type="noConversion"/>
  </si>
  <si>
    <t>NPV Lease Value</t>
    <phoneticPr fontId="9" type="noConversion"/>
  </si>
  <si>
    <t>Cumulative Flows</t>
    <phoneticPr fontId="9" type="noConversion"/>
  </si>
  <si>
    <t>Insurance</t>
    <phoneticPr fontId="9" type="noConversion"/>
  </si>
  <si>
    <t>Utility Charge per kWh</t>
    <phoneticPr fontId="9" type="noConversion"/>
  </si>
  <si>
    <t>Project Sale Price</t>
    <phoneticPr fontId="9" type="noConversion"/>
  </si>
  <si>
    <t>DC (W)</t>
    <phoneticPr fontId="9" type="noConversion"/>
  </si>
  <si>
    <t>INPUTS AND CONSTANTS</t>
    <phoneticPr fontId="9" type="noConversion"/>
  </si>
  <si>
    <t>Federal Tax</t>
    <phoneticPr fontId="9" type="noConversion"/>
  </si>
  <si>
    <t>Development Margin Recovery</t>
    <phoneticPr fontId="9" type="noConversion"/>
  </si>
  <si>
    <t>Other Cost Recovery</t>
    <phoneticPr fontId="9" type="noConversion"/>
  </si>
  <si>
    <t>Cash-on-Cash IRR</t>
    <phoneticPr fontId="9" type="noConversion"/>
  </si>
  <si>
    <t>Debt Equity Ratio</t>
    <phoneticPr fontId="9" type="noConversion"/>
  </si>
  <si>
    <t>Property &amp; Equipment Taxes</t>
    <phoneticPr fontId="9" type="noConversion"/>
  </si>
  <si>
    <t xml:space="preserve">Debt Coverage Ratio? </t>
    <phoneticPr fontId="9"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</si>
  <si>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</si>
  <si>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9" type="noConversion"/>
  </si>
  <si>
    <t>FINANCING INFORMATION - Project Debt</t>
    <phoneticPr fontId="9" type="noConversion"/>
  </si>
  <si>
    <t>Fees</t>
    <phoneticPr fontId="9" type="noConversion"/>
  </si>
  <si>
    <t>Interest</t>
    <phoneticPr fontId="9" type="noConversion"/>
  </si>
  <si>
    <t xml:space="preserve">Excess Investor IRR? </t>
    <phoneticPr fontId="9" type="noConversion"/>
  </si>
  <si>
    <t>Max Payment under Debt Coverage Ratio</t>
    <phoneticPr fontId="9" type="noConversion"/>
  </si>
  <si>
    <t>Debt Coverage Test Delta</t>
    <phoneticPr fontId="9" type="noConversion"/>
  </si>
  <si>
    <t>FINANCING INFORMATION - Tax Equity &amp; Lease</t>
    <phoneticPr fontId="9" type="noConversion"/>
  </si>
  <si>
    <t>Organization</t>
  </si>
  <si>
    <t xml:space="preserve">Debt Portion </t>
    <phoneticPr fontId="9" type="noConversion"/>
  </si>
  <si>
    <t>Equity Portion</t>
    <phoneticPr fontId="9" type="noConversion"/>
  </si>
  <si>
    <t>Inputs &amp; Outputs</t>
    <phoneticPr fontId="9" type="noConversion"/>
  </si>
  <si>
    <t>Site Property Tax</t>
    <phoneticPr fontId="9" type="noConversion"/>
  </si>
  <si>
    <t>Equipment Tax</t>
    <phoneticPr fontId="9" type="noConversion"/>
  </si>
  <si>
    <t>Excess Current Year State Dep.</t>
  </si>
  <si>
    <t>Federal Depreciation</t>
  </si>
  <si>
    <t xml:space="preserve">P50 Revenue - Production </t>
    <phoneticPr fontId="9" type="noConversion"/>
  </si>
  <si>
    <t>Construction Cost Recovery</t>
    <phoneticPr fontId="9" type="noConversion"/>
  </si>
  <si>
    <t>Debt Management Calculations</t>
    <phoneticPr fontId="9" type="noConversion"/>
  </si>
  <si>
    <t>Depreciation</t>
    <phoneticPr fontId="9" type="noConversion"/>
  </si>
  <si>
    <t>SYSTEM COSTS</t>
    <phoneticPr fontId="9" type="noConversion"/>
  </si>
  <si>
    <t>Drop Down Menu</t>
    <phoneticPr fontId="9" type="noConversion"/>
  </si>
  <si>
    <t>Important User Note</t>
  </si>
  <si>
    <t>Aggregate Constr. Cost</t>
    <phoneticPr fontId="9" type="noConversion"/>
  </si>
  <si>
    <t>Year 10</t>
  </si>
  <si>
    <t>Year 15</t>
  </si>
  <si>
    <t>Year 20</t>
  </si>
  <si>
    <t>Excess Sale Price/Margin</t>
    <phoneticPr fontId="9" type="noConversion"/>
  </si>
  <si>
    <t>Interest Payments</t>
    <phoneticPr fontId="9" type="noConversion"/>
  </si>
  <si>
    <t>Site Lease Fixed or % of Revenue?</t>
    <phoneticPr fontId="9" type="noConversion"/>
  </si>
  <si>
    <t>Annual Site Lease Fixed Cost</t>
    <phoneticPr fontId="9" type="noConversion"/>
  </si>
  <si>
    <t>Site Purchase Price</t>
    <phoneticPr fontId="9" type="noConversion"/>
  </si>
  <si>
    <t>Federal Investment Tax Credit (ITC)</t>
    <phoneticPr fontId="9" type="noConversion"/>
  </si>
  <si>
    <t>Cum. Cash &amp; Tax Flows</t>
  </si>
  <si>
    <t>PARTNERSHIP FLIP</t>
    <phoneticPr fontId="9" type="noConversion"/>
  </si>
  <si>
    <t>SREC Price</t>
    <phoneticPr fontId="9" type="noConversion"/>
  </si>
  <si>
    <t>SREC Term (Yrs)</t>
    <phoneticPr fontId="9" type="noConversion"/>
  </si>
  <si>
    <t>SREC Price ($)</t>
    <phoneticPr fontId="9" type="noConversion"/>
  </si>
  <si>
    <t>SREC Annual Rate Increase (Decrease)</t>
    <phoneticPr fontId="9" type="noConversion"/>
  </si>
  <si>
    <t>P50 Revenue - SREC</t>
    <phoneticPr fontId="9" type="noConversion"/>
  </si>
  <si>
    <t>Gross Project Revenue</t>
    <phoneticPr fontId="9" type="noConversion"/>
  </si>
  <si>
    <t>Total After-Tax Benefits</t>
    <phoneticPr fontId="9" type="noConversion"/>
  </si>
  <si>
    <t>Annual Site Lease Escalator</t>
    <phoneticPr fontId="9" type="noConversion"/>
  </si>
  <si>
    <t>SUPPORTING DATA AND CALCULATIONS</t>
    <phoneticPr fontId="9" type="noConversion"/>
  </si>
  <si>
    <t>Sensitivity</t>
  </si>
  <si>
    <t>NPV Lease Payments</t>
    <phoneticPr fontId="9" type="noConversion"/>
  </si>
  <si>
    <t>INCOME &amp; EXPENSE PROJECTIONS</t>
  </si>
  <si>
    <t>Roofing Upgrade &amp; Warranty</t>
    <phoneticPr fontId="9" type="noConversion"/>
  </si>
  <si>
    <t>Estimated Utility Charge Escalation</t>
    <phoneticPr fontId="9" type="noConversion"/>
  </si>
  <si>
    <t>IRR</t>
    <phoneticPr fontId="9" type="noConversion"/>
  </si>
  <si>
    <t>Est. PPA Price</t>
    <phoneticPr fontId="29" type="noConversion"/>
  </si>
  <si>
    <t>Customer Analysis</t>
    <phoneticPr fontId="9" type="noConversion"/>
  </si>
  <si>
    <t xml:space="preserve">Debt Amortize over Debt Term? </t>
    <phoneticPr fontId="9" type="noConversion"/>
  </si>
  <si>
    <t>PPA Price per kWh</t>
  </si>
  <si>
    <t>Principal Portion</t>
    <phoneticPr fontId="9" type="noConversion"/>
  </si>
  <si>
    <t>Utility Purchases</t>
    <phoneticPr fontId="29" type="noConversion"/>
  </si>
  <si>
    <t>Solar Purchases</t>
    <phoneticPr fontId="29" type="noConversion"/>
  </si>
  <si>
    <t>PPA Price</t>
    <phoneticPr fontId="9" type="noConversion"/>
  </si>
  <si>
    <t>Customer Pricing</t>
    <phoneticPr fontId="9" type="noConversion"/>
  </si>
  <si>
    <t>Year 7</t>
    <phoneticPr fontId="9" type="noConversion"/>
  </si>
  <si>
    <t>No Worksheets or cells are presently protected against change, whether intended or unintended.</t>
    <phoneticPr fontId="9" type="noConversion"/>
  </si>
  <si>
    <t xml:space="preserve">MACRS* </t>
  </si>
  <si>
    <t>Federal</t>
    <phoneticPr fontId="9" type="noConversion"/>
  </si>
  <si>
    <t>UNSTRUCTURED PROJECT ECONOMICS</t>
    <phoneticPr fontId="9" type="noConversion"/>
  </si>
  <si>
    <t>Unstructured Model</t>
    <phoneticPr fontId="9" type="noConversion"/>
  </si>
  <si>
    <t>Partnership Flip Model</t>
    <phoneticPr fontId="9" type="noConversion"/>
  </si>
  <si>
    <t>Calculated</t>
    <phoneticPr fontId="9" type="noConversion"/>
  </si>
  <si>
    <t>Roof Upgrade &amp; Warranty</t>
    <phoneticPr fontId="9" type="noConversion"/>
  </si>
  <si>
    <t>SRECS</t>
    <phoneticPr fontId="9"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</si>
  <si>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9" type="noConversion"/>
  </si>
  <si>
    <t>Site Costs</t>
    <phoneticPr fontId="9" type="noConversion"/>
  </si>
  <si>
    <t>Project Loan Coverage Ratio</t>
    <phoneticPr fontId="9" type="noConversion"/>
  </si>
  <si>
    <t>Project Debt/Project Debt+Equity</t>
    <phoneticPr fontId="9" type="noConversion"/>
  </si>
  <si>
    <t>After-Tax Excess Benefits</t>
    <phoneticPr fontId="9" type="noConversion"/>
  </si>
  <si>
    <t>Current Utility Price</t>
    <phoneticPr fontId="29" type="noConversion"/>
  </si>
  <si>
    <t>Buyout Price Calculation</t>
    <phoneticPr fontId="9" type="noConversion"/>
  </si>
  <si>
    <t>Gross Federal ITC</t>
    <phoneticPr fontId="9" type="noConversion"/>
  </si>
  <si>
    <t>Taxpayers State Income Tax Rate</t>
    <phoneticPr fontId="9" type="noConversion"/>
  </si>
  <si>
    <t>Total Project Revenue</t>
    <phoneticPr fontId="9" type="noConversion"/>
  </si>
  <si>
    <t>Project Sale Price</t>
    <phoneticPr fontId="9" type="noConversion"/>
  </si>
  <si>
    <t>State Taxable Income</t>
  </si>
  <si>
    <t>Federal Taxable Income</t>
  </si>
  <si>
    <t>Debt Amortization Test</t>
    <phoneticPr fontId="9" type="noConversion"/>
  </si>
  <si>
    <t>Project NPV @ Investor Hurdle</t>
    <phoneticPr fontId="9" type="noConversion"/>
  </si>
  <si>
    <t>PROPRIETARY AND CONFIDENTIAL</t>
  </si>
  <si>
    <t>Project IRR</t>
    <phoneticPr fontId="9" type="noConversion"/>
  </si>
  <si>
    <t>Depreciation Method</t>
    <phoneticPr fontId="9" type="noConversion"/>
  </si>
  <si>
    <t>Customer Purchasing &amp; Savings</t>
    <phoneticPr fontId="9" type="noConversion"/>
  </si>
  <si>
    <t>Year 7</t>
    <phoneticPr fontId="9" type="noConversion"/>
  </si>
  <si>
    <t>Year 15</t>
    <phoneticPr fontId="9" type="noConversion"/>
  </si>
  <si>
    <t>UNSTRUCTURED PROJECT</t>
    <phoneticPr fontId="9" type="noConversion"/>
  </si>
  <si>
    <t>Partnership Flip</t>
    <phoneticPr fontId="9" type="noConversion"/>
  </si>
  <si>
    <t>FINANCING INFORMATION - Construction</t>
    <phoneticPr fontId="9" type="noConversion"/>
  </si>
  <si>
    <t>Construction Loan Amount</t>
    <phoneticPr fontId="9" type="noConversion"/>
  </si>
  <si>
    <t>Construction Loan?</t>
    <phoneticPr fontId="9" type="noConversion"/>
  </si>
  <si>
    <t>Unstructured</t>
    <phoneticPr fontId="9" type="noConversion"/>
  </si>
  <si>
    <t>State</t>
    <phoneticPr fontId="9" type="noConversion"/>
  </si>
  <si>
    <t>PPA Price Annual Escalator</t>
    <phoneticPr fontId="9" type="noConversion"/>
  </si>
  <si>
    <t>PPA Price per kWh</t>
    <phoneticPr fontId="9" type="noConversion"/>
  </si>
  <si>
    <t>Amortizing Debt</t>
    <phoneticPr fontId="9" type="noConversion"/>
  </si>
  <si>
    <t>Cumulative Cash Flow</t>
    <phoneticPr fontId="9" type="noConversion"/>
  </si>
  <si>
    <t>Cash Only Flow NPV</t>
    <phoneticPr fontId="9" type="noConversion"/>
  </si>
  <si>
    <t>Cash Only Flow IRR</t>
    <phoneticPr fontId="9" type="noConversion"/>
  </si>
  <si>
    <t>Net Federal ITC</t>
    <phoneticPr fontId="9" type="noConversion"/>
  </si>
  <si>
    <t>Cash on Cash Analysis</t>
    <phoneticPr fontId="9" type="noConversion"/>
  </si>
  <si>
    <t>SYSTEM INPUTS</t>
    <phoneticPr fontId="9" type="noConversion"/>
  </si>
  <si>
    <t>Federal Taxable Income</t>
    <phoneticPr fontId="9" type="noConversion"/>
  </si>
  <si>
    <t>Federal Taxes</t>
    <phoneticPr fontId="9" type="noConversion"/>
  </si>
  <si>
    <t>Year 1</t>
    <phoneticPr fontId="9" type="noConversion"/>
  </si>
  <si>
    <t>Year 15</t>
    <phoneticPr fontId="9" type="noConversion"/>
  </si>
  <si>
    <t>Year 20</t>
    <phoneticPr fontId="9" type="noConversion"/>
  </si>
  <si>
    <t>Fed. Earnings, pre- Depreciation</t>
  </si>
  <si>
    <t>Current Year Fed. Depreciation</t>
  </si>
  <si>
    <t>Start Fed. Carryforward Balance</t>
  </si>
  <si>
    <t>Excess Current Year Fed.Dep.</t>
  </si>
  <si>
    <t>Annual Equipment Tax Rate</t>
    <phoneticPr fontId="9" type="noConversion"/>
  </si>
  <si>
    <t>Operating Costs</t>
    <phoneticPr fontId="9" type="noConversion"/>
  </si>
  <si>
    <t>Total Costs</t>
    <phoneticPr fontId="9" type="noConversion"/>
  </si>
  <si>
    <t>Depreciation Economics</t>
    <phoneticPr fontId="9" type="noConversion"/>
  </si>
  <si>
    <t>Debt Management Economics</t>
    <phoneticPr fontId="9" type="noConversion"/>
  </si>
  <si>
    <t>Annual O&amp;M Escalator</t>
    <phoneticPr fontId="9" type="noConversion"/>
  </si>
  <si>
    <t>Year</t>
    <phoneticPr fontId="9" type="noConversion"/>
  </si>
  <si>
    <t>Annual Amoritzation Payment</t>
    <phoneticPr fontId="9" type="noConversion"/>
  </si>
  <si>
    <t>Insurance Escalator</t>
    <phoneticPr fontId="9" type="noConversion"/>
  </si>
  <si>
    <t>Start State Carryforward Balance</t>
  </si>
  <si>
    <t>Partnership Flip Investment &amp; Returns</t>
    <phoneticPr fontId="29" type="noConversion"/>
  </si>
  <si>
    <t>Year 10</t>
    <phoneticPr fontId="9" type="noConversion"/>
  </si>
  <si>
    <t>Initial Site Property Base Value</t>
    <phoneticPr fontId="9" type="noConversion"/>
  </si>
  <si>
    <t>PPA Price per kWh (AC)</t>
    <phoneticPr fontId="9" type="noConversion"/>
  </si>
  <si>
    <t>UNSTRUCTURED PROJECT ANALYSIS</t>
    <phoneticPr fontId="9" type="noConversion"/>
  </si>
  <si>
    <t>Federal</t>
  </si>
  <si>
    <t>State</t>
  </si>
  <si>
    <t>Less Sales Tax</t>
    <phoneticPr fontId="9" type="noConversion"/>
  </si>
  <si>
    <t>Cash Flow Test</t>
    <phoneticPr fontId="9" type="noConversion"/>
  </si>
  <si>
    <t>DATA KEY</t>
  </si>
  <si>
    <t>Construction Loan Rate</t>
    <phoneticPr fontId="9" type="noConversion"/>
  </si>
  <si>
    <t>Taxpayer's Federal Marginal Tax Rate</t>
  </si>
  <si>
    <t>Basis for Depreciation</t>
  </si>
  <si>
    <t>Cash and Tax Benefits Analysis</t>
    <phoneticPr fontId="9" type="noConversion"/>
  </si>
  <si>
    <t>Annual Site Property Tax Rate</t>
    <phoneticPr fontId="9" type="noConversion"/>
  </si>
  <si>
    <t>Input Variable</t>
    <phoneticPr fontId="9" type="noConversion"/>
  </si>
  <si>
    <t>After-Tax Excess State Depreciation</t>
    <phoneticPr fontId="9" type="noConversion"/>
  </si>
  <si>
    <t>Net Lifecycle Benefit (Cost)</t>
  </si>
  <si>
    <t>Year 1</t>
  </si>
  <si>
    <t>Year 7</t>
  </si>
  <si>
    <t>Year-End Buyout Price</t>
    <phoneticPr fontId="9" type="noConversion"/>
  </si>
  <si>
    <t>Project Flip Project Analysis</t>
    <phoneticPr fontId="9" type="noConversion"/>
  </si>
  <si>
    <t>Cash Flow Positive over Project Term?</t>
    <phoneticPr fontId="9" type="noConversion"/>
  </si>
  <si>
    <t>Equity Investment</t>
    <phoneticPr fontId="9" type="noConversion"/>
  </si>
  <si>
    <t>Last Change</t>
  </si>
  <si>
    <t>Last Change</t>
    <phoneticPr fontId="9" type="noConversion"/>
  </si>
  <si>
    <t>Last Change Date</t>
  </si>
  <si>
    <t>Last Change Date</t>
    <phoneticPr fontId="9" type="noConversion"/>
  </si>
  <si>
    <t>Cash-on-Cash Return</t>
    <phoneticPr fontId="9" type="noConversion"/>
  </si>
  <si>
    <t>Calculated</t>
  </si>
  <si>
    <t>IRR</t>
    <phoneticPr fontId="9" type="noConversion"/>
  </si>
  <si>
    <t>Solar Purchases</t>
    <phoneticPr fontId="9" type="noConversion"/>
  </si>
  <si>
    <t>IRR</t>
    <phoneticPr fontId="9" type="noConversion"/>
  </si>
  <si>
    <t>NPV</t>
    <phoneticPr fontId="9" type="noConversion"/>
  </si>
  <si>
    <t>State Taxes</t>
    <phoneticPr fontId="9" type="noConversion"/>
  </si>
  <si>
    <t>Tax Equity, % of Equity Investment</t>
    <phoneticPr fontId="9" type="noConversion"/>
  </si>
  <si>
    <t>State Taxable Income</t>
    <phoneticPr fontId="9" type="noConversion"/>
  </si>
  <si>
    <t>Total cost per watt</t>
  </si>
  <si>
    <t>Construction Loan Term (months)</t>
    <phoneticPr fontId="9" type="noConversion"/>
  </si>
  <si>
    <t>Panel and Hard Eq. Cost per W</t>
    <phoneticPr fontId="9" type="noConversion"/>
  </si>
  <si>
    <t>Annual Panel Degradation Rate</t>
    <phoneticPr fontId="9" type="noConversion"/>
  </si>
  <si>
    <t>Closing Costs and Fees</t>
    <phoneticPr fontId="9" type="noConversion"/>
  </si>
  <si>
    <t>Aggregate Project Cost</t>
    <phoneticPr fontId="9" type="noConversion"/>
  </si>
  <si>
    <t>Cash Only Flow</t>
    <phoneticPr fontId="9" type="noConversion"/>
  </si>
  <si>
    <t>N/A</t>
  </si>
  <si>
    <t>Tax Efficient?</t>
    <phoneticPr fontId="9" type="noConversion"/>
  </si>
  <si>
    <t>After-tax Excess Federal Depreciation</t>
    <phoneticPr fontId="9" type="noConversion"/>
  </si>
  <si>
    <t>Net Federal Taxes Due</t>
    <phoneticPr fontId="9" type="noConversion"/>
  </si>
  <si>
    <t>Net State Taxes Due</t>
    <phoneticPr fontId="9" type="noConversion"/>
  </si>
  <si>
    <t>(5yrs, MACRS, HY)</t>
  </si>
  <si>
    <t>P50 Production (kWh)</t>
  </si>
  <si>
    <t>P50 Production (kWh)</t>
    <phoneticPr fontId="9" type="noConversion"/>
  </si>
  <si>
    <t>Remaining Balance</t>
    <phoneticPr fontId="9" type="noConversion"/>
  </si>
  <si>
    <t>Total Benefits</t>
    <phoneticPr fontId="9" type="noConversion"/>
  </si>
  <si>
    <t>NPV</t>
    <phoneticPr fontId="9" type="noConversion"/>
  </si>
  <si>
    <t>Input Variable</t>
  </si>
  <si>
    <t xml:space="preserve"> </t>
    <phoneticPr fontId="29" type="noConversion"/>
  </si>
  <si>
    <t>Utility Demand Charge</t>
    <phoneticPr fontId="29" type="noConversion"/>
  </si>
  <si>
    <t>Demand Charge Rate (% of Utility $/kWh)</t>
    <phoneticPr fontId="9" type="noConversion"/>
  </si>
  <si>
    <t xml:space="preserve">Est. P50 kWh/year Production </t>
    <phoneticPr fontId="9" type="noConversion"/>
  </si>
  <si>
    <t>Est. P95 kWh/year Production</t>
    <phoneticPr fontId="9" type="noConversion"/>
  </si>
  <si>
    <t>Single SREC Size (kWh/SREC)</t>
    <phoneticPr fontId="9" type="noConversion"/>
  </si>
  <si>
    <t>P50 SRECs</t>
    <phoneticPr fontId="9" type="noConversion"/>
  </si>
  <si>
    <t>O&amp;M Costs</t>
    <phoneticPr fontId="9" type="noConversion"/>
  </si>
  <si>
    <t>Equity Return</t>
    <phoneticPr fontId="29" type="noConversion"/>
  </si>
  <si>
    <t>Equity NPV</t>
    <phoneticPr fontId="9" type="noConversion"/>
  </si>
  <si>
    <t>Insurance Expense per Year per W (DC)</t>
    <phoneticPr fontId="9" type="noConversion"/>
  </si>
  <si>
    <t>Aggregate Roof Upgrade &amp; Warranty</t>
    <phoneticPr fontId="9" type="noConversion"/>
  </si>
  <si>
    <t>Aggregate Developer Margin</t>
    <phoneticPr fontId="9" type="noConversion"/>
  </si>
  <si>
    <t>VALUE TO BUILDING/LANDLORD</t>
    <phoneticPr fontId="9" type="noConversion"/>
  </si>
  <si>
    <t>Total NPV Value to Building/Landlord</t>
    <phoneticPr fontId="9" type="noConversion"/>
  </si>
  <si>
    <t>Customer (NPV) Discount Rate</t>
    <phoneticPr fontId="9" type="noConversion"/>
  </si>
  <si>
    <t>Cash Equity</t>
    <phoneticPr fontId="9" type="noConversion"/>
  </si>
  <si>
    <t>Tax Equity</t>
    <phoneticPr fontId="9" type="noConversion"/>
  </si>
  <si>
    <t>Electricity Purchases, kWh</t>
    <phoneticPr fontId="9" type="noConversion"/>
  </si>
  <si>
    <t>Utility Purchases</t>
    <phoneticPr fontId="9" type="noConversion"/>
  </si>
  <si>
    <t>After-Tax Owner Customer Economics</t>
    <phoneticPr fontId="9" type="noConversion"/>
  </si>
  <si>
    <t>Displaced Utility Cost Savings</t>
    <phoneticPr fontId="9" type="noConversion"/>
  </si>
  <si>
    <t>Construction Cost/Watt</t>
  </si>
  <si>
    <t>AC (W)</t>
    <phoneticPr fontId="9" type="noConversion"/>
  </si>
  <si>
    <t>Project Operating Costs</t>
    <phoneticPr fontId="9" type="noConversion"/>
  </si>
  <si>
    <t>Total Project Operating Costs</t>
    <phoneticPr fontId="9" type="noConversion"/>
  </si>
  <si>
    <t>Project Net Income</t>
    <phoneticPr fontId="9"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</si>
  <si>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9" type="noConversion"/>
  </si>
  <si>
    <t>Illustrative Distributed Generation Solar PV Financial Model</t>
    <phoneticPr fontId="9" type="noConversion"/>
  </si>
  <si>
    <t>kWh Consumption (Avg. Monthly)</t>
    <phoneticPr fontId="9" type="noConversion"/>
  </si>
  <si>
    <t>Annual Utility Purchases, without PPA</t>
    <phoneticPr fontId="29" type="noConversion"/>
  </si>
  <si>
    <t>Annual Utility Purchases, with PPA</t>
    <phoneticPr fontId="29" type="noConversion"/>
  </si>
  <si>
    <t>SUPPORTING DATA AND CALCULATIONS</t>
  </si>
  <si>
    <t>Customer Analysis</t>
    <phoneticPr fontId="29" type="noConversion"/>
  </si>
  <si>
    <t>Equity Investment</t>
    <phoneticPr fontId="29" type="noConversion"/>
  </si>
  <si>
    <t>Investment Ratio</t>
    <phoneticPr fontId="9" type="noConversion"/>
  </si>
  <si>
    <t>Purchase Price</t>
    <phoneticPr fontId="9" type="noConversion"/>
  </si>
  <si>
    <t>NPV</t>
    <phoneticPr fontId="9" type="noConversion"/>
  </si>
  <si>
    <t>Unstructured Project Economics</t>
    <phoneticPr fontId="9" type="noConversion"/>
  </si>
  <si>
    <t>Unstructured Project</t>
    <phoneticPr fontId="9" type="noConversion"/>
  </si>
  <si>
    <t>Year</t>
  </si>
  <si>
    <t>Equity</t>
    <phoneticPr fontId="9" type="noConversion"/>
  </si>
  <si>
    <t>Debt</t>
    <phoneticPr fontId="9" type="noConversion"/>
  </si>
  <si>
    <t>Cash &amp; Tax Benefits Flows</t>
    <phoneticPr fontId="9" type="noConversion"/>
  </si>
  <si>
    <t>Net Federal ITC</t>
    <phoneticPr fontId="9" type="noConversion"/>
  </si>
  <si>
    <t>Est. Delta, P95/P50</t>
    <phoneticPr fontId="9" type="noConversion"/>
  </si>
  <si>
    <t>State Depreciation</t>
  </si>
  <si>
    <t>State Earnings, pre- Depreciation</t>
  </si>
  <si>
    <t>State Tax</t>
    <phoneticPr fontId="9" type="noConversion"/>
  </si>
  <si>
    <t>Purchase Price</t>
    <phoneticPr fontId="9" type="noConversion"/>
  </si>
  <si>
    <t>Buyout Price</t>
    <phoneticPr fontId="9" type="noConversion"/>
  </si>
  <si>
    <t>After-Tax Value of Cost Savings</t>
    <phoneticPr fontId="9" type="noConversion"/>
  </si>
  <si>
    <t>Customer Savings</t>
    <phoneticPr fontId="29" type="noConversion"/>
  </si>
  <si>
    <t>Owner Tax and Cash</t>
    <phoneticPr fontId="9"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</si>
  <si>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</si>
  <si>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</si>
  <si>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</si>
  <si>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</si>
  <si>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</si>
  <si>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</si>
  <si>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</si>
  <si>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</si>
  <si>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</si>
  <si>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</si>
  <si>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</si>
  <si>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</si>
  <si>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</si>
  <si>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</si>
  <si>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</si>
  <si>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</si>
  <si>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</si>
  <si>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</si>
  <si>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</si>
  <si>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</si>
  <si>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</si>
  <si>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</si>
  <si>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8"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</si>
  <si>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</si>
  <si>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</si>
  <si>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</si>
  <si>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</si>
  <si>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</si>
  <si>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</si>
  <si>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</si>
  <si>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</si>
  <si>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</si>
  <si>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</si>
  <si>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</si>
  <si>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</si>
  <si>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</si>
  <si>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</si>
  <si>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</si>
  <si>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</si>
  <si>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</si>
  <si>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</si>
  <si>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</si>
  <si>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</si>
  <si>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4" type="noConversion"/>
  </si>
  <si>
    <t>Cash Only Benefits</t>
    <phoneticPr fontId="34" type="noConversion"/>
  </si>
  <si>
    <t>Excess Tax Only Benefits</t>
  </si>
  <si>
    <t>Cash &amp; Tax Benefits</t>
    <phoneticPr fontId="34" type="noConversion"/>
  </si>
  <si>
    <t>NPV of Cash &amp; Tax Flows</t>
    <phoneticPr fontId="34"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</si>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</sst>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3" x14ac:knownFonts="1">
    <font>
      <sz val="10"/>
      <name val="Verdana"/>
    </font>
    <font>
      <sz val="12"/>
      <color theme="1"/>
      <name val="Calibri"/>
      <family val="2"/>
      <scheme val="minor"/>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8" fillId="0" borderId="0" applyFont="0" applyFill="0" applyBorder="0" applyAlignment="0" applyProtection="0"/>
    <xf numFmtId="9" fontId="8" fillId="0" borderId="0" applyFont="0" applyFill="0" applyBorder="0" applyAlignment="0" applyProtection="0"/>
    <xf numFmtId="43" fontId="7" fillId="0" borderId="0" applyFont="0" applyFill="0" applyBorder="0" applyAlignment="0" applyProtection="0"/>
    <xf numFmtId="0" fontId="33" fillId="10" borderId="46" applyNumberFormat="0" applyAlignment="0" applyProtection="0"/>
    <xf numFmtId="0" fontId="34" fillId="11" borderId="46" applyNumberFormat="0" applyAlignment="0" applyProtection="0"/>
    <xf numFmtId="0" fontId="4" fillId="0" borderId="0"/>
  </cellStyleXfs>
  <cellXfs count="612">
    <xf numFmtId="0" fontId="0" fillId="0" borderId="0" xfId="0"/>
    <xf numFmtId="0" fontId="11" fillId="0" borderId="0" xfId="0" applyFont="1"/>
    <xf numFmtId="0" fontId="12" fillId="0" borderId="0" xfId="0" applyFont="1"/>
    <xf numFmtId="0" fontId="13" fillId="0" borderId="0" xfId="0" applyFont="1"/>
    <xf numFmtId="0" fontId="15" fillId="4" borderId="7" xfId="0" applyFont="1" applyFill="1" applyBorder="1" applyAlignment="1">
      <alignment horizontal="center"/>
    </xf>
    <xf numFmtId="166" fontId="12" fillId="0" borderId="0" xfId="0" applyNumberFormat="1" applyFont="1"/>
    <xf numFmtId="41" fontId="12" fillId="0" borderId="0" xfId="0" applyNumberFormat="1" applyFont="1"/>
    <xf numFmtId="0" fontId="15" fillId="4" borderId="10" xfId="0" applyFont="1" applyFill="1" applyBorder="1" applyAlignment="1">
      <alignment horizontal="right"/>
    </xf>
    <xf numFmtId="0" fontId="13" fillId="0" borderId="17" xfId="0" applyFont="1" applyBorder="1"/>
    <xf numFmtId="0" fontId="11" fillId="0" borderId="17" xfId="0" applyFont="1" applyBorder="1"/>
    <xf numFmtId="0" fontId="12" fillId="0" borderId="17" xfId="0" applyFont="1" applyBorder="1"/>
    <xf numFmtId="0" fontId="17" fillId="0" borderId="0" xfId="0" applyFont="1"/>
    <xf numFmtId="5" fontId="12" fillId="0" borderId="0" xfId="0" applyNumberFormat="1" applyFont="1"/>
    <xf numFmtId="0" fontId="18" fillId="5" borderId="0" xfId="0" applyFont="1" applyFill="1"/>
    <xf numFmtId="0" fontId="0" fillId="5" borderId="0" xfId="0" applyFill="1"/>
    <xf numFmtId="166" fontId="11" fillId="0" borderId="2" xfId="0" applyNumberFormat="1" applyFont="1" applyBorder="1"/>
    <xf numFmtId="0" fontId="15" fillId="4" borderId="10" xfId="0" applyFont="1" applyFill="1" applyBorder="1" applyAlignment="1">
      <alignment horizontal="center"/>
    </xf>
    <xf numFmtId="0" fontId="23" fillId="0" borderId="0" xfId="0" applyFont="1" applyAlignment="1">
      <alignment vertical="center"/>
    </xf>
    <xf numFmtId="0" fontId="12" fillId="0" borderId="0" xfId="0" applyFont="1" applyAlignment="1">
      <alignment horizontal="left" indent="1"/>
    </xf>
    <xf numFmtId="10" fontId="12" fillId="0" borderId="0" xfId="0" applyNumberFormat="1" applyFont="1"/>
    <xf numFmtId="5" fontId="12" fillId="0" borderId="0" xfId="0" applyNumberFormat="1" applyFont="1" applyAlignment="1">
      <alignment horizontal="center"/>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10" fontId="12" fillId="7" borderId="26" xfId="2" applyNumberFormat="1" applyFont="1" applyFill="1" applyBorder="1" applyAlignment="1" applyProtection="1">
      <alignment horizontal="center"/>
      <protection locked="0"/>
    </xf>
    <xf numFmtId="164" fontId="12" fillId="2" borderId="24" xfId="0" applyNumberFormat="1" applyFont="1" applyFill="1" applyBorder="1" applyAlignment="1" applyProtection="1">
      <alignment horizontal="center"/>
      <protection locked="0"/>
    </xf>
    <xf numFmtId="0" fontId="28" fillId="5" borderId="0" xfId="0" applyFont="1" applyFill="1"/>
    <xf numFmtId="0" fontId="19" fillId="5" borderId="0" xfId="0" applyFont="1" applyFill="1"/>
    <xf numFmtId="0" fontId="28" fillId="5" borderId="0" xfId="0" applyFont="1" applyFill="1" applyAlignment="1">
      <alignment horizontal="left"/>
    </xf>
    <xf numFmtId="0" fontId="19" fillId="5" borderId="0" xfId="0" applyFont="1" applyFill="1" applyAlignment="1">
      <alignment horizontal="left"/>
    </xf>
    <xf numFmtId="169" fontId="12" fillId="0" borderId="0" xfId="0" applyNumberFormat="1" applyFont="1"/>
    <xf numFmtId="0" fontId="20" fillId="0" borderId="0" xfId="0" applyFont="1"/>
    <xf numFmtId="0" fontId="21" fillId="0" borderId="0" xfId="0" applyFont="1"/>
    <xf numFmtId="166" fontId="11" fillId="0" borderId="12" xfId="0" applyNumberFormat="1" applyFont="1" applyBorder="1"/>
    <xf numFmtId="0" fontId="7" fillId="0" borderId="0" xfId="0" applyFont="1"/>
    <xf numFmtId="0" fontId="6"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5" fillId="5" borderId="22" xfId="0" applyFont="1" applyFill="1" applyBorder="1" applyAlignment="1">
      <alignment horizontal="center" vertical="center"/>
    </xf>
    <xf numFmtId="0" fontId="11" fillId="0" borderId="1" xfId="0" applyFont="1" applyBorder="1"/>
    <xf numFmtId="0" fontId="11" fillId="0" borderId="4" xfId="0" applyFont="1" applyBorder="1"/>
    <xf numFmtId="5" fontId="11" fillId="0" borderId="12" xfId="0" applyNumberFormat="1" applyFont="1" applyBorder="1"/>
    <xf numFmtId="5" fontId="11" fillId="0" borderId="42" xfId="0" applyNumberFormat="1" applyFont="1" applyBorder="1"/>
    <xf numFmtId="5" fontId="11" fillId="0" borderId="2" xfId="0" applyNumberFormat="1" applyFont="1" applyBorder="1"/>
    <xf numFmtId="5" fontId="11" fillId="0" borderId="18" xfId="0" applyNumberFormat="1" applyFont="1" applyBorder="1"/>
    <xf numFmtId="0" fontId="3" fillId="0" borderId="40" xfId="0" applyFont="1" applyBorder="1" applyAlignment="1">
      <alignment horizontal="center"/>
    </xf>
    <xf numFmtId="5" fontId="11" fillId="0" borderId="41" xfId="0" applyNumberFormat="1" applyFont="1" applyBorder="1"/>
    <xf numFmtId="0" fontId="3" fillId="0" borderId="1" xfId="0" applyFont="1" applyBorder="1" applyAlignment="1">
      <alignment horizontal="center"/>
    </xf>
    <xf numFmtId="5" fontId="11" fillId="0" borderId="0" xfId="0" applyNumberFormat="1" applyFont="1"/>
    <xf numFmtId="0" fontId="3" fillId="0" borderId="4" xfId="0" applyFont="1" applyBorder="1" applyAlignment="1">
      <alignment horizontal="center"/>
    </xf>
    <xf numFmtId="5" fontId="11" fillId="0" borderId="5" xfId="0" applyNumberFormat="1" applyFont="1" applyBorder="1"/>
    <xf numFmtId="10" fontId="11" fillId="0" borderId="41" xfId="2" applyNumberFormat="1" applyFont="1" applyBorder="1"/>
    <xf numFmtId="10" fontId="11" fillId="0" borderId="0" xfId="2" applyNumberFormat="1" applyFont="1" applyBorder="1"/>
    <xf numFmtId="10" fontId="11" fillId="0" borderId="17" xfId="2" applyNumberFormat="1" applyFont="1" applyBorder="1"/>
    <xf numFmtId="10" fontId="11" fillId="0" borderId="5" xfId="2" applyNumberFormat="1" applyFont="1" applyBorder="1"/>
    <xf numFmtId="0" fontId="4" fillId="0" borderId="0" xfId="0" applyFont="1"/>
    <xf numFmtId="0" fontId="4" fillId="0" borderId="17" xfId="0" applyFont="1" applyBorder="1"/>
    <xf numFmtId="0" fontId="30" fillId="4" borderId="42" xfId="0" applyFont="1" applyFill="1" applyBorder="1" applyAlignment="1">
      <alignment horizontal="center" vertical="center"/>
    </xf>
    <xf numFmtId="0" fontId="30" fillId="4" borderId="1" xfId="0" applyFont="1" applyFill="1" applyBorder="1" applyAlignment="1">
      <alignment horizontal="center" vertical="center"/>
    </xf>
    <xf numFmtId="0" fontId="0" fillId="0" borderId="0" xfId="0" applyAlignment="1">
      <alignment wrapText="1"/>
    </xf>
    <xf numFmtId="0" fontId="31" fillId="0" borderId="0" xfId="0" applyFont="1" applyAlignment="1">
      <alignment wrapText="1"/>
    </xf>
    <xf numFmtId="0" fontId="35" fillId="0" borderId="0" xfId="0" applyFont="1"/>
    <xf numFmtId="0" fontId="10" fillId="4" borderId="10" xfId="0" applyFont="1" applyFill="1" applyBorder="1" applyAlignment="1">
      <alignment horizontal="centerContinuous"/>
    </xf>
    <xf numFmtId="0" fontId="10" fillId="4" borderId="11" xfId="0" applyFont="1" applyFill="1" applyBorder="1" applyAlignment="1">
      <alignment horizontal="centerContinuous"/>
    </xf>
    <xf numFmtId="0" fontId="10" fillId="4" borderId="8" xfId="0" applyFont="1" applyFill="1" applyBorder="1" applyAlignment="1">
      <alignment horizontal="centerContinuous"/>
    </xf>
    <xf numFmtId="0" fontId="35" fillId="4" borderId="1" xfId="0" applyFont="1" applyFill="1" applyBorder="1"/>
    <xf numFmtId="0" fontId="39" fillId="4" borderId="0" xfId="0" applyFont="1" applyFill="1" applyAlignment="1">
      <alignment horizontal="center"/>
    </xf>
    <xf numFmtId="0" fontId="37" fillId="0" borderId="10" xfId="0" applyFont="1" applyBorder="1"/>
    <xf numFmtId="0" fontId="37" fillId="0" borderId="1" xfId="0" applyFont="1" applyBorder="1"/>
    <xf numFmtId="0" fontId="37" fillId="0" borderId="0" xfId="0" applyFont="1"/>
    <xf numFmtId="0" fontId="10" fillId="0" borderId="11" xfId="0" applyFont="1" applyBorder="1" applyAlignment="1">
      <alignment horizontal="center"/>
    </xf>
    <xf numFmtId="0" fontId="10" fillId="0" borderId="8" xfId="0" applyFont="1" applyBorder="1" applyAlignment="1">
      <alignment horizontal="center"/>
    </xf>
    <xf numFmtId="0" fontId="38" fillId="4" borderId="0" xfId="0" applyFont="1" applyFill="1"/>
    <xf numFmtId="0" fontId="35" fillId="4" borderId="39" xfId="0" applyFont="1" applyFill="1" applyBorder="1"/>
    <xf numFmtId="0" fontId="37" fillId="0" borderId="2" xfId="0" applyFont="1" applyBorder="1"/>
    <xf numFmtId="0" fontId="36" fillId="0" borderId="10" xfId="0" applyFont="1" applyBorder="1"/>
    <xf numFmtId="164" fontId="36" fillId="0" borderId="2" xfId="0" applyNumberFormat="1" applyFont="1" applyBorder="1"/>
    <xf numFmtId="0" fontId="37" fillId="0" borderId="4" xfId="0" applyFont="1" applyBorder="1"/>
    <xf numFmtId="0" fontId="35" fillId="0" borderId="5" xfId="0" applyFont="1" applyBorder="1"/>
    <xf numFmtId="0" fontId="36" fillId="0" borderId="1" xfId="0" applyFont="1" applyBorder="1"/>
    <xf numFmtId="0" fontId="37" fillId="0" borderId="5" xfId="0" applyFont="1" applyBorder="1"/>
    <xf numFmtId="0" fontId="10" fillId="0" borderId="10" xfId="0" applyFont="1" applyBorder="1" applyAlignment="1">
      <alignment horizontal="center"/>
    </xf>
    <xf numFmtId="5" fontId="36" fillId="0" borderId="6" xfId="0" applyNumberFormat="1" applyFont="1" applyBorder="1"/>
    <xf numFmtId="0" fontId="38" fillId="4" borderId="1" xfId="0" applyFont="1" applyFill="1" applyBorder="1"/>
    <xf numFmtId="0" fontId="35" fillId="3" borderId="4" xfId="0" applyFont="1" applyFill="1" applyBorder="1" applyAlignment="1">
      <alignment horizontal="center"/>
    </xf>
    <xf numFmtId="0" fontId="35" fillId="3" borderId="11" xfId="0" applyFont="1" applyFill="1" applyBorder="1" applyAlignment="1">
      <alignment horizontal="center"/>
    </xf>
    <xf numFmtId="0" fontId="40" fillId="3" borderId="11" xfId="0" applyFont="1" applyFill="1" applyBorder="1"/>
    <xf numFmtId="0" fontId="40" fillId="3" borderId="8" xfId="0" applyFont="1" applyFill="1" applyBorder="1" applyAlignment="1">
      <alignment horizontal="center"/>
    </xf>
    <xf numFmtId="0" fontId="37" fillId="9" borderId="14" xfId="0" applyFont="1" applyFill="1" applyBorder="1" applyAlignment="1">
      <alignment horizontal="left" indent="1"/>
    </xf>
    <xf numFmtId="9" fontId="36" fillId="9" borderId="0" xfId="0" applyNumberFormat="1" applyFont="1" applyFill="1"/>
    <xf numFmtId="5" fontId="37" fillId="9" borderId="3" xfId="0" applyNumberFormat="1" applyFont="1" applyFill="1" applyBorder="1"/>
    <xf numFmtId="5" fontId="37" fillId="9" borderId="44" xfId="0" applyNumberFormat="1" applyFont="1" applyFill="1" applyBorder="1"/>
    <xf numFmtId="10" fontId="36" fillId="9" borderId="0" xfId="0" applyNumberFormat="1" applyFont="1" applyFill="1"/>
    <xf numFmtId="0" fontId="35" fillId="4" borderId="12" xfId="0" applyFont="1" applyFill="1" applyBorder="1"/>
    <xf numFmtId="0" fontId="37" fillId="9" borderId="15" xfId="0" applyFont="1" applyFill="1" applyBorder="1" applyAlignment="1">
      <alignment horizontal="left" indent="1"/>
    </xf>
    <xf numFmtId="0" fontId="37" fillId="0" borderId="11" xfId="0" applyFont="1" applyBorder="1" applyAlignment="1">
      <alignment horizontal="center"/>
    </xf>
    <xf numFmtId="5" fontId="37" fillId="0" borderId="11" xfId="0" applyNumberFormat="1" applyFont="1" applyBorder="1" applyAlignment="1">
      <alignment horizontal="center"/>
    </xf>
    <xf numFmtId="5" fontId="37" fillId="0" borderId="8" xfId="0" applyNumberFormat="1" applyFont="1" applyBorder="1" applyAlignment="1">
      <alignment horizontal="center"/>
    </xf>
    <xf numFmtId="0" fontId="37" fillId="0" borderId="12" xfId="0" applyFont="1" applyBorder="1"/>
    <xf numFmtId="0" fontId="10" fillId="4" borderId="0" xfId="0" applyFont="1" applyFill="1" applyAlignment="1">
      <alignment horizontal="center"/>
    </xf>
    <xf numFmtId="0" fontId="10" fillId="4" borderId="2" xfId="0" applyFont="1" applyFill="1" applyBorder="1" applyAlignment="1">
      <alignment horizontal="center"/>
    </xf>
    <xf numFmtId="5" fontId="37" fillId="0" borderId="0" xfId="0" applyNumberFormat="1" applyFont="1"/>
    <xf numFmtId="0" fontId="33" fillId="10" borderId="46" xfId="4"/>
    <xf numFmtId="3" fontId="33" fillId="10" borderId="46" xfId="4" applyNumberFormat="1" applyProtection="1"/>
    <xf numFmtId="164" fontId="33" fillId="10" borderId="46" xfId="4" applyNumberFormat="1" applyProtection="1">
      <protection locked="0"/>
    </xf>
    <xf numFmtId="10" fontId="33" fillId="10" borderId="46" xfId="4" applyNumberFormat="1" applyProtection="1">
      <protection locked="0"/>
    </xf>
    <xf numFmtId="9" fontId="33" fillId="10" borderId="46" xfId="4" applyNumberFormat="1" applyProtection="1">
      <protection locked="0"/>
    </xf>
    <xf numFmtId="166" fontId="33" fillId="10" borderId="46" xfId="4" applyNumberFormat="1"/>
    <xf numFmtId="168" fontId="33" fillId="10" borderId="46" xfId="4" applyNumberFormat="1"/>
    <xf numFmtId="10" fontId="33" fillId="10" borderId="46" xfId="4" applyNumberFormat="1"/>
    <xf numFmtId="5" fontId="33" fillId="10" borderId="46" xfId="4" applyNumberFormat="1"/>
    <xf numFmtId="10" fontId="33" fillId="10" borderId="46" xfId="4" applyNumberFormat="1" applyProtection="1"/>
    <xf numFmtId="168" fontId="33" fillId="10" borderId="46" xfId="4" applyNumberFormat="1" applyProtection="1"/>
    <xf numFmtId="10" fontId="34" fillId="11" borderId="46" xfId="5" applyNumberFormat="1" applyAlignment="1" applyProtection="1">
      <alignment horizontal="center"/>
      <protection locked="0"/>
    </xf>
    <xf numFmtId="164" fontId="37" fillId="0" borderId="8" xfId="0" applyNumberFormat="1" applyFont="1" applyBorder="1"/>
    <xf numFmtId="164" fontId="37" fillId="0" borderId="2" xfId="0" applyNumberFormat="1" applyFont="1" applyBorder="1"/>
    <xf numFmtId="164" fontId="37" fillId="0" borderId="18" xfId="0" applyNumberFormat="1" applyFont="1" applyBorder="1"/>
    <xf numFmtId="167" fontId="37" fillId="0" borderId="18" xfId="3" applyNumberFormat="1" applyFont="1" applyFill="1" applyBorder="1" applyProtection="1"/>
    <xf numFmtId="166" fontId="37" fillId="0" borderId="2" xfId="0" applyNumberFormat="1" applyFont="1" applyBorder="1"/>
    <xf numFmtId="164" fontId="33" fillId="10" borderId="48" xfId="4" applyNumberFormat="1" applyBorder="1" applyAlignment="1" applyProtection="1">
      <alignment horizontal="center"/>
      <protection locked="0"/>
    </xf>
    <xf numFmtId="166" fontId="37" fillId="0" borderId="12" xfId="0" applyNumberFormat="1" applyFont="1" applyBorder="1"/>
    <xf numFmtId="0" fontId="10" fillId="4" borderId="41" xfId="0" applyFont="1" applyFill="1" applyBorder="1" applyAlignment="1">
      <alignment horizontal="centerContinuous"/>
    </xf>
    <xf numFmtId="0" fontId="35" fillId="4" borderId="0" xfId="0" applyFont="1" applyFill="1"/>
    <xf numFmtId="0" fontId="13" fillId="0" borderId="56" xfId="0" applyFont="1" applyBorder="1"/>
    <xf numFmtId="0" fontId="11" fillId="0" borderId="56" xfId="0" applyFont="1" applyBorder="1"/>
    <xf numFmtId="0" fontId="12" fillId="12" borderId="0" xfId="0" applyFont="1" applyFill="1"/>
    <xf numFmtId="0" fontId="17" fillId="12" borderId="0" xfId="0" applyFont="1" applyFill="1"/>
    <xf numFmtId="0" fontId="13" fillId="12" borderId="0" xfId="0" applyFont="1" applyFill="1"/>
    <xf numFmtId="0" fontId="0" fillId="12" borderId="0" xfId="0" applyFill="1"/>
    <xf numFmtId="164" fontId="12" fillId="12" borderId="0" xfId="0" applyNumberFormat="1" applyFont="1" applyFill="1"/>
    <xf numFmtId="164" fontId="12" fillId="12" borderId="0" xfId="0" applyNumberFormat="1" applyFont="1" applyFill="1" applyAlignment="1">
      <alignment horizontal="left"/>
    </xf>
    <xf numFmtId="0" fontId="13" fillId="12" borderId="56" xfId="0" applyFont="1" applyFill="1" applyBorder="1"/>
    <xf numFmtId="0" fontId="0" fillId="12" borderId="56" xfId="0" applyFill="1" applyBorder="1"/>
    <xf numFmtId="0" fontId="12" fillId="12" borderId="56" xfId="0" applyFont="1" applyFill="1" applyBorder="1"/>
    <xf numFmtId="0" fontId="37" fillId="12" borderId="0" xfId="0" applyFont="1" applyFill="1"/>
    <xf numFmtId="0" fontId="35" fillId="12" borderId="0" xfId="0" applyFont="1" applyFill="1"/>
    <xf numFmtId="0" fontId="35" fillId="12" borderId="56" xfId="0" applyFont="1" applyFill="1" applyBorder="1"/>
    <xf numFmtId="10" fontId="36" fillId="12" borderId="0" xfId="2" applyNumberFormat="1" applyFont="1" applyFill="1" applyBorder="1"/>
    <xf numFmtId="0" fontId="0" fillId="12" borderId="57" xfId="0" applyFill="1" applyBorder="1"/>
    <xf numFmtId="0" fontId="0" fillId="12" borderId="58" xfId="0" applyFill="1" applyBorder="1"/>
    <xf numFmtId="0" fontId="12" fillId="12" borderId="58" xfId="0" applyFont="1" applyFill="1" applyBorder="1"/>
    <xf numFmtId="0" fontId="13" fillId="12" borderId="58" xfId="0" applyFont="1" applyFill="1" applyBorder="1"/>
    <xf numFmtId="0" fontId="12" fillId="12" borderId="62" xfId="0" applyFont="1" applyFill="1" applyBorder="1"/>
    <xf numFmtId="0" fontId="13" fillId="13" borderId="0" xfId="0" applyFont="1" applyFill="1"/>
    <xf numFmtId="0" fontId="17" fillId="13" borderId="0" xfId="0" applyFont="1" applyFill="1"/>
    <xf numFmtId="0" fontId="11" fillId="13" borderId="0" xfId="0" applyFont="1" applyFill="1"/>
    <xf numFmtId="0" fontId="11" fillId="13" borderId="57" xfId="0" applyFont="1" applyFill="1" applyBorder="1"/>
    <xf numFmtId="0" fontId="11" fillId="13" borderId="58" xfId="0" applyFont="1" applyFill="1" applyBorder="1"/>
    <xf numFmtId="0" fontId="35" fillId="13" borderId="0" xfId="0" applyFont="1" applyFill="1"/>
    <xf numFmtId="0" fontId="36" fillId="13" borderId="0" xfId="0" applyFont="1" applyFill="1"/>
    <xf numFmtId="0" fontId="36" fillId="13" borderId="58" xfId="0" applyFont="1" applyFill="1" applyBorder="1"/>
    <xf numFmtId="0" fontId="0" fillId="13" borderId="0" xfId="0" applyFill="1"/>
    <xf numFmtId="0" fontId="12" fillId="13" borderId="60" xfId="0" applyFont="1" applyFill="1" applyBorder="1"/>
    <xf numFmtId="0" fontId="12" fillId="13" borderId="61" xfId="0" applyFont="1" applyFill="1" applyBorder="1"/>
    <xf numFmtId="0" fontId="12" fillId="13" borderId="0" xfId="0" applyFont="1" applyFill="1"/>
    <xf numFmtId="0" fontId="13" fillId="13" borderId="58" xfId="0" applyFont="1" applyFill="1" applyBorder="1"/>
    <xf numFmtId="0" fontId="12" fillId="13" borderId="58" xfId="0" applyFont="1" applyFill="1" applyBorder="1"/>
    <xf numFmtId="41" fontId="12" fillId="13" borderId="0" xfId="0" applyNumberFormat="1" applyFont="1" applyFill="1"/>
    <xf numFmtId="0" fontId="37" fillId="13" borderId="0" xfId="0" applyFont="1" applyFill="1"/>
    <xf numFmtId="0" fontId="35" fillId="13" borderId="58" xfId="0" applyFont="1" applyFill="1" applyBorder="1"/>
    <xf numFmtId="0" fontId="0" fillId="13" borderId="58" xfId="0" applyFill="1" applyBorder="1"/>
    <xf numFmtId="0" fontId="37" fillId="13" borderId="58" xfId="0" applyFont="1" applyFill="1" applyBorder="1"/>
    <xf numFmtId="0" fontId="37" fillId="13" borderId="59" xfId="0" applyFont="1" applyFill="1" applyBorder="1"/>
    <xf numFmtId="164" fontId="37" fillId="13" borderId="0" xfId="0" applyNumberFormat="1" applyFont="1" applyFill="1" applyAlignment="1">
      <alignment horizontal="left"/>
    </xf>
    <xf numFmtId="0" fontId="38" fillId="13" borderId="0" xfId="0" applyFont="1" applyFill="1"/>
    <xf numFmtId="9" fontId="38" fillId="13" borderId="0" xfId="0" applyNumberFormat="1" applyFont="1" applyFill="1"/>
    <xf numFmtId="7" fontId="37" fillId="13" borderId="0" xfId="0" applyNumberFormat="1" applyFont="1" applyFill="1"/>
    <xf numFmtId="0" fontId="12" fillId="13" borderId="56" xfId="0" applyFont="1" applyFill="1" applyBorder="1"/>
    <xf numFmtId="0" fontId="12" fillId="13" borderId="62" xfId="0" applyFont="1" applyFill="1" applyBorder="1"/>
    <xf numFmtId="164" fontId="16" fillId="0" borderId="49" xfId="0" applyNumberFormat="1" applyFont="1" applyBorder="1" applyAlignment="1" applyProtection="1">
      <alignment horizontal="center"/>
      <protection locked="0"/>
    </xf>
    <xf numFmtId="0" fontId="18" fillId="5" borderId="19" xfId="0" applyFont="1" applyFill="1" applyBorder="1"/>
    <xf numFmtId="0" fontId="18" fillId="5" borderId="33" xfId="0" applyFont="1" applyFill="1" applyBorder="1"/>
    <xf numFmtId="0" fontId="0" fillId="0" borderId="63" xfId="0" applyBorder="1"/>
    <xf numFmtId="0" fontId="0" fillId="0" borderId="64" xfId="0" applyBorder="1"/>
    <xf numFmtId="0" fontId="15" fillId="4" borderId="67" xfId="0" applyFont="1" applyFill="1" applyBorder="1" applyAlignment="1">
      <alignment horizontal="center"/>
    </xf>
    <xf numFmtId="0" fontId="43" fillId="12" borderId="0" xfId="0" applyFont="1" applyFill="1"/>
    <xf numFmtId="0" fontId="43" fillId="13" borderId="0" xfId="0" applyFont="1" applyFill="1"/>
    <xf numFmtId="165" fontId="33" fillId="10" borderId="46" xfId="4" applyNumberFormat="1" applyProtection="1"/>
    <xf numFmtId="0" fontId="47" fillId="0" borderId="0" xfId="0" applyFont="1"/>
    <xf numFmtId="0" fontId="27" fillId="16" borderId="41" xfId="0" applyFont="1" applyFill="1" applyBorder="1" applyAlignment="1">
      <alignment vertical="center"/>
    </xf>
    <xf numFmtId="5" fontId="12" fillId="16" borderId="41" xfId="0" applyNumberFormat="1" applyFont="1" applyFill="1" applyBorder="1"/>
    <xf numFmtId="172" fontId="12" fillId="16" borderId="17" xfId="0" applyNumberFormat="1" applyFont="1" applyFill="1" applyBorder="1"/>
    <xf numFmtId="0" fontId="12" fillId="16" borderId="5" xfId="0" applyFont="1" applyFill="1" applyBorder="1" applyAlignment="1">
      <alignment horizontal="left" indent="1"/>
    </xf>
    <xf numFmtId="172" fontId="12" fillId="16" borderId="5" xfId="0" applyNumberFormat="1" applyFont="1" applyFill="1" applyBorder="1"/>
    <xf numFmtId="173" fontId="12" fillId="0" borderId="0" xfId="0" applyNumberFormat="1" applyFont="1" applyAlignment="1">
      <alignment horizontal="left"/>
    </xf>
    <xf numFmtId="0" fontId="12" fillId="0" borderId="0" xfId="0" applyFont="1" applyAlignment="1">
      <alignment horizontal="left"/>
    </xf>
    <xf numFmtId="0" fontId="12" fillId="16" borderId="41" xfId="0" applyFont="1" applyFill="1" applyBorder="1" applyAlignment="1">
      <alignment horizontal="left" indent="1"/>
    </xf>
    <xf numFmtId="172" fontId="12" fillId="16" borderId="41" xfId="0" applyNumberFormat="1" applyFont="1" applyFill="1" applyBorder="1"/>
    <xf numFmtId="0" fontId="12" fillId="16" borderId="5" xfId="0" applyFont="1" applyFill="1" applyBorder="1" applyAlignment="1">
      <alignment horizontal="left" indent="2"/>
    </xf>
    <xf numFmtId="0" fontId="0" fillId="16" borderId="41" xfId="0" applyFill="1" applyBorder="1"/>
    <xf numFmtId="10" fontId="12" fillId="16" borderId="0" xfId="2" applyNumberFormat="1" applyFont="1" applyFill="1" applyBorder="1"/>
    <xf numFmtId="167" fontId="12" fillId="16" borderId="0" xfId="3" applyNumberFormat="1" applyFont="1" applyFill="1" applyBorder="1"/>
    <xf numFmtId="10" fontId="12" fillId="16" borderId="5" xfId="2" applyNumberFormat="1" applyFont="1" applyFill="1" applyBorder="1"/>
    <xf numFmtId="5" fontId="12" fillId="16" borderId="5" xfId="0" applyNumberFormat="1" applyFont="1" applyFill="1" applyBorder="1"/>
    <xf numFmtId="0" fontId="7" fillId="0" borderId="17" xfId="0" applyFont="1" applyBorder="1"/>
    <xf numFmtId="0" fontId="10" fillId="4" borderId="40" xfId="0" applyFont="1" applyFill="1" applyBorder="1" applyAlignment="1">
      <alignment horizontal="centerContinuous"/>
    </xf>
    <xf numFmtId="0" fontId="10" fillId="4" borderId="42" xfId="0" applyFont="1" applyFill="1" applyBorder="1" applyAlignment="1">
      <alignment horizontal="centerContinuous"/>
    </xf>
    <xf numFmtId="10" fontId="33" fillId="10" borderId="53" xfId="4" applyNumberFormat="1" applyBorder="1" applyProtection="1">
      <protection locked="0"/>
    </xf>
    <xf numFmtId="165" fontId="33" fillId="10" borderId="53" xfId="4" applyNumberFormat="1" applyBorder="1" applyProtection="1"/>
    <xf numFmtId="165" fontId="33" fillId="10" borderId="70" xfId="4" applyNumberFormat="1" applyBorder="1" applyProtection="1"/>
    <xf numFmtId="0" fontId="48" fillId="15" borderId="65" xfId="0" applyFont="1" applyFill="1" applyBorder="1" applyAlignment="1">
      <alignment horizontal="right"/>
    </xf>
    <xf numFmtId="0" fontId="48" fillId="15" borderId="55" xfId="0" applyFont="1" applyFill="1" applyBorder="1" applyAlignment="1">
      <alignment horizontal="center"/>
    </xf>
    <xf numFmtId="0" fontId="15" fillId="4" borderId="66" xfId="6" applyFont="1" applyFill="1" applyBorder="1" applyAlignment="1">
      <alignment horizontal="center"/>
    </xf>
    <xf numFmtId="0" fontId="48" fillId="15" borderId="66" xfId="0" applyFont="1" applyFill="1" applyBorder="1" applyAlignment="1">
      <alignment horizontal="center"/>
    </xf>
    <xf numFmtId="165" fontId="12" fillId="16" borderId="0" xfId="2" applyNumberFormat="1" applyFont="1" applyFill="1" applyBorder="1"/>
    <xf numFmtId="165" fontId="50" fillId="16" borderId="0" xfId="2" applyNumberFormat="1" applyFont="1" applyFill="1" applyBorder="1"/>
    <xf numFmtId="0" fontId="49" fillId="17" borderId="40" xfId="0" applyFont="1" applyFill="1" applyBorder="1"/>
    <xf numFmtId="0" fontId="12" fillId="17" borderId="1" xfId="0" applyFont="1" applyFill="1" applyBorder="1" applyAlignment="1">
      <alignment horizontal="left" indent="1"/>
    </xf>
    <xf numFmtId="0" fontId="16" fillId="17" borderId="1" xfId="0" applyFont="1" applyFill="1" applyBorder="1" applyAlignment="1">
      <alignment horizontal="left"/>
    </xf>
    <xf numFmtId="0" fontId="12" fillId="17" borderId="1" xfId="0" applyFont="1" applyFill="1" applyBorder="1" applyAlignment="1">
      <alignment horizontal="left"/>
    </xf>
    <xf numFmtId="0" fontId="49" fillId="17" borderId="1" xfId="0" applyFont="1" applyFill="1" applyBorder="1"/>
    <xf numFmtId="0" fontId="16" fillId="17" borderId="4" xfId="0" applyFont="1" applyFill="1" applyBorder="1" applyAlignment="1">
      <alignment horizontal="left"/>
    </xf>
    <xf numFmtId="0" fontId="16" fillId="17" borderId="40" xfId="0" applyFont="1" applyFill="1" applyBorder="1" applyAlignment="1">
      <alignment horizontal="left"/>
    </xf>
    <xf numFmtId="0" fontId="12" fillId="17" borderId="1" xfId="0" applyFont="1" applyFill="1" applyBorder="1" applyAlignment="1">
      <alignment horizontal="left" indent="2"/>
    </xf>
    <xf numFmtId="0" fontId="12" fillId="17" borderId="4" xfId="0" applyFont="1" applyFill="1" applyBorder="1" applyAlignment="1">
      <alignment horizontal="left" indent="2"/>
    </xf>
    <xf numFmtId="0" fontId="27" fillId="17" borderId="40" xfId="0" applyFont="1" applyFill="1" applyBorder="1" applyAlignment="1">
      <alignment vertical="center"/>
    </xf>
    <xf numFmtId="0" fontId="27" fillId="17" borderId="1" xfId="0" applyFont="1" applyFill="1" applyBorder="1" applyAlignment="1">
      <alignment vertical="center"/>
    </xf>
    <xf numFmtId="0" fontId="12" fillId="17" borderId="4" xfId="0" applyFont="1" applyFill="1" applyBorder="1" applyAlignment="1">
      <alignment horizontal="left" indent="1"/>
    </xf>
    <xf numFmtId="0" fontId="50" fillId="17" borderId="1" xfId="0" applyFont="1" applyFill="1" applyBorder="1" applyAlignment="1">
      <alignment horizontal="left" indent="1"/>
    </xf>
    <xf numFmtId="0" fontId="50" fillId="17" borderId="4" xfId="0" applyFont="1" applyFill="1" applyBorder="1" applyAlignment="1">
      <alignment horizontal="left" indent="1"/>
    </xf>
    <xf numFmtId="5" fontId="50" fillId="0" borderId="0" xfId="0" applyNumberFormat="1" applyFont="1"/>
    <xf numFmtId="5" fontId="50" fillId="0" borderId="2" xfId="0" applyNumberFormat="1" applyFont="1" applyBorder="1"/>
    <xf numFmtId="5" fontId="50" fillId="0" borderId="5" xfId="0" applyNumberFormat="1" applyFont="1" applyBorder="1"/>
    <xf numFmtId="5" fontId="50" fillId="0" borderId="12" xfId="0" applyNumberFormat="1" applyFont="1" applyBorder="1"/>
    <xf numFmtId="172" fontId="12" fillId="16" borderId="0" xfId="0" applyNumberFormat="1" applyFont="1" applyFill="1"/>
    <xf numFmtId="5" fontId="12" fillId="16" borderId="0" xfId="0" applyNumberFormat="1" applyFont="1" applyFill="1"/>
    <xf numFmtId="0" fontId="0" fillId="16" borderId="0" xfId="0" applyFill="1"/>
    <xf numFmtId="0" fontId="12" fillId="16" borderId="0" xfId="0" applyFont="1" applyFill="1" applyAlignment="1">
      <alignment horizontal="left" indent="1"/>
    </xf>
    <xf numFmtId="0" fontId="49" fillId="16" borderId="0" xfId="0" applyFont="1" applyFill="1"/>
    <xf numFmtId="0" fontId="12" fillId="16" borderId="0" xfId="0" applyFont="1" applyFill="1" applyAlignment="1">
      <alignment horizontal="left" indent="2"/>
    </xf>
    <xf numFmtId="0" fontId="16" fillId="17" borderId="1" xfId="0" applyFont="1" applyFill="1" applyBorder="1"/>
    <xf numFmtId="0" fontId="13" fillId="17" borderId="1" xfId="0" applyFont="1" applyFill="1" applyBorder="1"/>
    <xf numFmtId="0" fontId="14" fillId="17" borderId="10" xfId="0" applyFont="1" applyFill="1" applyBorder="1" applyAlignment="1">
      <alignment horizontal="center"/>
    </xf>
    <xf numFmtId="0" fontId="12" fillId="17" borderId="1" xfId="0" applyFont="1" applyFill="1" applyBorder="1"/>
    <xf numFmtId="0" fontId="12" fillId="17" borderId="4" xfId="0" applyFont="1" applyFill="1" applyBorder="1"/>
    <xf numFmtId="0" fontId="13" fillId="17" borderId="10" xfId="0" applyFont="1" applyFill="1" applyBorder="1"/>
    <xf numFmtId="0" fontId="15" fillId="16" borderId="11" xfId="0" applyFont="1" applyFill="1" applyBorder="1" applyAlignment="1">
      <alignment horizontal="center"/>
    </xf>
    <xf numFmtId="5" fontId="12" fillId="16" borderId="0" xfId="0" applyNumberFormat="1" applyFont="1" applyFill="1" applyAlignment="1">
      <alignment horizontal="center"/>
    </xf>
    <xf numFmtId="43" fontId="12" fillId="16" borderId="0" xfId="3" applyFont="1" applyFill="1" applyBorder="1" applyProtection="1"/>
    <xf numFmtId="5" fontId="12" fillId="16" borderId="5" xfId="0" applyNumberFormat="1" applyFont="1" applyFill="1" applyBorder="1" applyAlignment="1">
      <alignment horizontal="center"/>
    </xf>
    <xf numFmtId="0" fontId="23" fillId="16" borderId="11" xfId="0" applyFont="1" applyFill="1" applyBorder="1" applyAlignment="1">
      <alignment vertical="center"/>
    </xf>
    <xf numFmtId="0" fontId="13" fillId="16" borderId="11" xfId="0" applyFont="1" applyFill="1" applyBorder="1"/>
    <xf numFmtId="0" fontId="23" fillId="16" borderId="0" xfId="0" applyFont="1" applyFill="1" applyAlignment="1">
      <alignment vertical="center"/>
    </xf>
    <xf numFmtId="0" fontId="13" fillId="16" borderId="0" xfId="0" applyFont="1" applyFill="1"/>
    <xf numFmtId="5" fontId="12" fillId="16" borderId="17" xfId="0" applyNumberFormat="1" applyFont="1" applyFill="1" applyBorder="1"/>
    <xf numFmtId="0" fontId="23" fillId="16" borderId="5" xfId="0" applyFont="1" applyFill="1" applyBorder="1" applyAlignment="1">
      <alignment vertical="center"/>
    </xf>
    <xf numFmtId="168" fontId="12" fillId="16" borderId="0" xfId="0" applyNumberFormat="1" applyFont="1" applyFill="1"/>
    <xf numFmtId="37" fontId="12" fillId="16" borderId="0" xfId="0" applyNumberFormat="1" applyFont="1" applyFill="1"/>
    <xf numFmtId="169" fontId="12" fillId="16" borderId="0" xfId="0" applyNumberFormat="1" applyFont="1" applyFill="1"/>
    <xf numFmtId="170" fontId="12" fillId="16" borderId="0" xfId="0" applyNumberFormat="1" applyFont="1" applyFill="1" applyAlignment="1">
      <alignment horizontal="left" indent="4"/>
    </xf>
    <xf numFmtId="5" fontId="0" fillId="16" borderId="0" xfId="0" applyNumberFormat="1" applyFill="1"/>
    <xf numFmtId="5" fontId="12" fillId="16" borderId="29" xfId="0" applyNumberFormat="1" applyFont="1" applyFill="1" applyBorder="1"/>
    <xf numFmtId="10" fontId="12" fillId="16" borderId="0" xfId="0" applyNumberFormat="1" applyFont="1" applyFill="1"/>
    <xf numFmtId="10" fontId="12" fillId="16" borderId="0" xfId="0" applyNumberFormat="1" applyFont="1" applyFill="1" applyAlignment="1">
      <alignment horizontal="center"/>
    </xf>
    <xf numFmtId="10" fontId="12" fillId="16" borderId="5" xfId="0" applyNumberFormat="1" applyFont="1" applyFill="1" applyBorder="1"/>
    <xf numFmtId="10" fontId="37" fillId="0" borderId="2" xfId="2" applyNumberFormat="1" applyFont="1" applyFill="1" applyBorder="1" applyProtection="1"/>
    <xf numFmtId="172" fontId="50" fillId="0" borderId="0" xfId="0" applyNumberFormat="1" applyFont="1"/>
    <xf numFmtId="172" fontId="50" fillId="0" borderId="5" xfId="0" applyNumberFormat="1" applyFont="1" applyBorder="1"/>
    <xf numFmtId="0" fontId="36" fillId="17" borderId="10" xfId="0" applyFont="1" applyFill="1" applyBorder="1" applyAlignment="1">
      <alignment horizontal="left" indent="1"/>
    </xf>
    <xf numFmtId="0" fontId="35" fillId="17" borderId="11" xfId="0" applyFont="1" applyFill="1" applyBorder="1"/>
    <xf numFmtId="0" fontId="36" fillId="17" borderId="1" xfId="0" applyFont="1" applyFill="1" applyBorder="1" applyAlignment="1">
      <alignment horizontal="left" indent="1"/>
    </xf>
    <xf numFmtId="0" fontId="35" fillId="17" borderId="0" xfId="0" applyFont="1" applyFill="1"/>
    <xf numFmtId="0" fontId="36" fillId="17" borderId="4" xfId="0" applyFont="1" applyFill="1" applyBorder="1"/>
    <xf numFmtId="0" fontId="35" fillId="17" borderId="5" xfId="0" applyFont="1" applyFill="1" applyBorder="1"/>
    <xf numFmtId="0" fontId="37" fillId="17" borderId="10" xfId="0" applyFont="1" applyFill="1" applyBorder="1"/>
    <xf numFmtId="0" fontId="37" fillId="17" borderId="11" xfId="0" applyFont="1" applyFill="1" applyBorder="1"/>
    <xf numFmtId="0" fontId="37" fillId="17" borderId="1" xfId="0" applyFont="1" applyFill="1" applyBorder="1" applyAlignment="1">
      <alignment horizontal="left" indent="1"/>
    </xf>
    <xf numFmtId="0" fontId="37" fillId="17" borderId="1" xfId="0" applyFont="1" applyFill="1" applyBorder="1"/>
    <xf numFmtId="0" fontId="37" fillId="17" borderId="0" xfId="0" applyFont="1" applyFill="1"/>
    <xf numFmtId="0" fontId="37" fillId="17" borderId="4" xfId="0" applyFont="1" applyFill="1" applyBorder="1"/>
    <xf numFmtId="0" fontId="37" fillId="17" borderId="1" xfId="0" applyFont="1" applyFill="1" applyBorder="1" applyAlignment="1">
      <alignment horizontal="left"/>
    </xf>
    <xf numFmtId="0" fontId="35" fillId="17" borderId="17" xfId="0" applyFont="1" applyFill="1" applyBorder="1"/>
    <xf numFmtId="0" fontId="35" fillId="17" borderId="1" xfId="0" applyFont="1" applyFill="1" applyBorder="1"/>
    <xf numFmtId="0" fontId="37" fillId="17" borderId="40" xfId="0" applyFont="1" applyFill="1" applyBorder="1" applyAlignment="1">
      <alignment horizontal="left"/>
    </xf>
    <xf numFmtId="166" fontId="36" fillId="16" borderId="8" xfId="0" applyNumberFormat="1" applyFont="1" applyFill="1" applyBorder="1"/>
    <xf numFmtId="166" fontId="36" fillId="16" borderId="18" xfId="0" applyNumberFormat="1" applyFont="1" applyFill="1" applyBorder="1"/>
    <xf numFmtId="166" fontId="36" fillId="16" borderId="9" xfId="0" applyNumberFormat="1" applyFont="1" applyFill="1" applyBorder="1"/>
    <xf numFmtId="5" fontId="37" fillId="16" borderId="2" xfId="1" applyNumberFormat="1" applyFont="1" applyFill="1" applyBorder="1" applyProtection="1"/>
    <xf numFmtId="0" fontId="37" fillId="17" borderId="40" xfId="0" applyFont="1" applyFill="1" applyBorder="1"/>
    <xf numFmtId="0" fontId="37" fillId="17" borderId="41" xfId="0" applyFont="1" applyFill="1" applyBorder="1"/>
    <xf numFmtId="10" fontId="37" fillId="16" borderId="2" xfId="2" applyNumberFormat="1" applyFont="1" applyFill="1" applyBorder="1" applyProtection="1"/>
    <xf numFmtId="10" fontId="37" fillId="16" borderId="12" xfId="2" applyNumberFormat="1" applyFont="1" applyFill="1" applyBorder="1" applyProtection="1"/>
    <xf numFmtId="10" fontId="36" fillId="16" borderId="42" xfId="0" applyNumberFormat="1" applyFont="1" applyFill="1" applyBorder="1" applyAlignment="1">
      <alignment horizontal="center"/>
    </xf>
    <xf numFmtId="5" fontId="36" fillId="16" borderId="2" xfId="0" applyNumberFormat="1" applyFont="1" applyFill="1" applyBorder="1" applyAlignment="1">
      <alignment horizontal="center"/>
    </xf>
    <xf numFmtId="0" fontId="35" fillId="16" borderId="2" xfId="0" applyFont="1" applyFill="1" applyBorder="1"/>
    <xf numFmtId="166" fontId="36" fillId="16" borderId="2" xfId="0" applyNumberFormat="1" applyFont="1" applyFill="1" applyBorder="1"/>
    <xf numFmtId="10" fontId="36" fillId="16" borderId="12" xfId="2" applyNumberFormat="1" applyFont="1" applyFill="1" applyBorder="1"/>
    <xf numFmtId="5" fontId="37" fillId="16" borderId="0" xfId="0" applyNumberFormat="1" applyFont="1" applyFill="1"/>
    <xf numFmtId="5" fontId="37" fillId="16" borderId="2" xfId="0" applyNumberFormat="1" applyFont="1" applyFill="1" applyBorder="1"/>
    <xf numFmtId="165" fontId="36" fillId="16" borderId="0" xfId="2" applyNumberFormat="1" applyFont="1" applyFill="1" applyBorder="1"/>
    <xf numFmtId="165" fontId="36" fillId="16" borderId="2" xfId="2" applyNumberFormat="1" applyFont="1" applyFill="1" applyBorder="1"/>
    <xf numFmtId="0" fontId="35" fillId="16" borderId="0" xfId="0" applyFont="1" applyFill="1"/>
    <xf numFmtId="167" fontId="37" fillId="16" borderId="2" xfId="3" applyNumberFormat="1" applyFont="1" applyFill="1" applyBorder="1"/>
    <xf numFmtId="0" fontId="35" fillId="16" borderId="5" xfId="0" applyFont="1" applyFill="1" applyBorder="1"/>
    <xf numFmtId="0" fontId="36" fillId="16" borderId="12" xfId="0" applyFont="1" applyFill="1" applyBorder="1" applyAlignment="1">
      <alignment horizontal="center"/>
    </xf>
    <xf numFmtId="10" fontId="36" fillId="16" borderId="2" xfId="0" applyNumberFormat="1" applyFont="1" applyFill="1" applyBorder="1" applyAlignment="1">
      <alignment horizontal="center"/>
    </xf>
    <xf numFmtId="5" fontId="36" fillId="16" borderId="42" xfId="0" applyNumberFormat="1" applyFont="1" applyFill="1" applyBorder="1" applyAlignment="1">
      <alignment horizontal="center"/>
    </xf>
    <xf numFmtId="0" fontId="35" fillId="17" borderId="10" xfId="0" applyFont="1" applyFill="1" applyBorder="1"/>
    <xf numFmtId="0" fontId="37" fillId="17" borderId="4" xfId="0" applyFont="1" applyFill="1" applyBorder="1" applyAlignment="1">
      <alignment horizontal="left" indent="1"/>
    </xf>
    <xf numFmtId="0" fontId="36" fillId="17" borderId="2" xfId="0" applyFont="1" applyFill="1" applyBorder="1" applyAlignment="1">
      <alignment horizontal="center"/>
    </xf>
    <xf numFmtId="5" fontId="37" fillId="17" borderId="0" xfId="0" applyNumberFormat="1" applyFont="1" applyFill="1" applyAlignment="1">
      <alignment horizontal="center"/>
    </xf>
    <xf numFmtId="7" fontId="37" fillId="16" borderId="0" xfId="0" applyNumberFormat="1" applyFont="1" applyFill="1"/>
    <xf numFmtId="10" fontId="36" fillId="16" borderId="2" xfId="0" applyNumberFormat="1" applyFont="1" applyFill="1" applyBorder="1"/>
    <xf numFmtId="0" fontId="36" fillId="16" borderId="2" xfId="0" applyFont="1" applyFill="1" applyBorder="1" applyAlignment="1">
      <alignment horizontal="center"/>
    </xf>
    <xf numFmtId="5" fontId="37" fillId="16" borderId="0" xfId="0" applyNumberFormat="1" applyFont="1" applyFill="1" applyAlignment="1">
      <alignment horizontal="center"/>
    </xf>
    <xf numFmtId="167" fontId="36" fillId="16" borderId="0" xfId="3" applyNumberFormat="1" applyFont="1" applyFill="1" applyBorder="1"/>
    <xf numFmtId="167" fontId="36" fillId="16" borderId="5" xfId="3" applyNumberFormat="1" applyFont="1" applyFill="1" applyBorder="1"/>
    <xf numFmtId="10" fontId="36" fillId="16" borderId="12" xfId="0" applyNumberFormat="1" applyFont="1" applyFill="1" applyBorder="1"/>
    <xf numFmtId="5" fontId="36" fillId="16" borderId="0" xfId="0" applyNumberFormat="1" applyFont="1" applyFill="1"/>
    <xf numFmtId="5" fontId="36" fillId="16" borderId="2" xfId="0" applyNumberFormat="1" applyFont="1" applyFill="1" applyBorder="1"/>
    <xf numFmtId="5" fontId="36" fillId="16" borderId="35" xfId="0" applyNumberFormat="1"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xf numFmtId="0" fontId="36" fillId="17" borderId="0" xfId="0" applyFont="1" applyFill="1"/>
    <xf numFmtId="0" fontId="36" fillId="17" borderId="5" xfId="0" applyFont="1" applyFill="1" applyBorder="1"/>
    <xf numFmtId="0" fontId="36" fillId="17" borderId="0" xfId="0" applyFont="1" applyFill="1" applyAlignment="1">
      <alignment horizontal="center"/>
    </xf>
    <xf numFmtId="10" fontId="37" fillId="0" borderId="12" xfId="0" applyNumberFormat="1" applyFont="1" applyBorder="1" applyAlignment="1">
      <alignment horizontal="center"/>
    </xf>
    <xf numFmtId="165" fontId="36" fillId="16" borderId="0" xfId="0" applyNumberFormat="1" applyFont="1" applyFill="1"/>
    <xf numFmtId="165" fontId="37" fillId="16" borderId="2" xfId="2" applyNumberFormat="1" applyFont="1" applyFill="1" applyBorder="1"/>
    <xf numFmtId="7" fontId="12" fillId="16" borderId="0" xfId="0" applyNumberFormat="1" applyFont="1" applyFill="1"/>
    <xf numFmtId="10" fontId="33" fillId="10" borderId="71" xfId="4" applyNumberFormat="1" applyBorder="1"/>
    <xf numFmtId="10" fontId="33" fillId="10" borderId="72" xfId="4" applyNumberFormat="1" applyBorder="1"/>
    <xf numFmtId="5" fontId="36" fillId="0" borderId="66" xfId="0" applyNumberFormat="1" applyFont="1" applyBorder="1"/>
    <xf numFmtId="10" fontId="33" fillId="10" borderId="70" xfId="4" applyNumberFormat="1" applyBorder="1"/>
    <xf numFmtId="0" fontId="15" fillId="4" borderId="40" xfId="0" applyFont="1" applyFill="1" applyBorder="1" applyAlignment="1">
      <alignment horizontal="right"/>
    </xf>
    <xf numFmtId="0" fontId="15" fillId="4" borderId="40" xfId="0" applyFont="1" applyFill="1" applyBorder="1" applyAlignment="1">
      <alignment horizontal="center"/>
    </xf>
    <xf numFmtId="0" fontId="16" fillId="17" borderId="40" xfId="0" applyFont="1" applyFill="1" applyBorder="1"/>
    <xf numFmtId="0" fontId="12" fillId="16" borderId="41" xfId="0" applyFont="1" applyFill="1" applyBorder="1"/>
    <xf numFmtId="0" fontId="16" fillId="17" borderId="4" xfId="0" applyFont="1" applyFill="1" applyBorder="1"/>
    <xf numFmtId="5" fontId="0" fillId="16" borderId="5" xfId="0" applyNumberFormat="1" applyFill="1" applyBorder="1"/>
    <xf numFmtId="0" fontId="52" fillId="0" borderId="0" xfId="0" applyFont="1"/>
    <xf numFmtId="172" fontId="12" fillId="16" borderId="0" xfId="0" applyNumberFormat="1" applyFont="1" applyFill="1" applyAlignment="1">
      <alignment horizontal="left"/>
    </xf>
    <xf numFmtId="10" fontId="12" fillId="16" borderId="0" xfId="0" applyNumberFormat="1" applyFont="1" applyFill="1" applyAlignment="1">
      <alignment horizontal="left"/>
    </xf>
    <xf numFmtId="0" fontId="16" fillId="16" borderId="0" xfId="0" applyFont="1" applyFill="1" applyAlignment="1">
      <alignment horizontal="left"/>
    </xf>
    <xf numFmtId="0" fontId="12" fillId="16" borderId="0" xfId="0" applyFont="1" applyFill="1" applyAlignment="1">
      <alignment horizontal="left"/>
    </xf>
    <xf numFmtId="5" fontId="50" fillId="16" borderId="0" xfId="0" applyNumberFormat="1" applyFont="1" applyFill="1" applyAlignment="1">
      <alignment vertical="center"/>
    </xf>
    <xf numFmtId="0" fontId="54" fillId="0" borderId="0" xfId="0" applyFont="1"/>
    <xf numFmtId="0" fontId="50" fillId="0" borderId="0" xfId="0" applyFont="1"/>
    <xf numFmtId="0" fontId="55" fillId="0" borderId="0" xfId="0" applyFont="1"/>
    <xf numFmtId="0" fontId="57" fillId="4" borderId="20" xfId="0" applyFont="1" applyFill="1" applyBorder="1" applyAlignment="1">
      <alignment horizontal="right"/>
    </xf>
    <xf numFmtId="0" fontId="57" fillId="4" borderId="73" xfId="0" applyFont="1" applyFill="1" applyBorder="1" applyAlignment="1">
      <alignment horizontal="center"/>
    </xf>
    <xf numFmtId="0" fontId="57" fillId="4" borderId="74" xfId="0" applyFont="1" applyFill="1" applyBorder="1" applyAlignment="1">
      <alignment horizontal="center"/>
    </xf>
    <xf numFmtId="0" fontId="55" fillId="17" borderId="28" xfId="0" applyFont="1" applyFill="1" applyBorder="1"/>
    <xf numFmtId="0" fontId="50" fillId="17" borderId="0" xfId="0" applyFont="1" applyFill="1" applyAlignment="1">
      <alignment vertical="center"/>
    </xf>
    <xf numFmtId="167" fontId="55" fillId="16" borderId="0" xfId="3" applyNumberFormat="1" applyFont="1" applyFill="1" applyBorder="1" applyProtection="1"/>
    <xf numFmtId="167" fontId="55" fillId="16" borderId="0" xfId="0" applyNumberFormat="1" applyFont="1" applyFill="1"/>
    <xf numFmtId="0" fontId="55" fillId="17" borderId="28" xfId="0" applyFont="1" applyFill="1" applyBorder="1" applyAlignment="1">
      <alignment horizontal="left" indent="1"/>
    </xf>
    <xf numFmtId="168" fontId="55" fillId="16" borderId="0" xfId="0" applyNumberFormat="1" applyFont="1" applyFill="1"/>
    <xf numFmtId="5" fontId="55" fillId="16" borderId="0" xfId="0" applyNumberFormat="1" applyFont="1" applyFill="1"/>
    <xf numFmtId="5" fontId="55" fillId="16" borderId="5" xfId="0" applyNumberFormat="1" applyFont="1" applyFill="1" applyBorder="1"/>
    <xf numFmtId="5" fontId="55" fillId="8" borderId="0" xfId="0" applyNumberFormat="1" applyFont="1" applyFill="1"/>
    <xf numFmtId="0" fontId="55" fillId="17" borderId="28" xfId="0" applyFont="1" applyFill="1" applyBorder="1" applyAlignment="1">
      <alignment horizontal="left"/>
    </xf>
    <xf numFmtId="0" fontId="58" fillId="17" borderId="28" xfId="0" applyFont="1" applyFill="1" applyBorder="1" applyAlignment="1">
      <alignment horizontal="left"/>
    </xf>
    <xf numFmtId="174" fontId="55" fillId="16" borderId="0" xfId="1" applyNumberFormat="1" applyFont="1" applyFill="1" applyBorder="1" applyProtection="1"/>
    <xf numFmtId="0" fontId="50" fillId="8" borderId="0" xfId="0" applyFont="1" applyFill="1"/>
    <xf numFmtId="0" fontId="50" fillId="8" borderId="0" xfId="0" applyFont="1" applyFill="1" applyAlignment="1">
      <alignment vertical="center"/>
    </xf>
    <xf numFmtId="5" fontId="55" fillId="0" borderId="0" xfId="0" applyNumberFormat="1" applyFont="1"/>
    <xf numFmtId="0" fontId="50" fillId="17" borderId="28" xfId="0" applyFont="1" applyFill="1" applyBorder="1"/>
    <xf numFmtId="0" fontId="50" fillId="16" borderId="0" xfId="0" applyFont="1" applyFill="1"/>
    <xf numFmtId="0" fontId="58" fillId="17" borderId="28" xfId="0" applyFont="1" applyFill="1" applyBorder="1" applyAlignment="1">
      <alignment vertical="center" wrapText="1"/>
    </xf>
    <xf numFmtId="0" fontId="55" fillId="16" borderId="0" xfId="0" applyFont="1" applyFill="1" applyAlignment="1">
      <alignment vertical="center" wrapText="1"/>
    </xf>
    <xf numFmtId="174" fontId="50" fillId="16" borderId="0" xfId="1" applyNumberFormat="1" applyFont="1" applyFill="1" applyBorder="1"/>
    <xf numFmtId="0" fontId="55" fillId="17" borderId="32" xfId="0" applyFont="1" applyFill="1" applyBorder="1" applyAlignment="1">
      <alignment horizontal="left" indent="1"/>
    </xf>
    <xf numFmtId="168" fontId="55" fillId="16" borderId="33" xfId="0" applyNumberFormat="1" applyFont="1" applyFill="1" applyBorder="1"/>
    <xf numFmtId="0" fontId="55" fillId="16" borderId="33" xfId="0" applyFont="1" applyFill="1" applyBorder="1" applyAlignment="1">
      <alignment vertical="center" wrapText="1"/>
    </xf>
    <xf numFmtId="174" fontId="50" fillId="16" borderId="33" xfId="1" applyNumberFormat="1" applyFont="1" applyFill="1" applyBorder="1"/>
    <xf numFmtId="0" fontId="50" fillId="16" borderId="33" xfId="0" applyFont="1" applyFill="1" applyBorder="1"/>
    <xf numFmtId="0" fontId="55" fillId="0" borderId="0" xfId="0" applyFont="1" applyAlignment="1">
      <alignment horizontal="left"/>
    </xf>
    <xf numFmtId="0" fontId="50" fillId="0" borderId="0" xfId="0" applyFont="1" applyAlignment="1">
      <alignment vertical="center"/>
    </xf>
    <xf numFmtId="0" fontId="50" fillId="16" borderId="0" xfId="0" applyFont="1" applyFill="1" applyAlignment="1">
      <alignment vertical="center"/>
    </xf>
    <xf numFmtId="0" fontId="55" fillId="17" borderId="32" xfId="0" applyFont="1" applyFill="1" applyBorder="1"/>
    <xf numFmtId="10" fontId="55" fillId="16" borderId="33" xfId="0" applyNumberFormat="1" applyFont="1" applyFill="1" applyBorder="1"/>
    <xf numFmtId="5" fontId="55" fillId="16" borderId="33" xfId="0" applyNumberFormat="1" applyFont="1" applyFill="1" applyBorder="1"/>
    <xf numFmtId="0" fontId="50" fillId="0" borderId="17" xfId="0" applyFont="1" applyBorder="1"/>
    <xf numFmtId="0" fontId="57" fillId="4" borderId="40" xfId="0" applyFont="1" applyFill="1" applyBorder="1" applyAlignment="1">
      <alignment horizontal="right"/>
    </xf>
    <xf numFmtId="0" fontId="57" fillId="4" borderId="40" xfId="0" applyFont="1" applyFill="1" applyBorder="1" applyAlignment="1">
      <alignment horizontal="center"/>
    </xf>
    <xf numFmtId="0" fontId="57" fillId="4" borderId="7" xfId="0" applyFont="1" applyFill="1" applyBorder="1" applyAlignment="1">
      <alignment horizontal="center"/>
    </xf>
    <xf numFmtId="0" fontId="58" fillId="17" borderId="1" xfId="0" applyFont="1" applyFill="1" applyBorder="1" applyAlignment="1">
      <alignment horizontal="left"/>
    </xf>
    <xf numFmtId="0" fontId="50" fillId="17" borderId="0" xfId="0" applyFont="1" applyFill="1"/>
    <xf numFmtId="0" fontId="59" fillId="17" borderId="1" xfId="0" applyFont="1" applyFill="1" applyBorder="1"/>
    <xf numFmtId="0" fontId="58" fillId="17" borderId="1" xfId="0" applyFont="1" applyFill="1" applyBorder="1" applyAlignment="1">
      <alignment horizontal="left" indent="1"/>
    </xf>
    <xf numFmtId="168" fontId="55" fillId="16" borderId="2" xfId="0" applyNumberFormat="1" applyFont="1" applyFill="1" applyBorder="1"/>
    <xf numFmtId="0" fontId="58" fillId="17" borderId="4" xfId="0" applyFont="1" applyFill="1" applyBorder="1" applyAlignment="1">
      <alignment horizontal="left" indent="1"/>
    </xf>
    <xf numFmtId="168" fontId="55" fillId="16" borderId="12" xfId="0" applyNumberFormat="1" applyFont="1" applyFill="1" applyBorder="1"/>
    <xf numFmtId="7" fontId="55" fillId="16" borderId="0" xfId="0" applyNumberFormat="1" applyFont="1" applyFill="1"/>
    <xf numFmtId="169" fontId="50" fillId="16" borderId="0" xfId="0" applyNumberFormat="1" applyFont="1" applyFill="1"/>
    <xf numFmtId="0" fontId="50" fillId="17" borderId="5" xfId="0" applyFont="1" applyFill="1" applyBorder="1"/>
    <xf numFmtId="169" fontId="50" fillId="16" borderId="5" xfId="0" applyNumberFormat="1" applyFont="1" applyFill="1" applyBorder="1"/>
    <xf numFmtId="0" fontId="58" fillId="17" borderId="28" xfId="0" applyFont="1" applyFill="1" applyBorder="1"/>
    <xf numFmtId="168" fontId="36" fillId="16" borderId="5" xfId="0" applyNumberFormat="1" applyFont="1" applyFill="1" applyBorder="1"/>
    <xf numFmtId="168" fontId="36" fillId="16" borderId="12" xfId="0" applyNumberFormat="1" applyFont="1" applyFill="1" applyBorder="1"/>
    <xf numFmtId="0" fontId="3" fillId="0" borderId="0" xfId="0" applyFont="1" applyAlignment="1">
      <alignment horizontal="center"/>
    </xf>
    <xf numFmtId="0" fontId="3" fillId="0" borderId="80" xfId="0" applyFont="1" applyBorder="1" applyAlignment="1">
      <alignment horizontal="left"/>
    </xf>
    <xf numFmtId="5" fontId="11" fillId="0" borderId="81" xfId="0" applyNumberFormat="1" applyFont="1" applyBorder="1"/>
    <xf numFmtId="5" fontId="11" fillId="0" borderId="82" xfId="0" applyNumberFormat="1" applyFont="1" applyBorder="1"/>
    <xf numFmtId="0" fontId="4" fillId="0" borderId="1" xfId="0" applyFont="1" applyBorder="1"/>
    <xf numFmtId="0" fontId="0" fillId="0" borderId="2" xfId="0" applyBorder="1"/>
    <xf numFmtId="0" fontId="3" fillId="0" borderId="1" xfId="0" applyFont="1" applyBorder="1" applyAlignment="1">
      <alignment horizontal="left"/>
    </xf>
    <xf numFmtId="0" fontId="30" fillId="4" borderId="78" xfId="0" applyFont="1" applyFill="1" applyBorder="1" applyAlignment="1">
      <alignment horizontal="center" vertical="center"/>
    </xf>
    <xf numFmtId="0" fontId="15" fillId="4" borderId="78" xfId="0" applyFont="1" applyFill="1" applyBorder="1" applyAlignment="1">
      <alignment horizontal="center"/>
    </xf>
    <xf numFmtId="0" fontId="61" fillId="8" borderId="81" xfId="0" applyFont="1" applyFill="1" applyBorder="1" applyAlignment="1">
      <alignment horizontal="center"/>
    </xf>
    <xf numFmtId="9" fontId="61" fillId="8" borderId="0" xfId="0" applyNumberFormat="1" applyFont="1" applyFill="1" applyAlignment="1">
      <alignment horizontal="center" vertical="center"/>
    </xf>
    <xf numFmtId="0" fontId="65" fillId="0" borderId="4" xfId="0" applyFont="1" applyBorder="1"/>
    <xf numFmtId="165" fontId="13" fillId="0" borderId="2" xfId="2" applyNumberFormat="1" applyFont="1" applyBorder="1"/>
    <xf numFmtId="175" fontId="13" fillId="0" borderId="2" xfId="1" applyNumberFormat="1" applyFont="1" applyBorder="1"/>
    <xf numFmtId="175" fontId="13" fillId="0" borderId="12" xfId="0" applyNumberFormat="1" applyFont="1" applyBorder="1"/>
    <xf numFmtId="9" fontId="0" fillId="0" borderId="0" xfId="0" applyNumberFormat="1"/>
    <xf numFmtId="166" fontId="0" fillId="0" borderId="0" xfId="0" applyNumberFormat="1"/>
    <xf numFmtId="0" fontId="63" fillId="19" borderId="4" xfId="0" applyFont="1" applyFill="1" applyBorder="1"/>
    <xf numFmtId="165" fontId="2" fillId="10" borderId="53" xfId="4" applyNumberFormat="1" applyFont="1" applyBorder="1" applyProtection="1"/>
    <xf numFmtId="0" fontId="61" fillId="8" borderId="80" xfId="0" applyFont="1" applyFill="1" applyBorder="1" applyAlignment="1">
      <alignment horizontal="center"/>
    </xf>
    <xf numFmtId="9" fontId="61" fillId="8" borderId="2" xfId="0" applyNumberFormat="1" applyFont="1" applyFill="1" applyBorder="1" applyAlignment="1">
      <alignment horizontal="center" vertical="center"/>
    </xf>
    <xf numFmtId="165" fontId="2" fillId="10" borderId="70" xfId="4" applyNumberFormat="1" applyFont="1" applyBorder="1" applyProtection="1"/>
    <xf numFmtId="10" fontId="34" fillId="12" borderId="53" xfId="5" applyNumberFormat="1" applyFill="1" applyBorder="1" applyAlignment="1" applyProtection="1">
      <alignment horizontal="center"/>
      <protection locked="0"/>
    </xf>
    <xf numFmtId="10" fontId="34" fillId="12" borderId="46" xfId="5" applyNumberFormat="1" applyFill="1" applyAlignment="1" applyProtection="1">
      <alignment horizontal="center"/>
      <protection locked="0"/>
    </xf>
    <xf numFmtId="0" fontId="34" fillId="12" borderId="46" xfId="3" applyNumberFormat="1" applyFont="1" applyFill="1" applyBorder="1" applyAlignment="1" applyProtection="1">
      <alignment horizontal="center"/>
      <protection locked="0"/>
    </xf>
    <xf numFmtId="3" fontId="33"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7" fillId="13" borderId="4" xfId="0" applyFont="1" applyFill="1" applyBorder="1"/>
    <xf numFmtId="0" fontId="13" fillId="13" borderId="5" xfId="0" applyFont="1" applyFill="1" applyBorder="1"/>
    <xf numFmtId="10" fontId="34" fillId="11" borderId="83" xfId="5" applyNumberFormat="1" applyBorder="1" applyAlignment="1" applyProtection="1">
      <alignment horizontal="center"/>
      <protection locked="0"/>
    </xf>
    <xf numFmtId="0" fontId="63" fillId="19" borderId="84" xfId="0" applyFont="1" applyFill="1" applyBorder="1"/>
    <xf numFmtId="165" fontId="2" fillId="10" borderId="85" xfId="2" applyNumberFormat="1" applyFont="1" applyFill="1" applyBorder="1" applyAlignment="1" applyProtection="1">
      <alignment horizontal="center"/>
    </xf>
    <xf numFmtId="0" fontId="12" fillId="16" borderId="17" xfId="0" applyFont="1" applyFill="1" applyBorder="1" applyAlignment="1">
      <alignment horizontal="left" indent="1"/>
    </xf>
    <xf numFmtId="0" fontId="34" fillId="11" borderId="46" xfId="3" applyNumberFormat="1" applyFont="1" applyFill="1" applyBorder="1" applyAlignment="1" applyProtection="1">
      <alignment horizontal="center"/>
      <protection locked="0"/>
    </xf>
    <xf numFmtId="167" fontId="50" fillId="16" borderId="0" xfId="0" applyNumberFormat="1" applyFont="1" applyFill="1"/>
    <xf numFmtId="10" fontId="33" fillId="10" borderId="71" xfId="4" applyNumberFormat="1" applyBorder="1" applyProtection="1">
      <protection locked="0"/>
    </xf>
    <xf numFmtId="167" fontId="37" fillId="0" borderId="2" xfId="3" applyNumberFormat="1" applyFont="1" applyFill="1" applyBorder="1" applyProtection="1"/>
    <xf numFmtId="0" fontId="7" fillId="13" borderId="0" xfId="0" applyFont="1" applyFill="1"/>
    <xf numFmtId="0" fontId="52" fillId="13" borderId="0" xfId="0" applyFont="1" applyFill="1"/>
    <xf numFmtId="44" fontId="0" fillId="13" borderId="0" xfId="1" applyFont="1" applyFill="1"/>
    <xf numFmtId="5" fontId="12" fillId="18" borderId="86" xfId="0" applyNumberFormat="1" applyFont="1" applyFill="1" applyBorder="1"/>
    <xf numFmtId="10" fontId="34" fillId="12" borderId="47" xfId="5" applyNumberFormat="1" applyFill="1" applyBorder="1" applyAlignment="1" applyProtection="1">
      <alignment horizontal="center" vertical="center"/>
      <protection locked="0"/>
    </xf>
    <xf numFmtId="0" fontId="66" fillId="13" borderId="0" xfId="0" applyFont="1" applyFill="1" applyAlignment="1">
      <alignment horizontal="right"/>
    </xf>
    <xf numFmtId="0" fontId="67" fillId="13" borderId="0" xfId="0" applyFont="1" applyFill="1"/>
    <xf numFmtId="0" fontId="68" fillId="20" borderId="0" xfId="0" applyFont="1" applyFill="1" applyAlignment="1">
      <alignment horizontal="right"/>
    </xf>
    <xf numFmtId="0" fontId="69" fillId="20" borderId="0" xfId="0" applyFont="1" applyFill="1"/>
    <xf numFmtId="0" fontId="21" fillId="13" borderId="0" xfId="0" applyFont="1" applyFill="1"/>
    <xf numFmtId="0" fontId="35" fillId="13" borderId="56" xfId="0" applyFont="1" applyFill="1" applyBorder="1"/>
    <xf numFmtId="0" fontId="0" fillId="13" borderId="57" xfId="0" applyFill="1" applyBorder="1"/>
    <xf numFmtId="10" fontId="34" fillId="12" borderId="87" xfId="5" applyNumberFormat="1" applyFill="1" applyBorder="1" applyAlignment="1" applyProtection="1">
      <alignment horizontal="center" vertical="center"/>
      <protection locked="0"/>
    </xf>
    <xf numFmtId="164" fontId="33" fillId="10" borderId="88" xfId="4" applyNumberFormat="1" applyBorder="1" applyAlignment="1" applyProtection="1">
      <alignment horizontal="center"/>
      <protection locked="0"/>
    </xf>
    <xf numFmtId="164" fontId="16" fillId="0" borderId="89" xfId="0" applyNumberFormat="1" applyFont="1" applyBorder="1" applyAlignment="1" applyProtection="1">
      <alignment horizontal="center"/>
      <protection locked="0"/>
    </xf>
    <xf numFmtId="0" fontId="0" fillId="0" borderId="0" xfId="0" applyAlignment="1">
      <alignment horizontal="left"/>
    </xf>
    <xf numFmtId="0" fontId="13" fillId="0" borderId="17" xfId="0" applyFont="1" applyBorder="1" applyAlignment="1">
      <alignment horizontal="left"/>
    </xf>
    <xf numFmtId="0" fontId="11" fillId="0" borderId="17" xfId="0" applyFont="1" applyBorder="1" applyAlignment="1">
      <alignment horizontal="left"/>
    </xf>
    <xf numFmtId="0" fontId="21" fillId="0" borderId="0" xfId="0" applyFont="1" applyAlignment="1">
      <alignment vertical="center" wrapText="1"/>
    </xf>
    <xf numFmtId="0" fontId="72" fillId="0" borderId="0" xfId="0" applyFont="1"/>
    <xf numFmtId="0" fontId="33" fillId="10" borderId="26" xfId="4" applyNumberFormat="1" applyBorder="1" applyAlignment="1" applyProtection="1">
      <protection locked="0"/>
    </xf>
    <xf numFmtId="171" fontId="33" fillId="10" borderId="93" xfId="4" applyNumberFormat="1" applyBorder="1" applyAlignment="1" applyProtection="1">
      <protection locked="0"/>
    </xf>
    <xf numFmtId="0" fontId="37" fillId="0" borderId="40" xfId="0" applyFont="1" applyBorder="1"/>
    <xf numFmtId="0" fontId="37" fillId="0" borderId="41" xfId="0" applyFont="1" applyBorder="1"/>
    <xf numFmtId="0" fontId="64" fillId="0" borderId="1" xfId="0" applyFont="1" applyBorder="1"/>
    <xf numFmtId="0" fontId="35" fillId="0" borderId="41" xfId="0" applyFont="1" applyBorder="1"/>
    <xf numFmtId="165" fontId="37" fillId="0" borderId="5" xfId="0" applyNumberFormat="1" applyFont="1" applyBorder="1"/>
    <xf numFmtId="0" fontId="63" fillId="0" borderId="1" xfId="0" applyFont="1" applyBorder="1"/>
    <xf numFmtId="0" fontId="63" fillId="0" borderId="4" xfId="0" applyFont="1" applyBorder="1"/>
    <xf numFmtId="0" fontId="13" fillId="0" borderId="5" xfId="0" applyFont="1" applyBorder="1"/>
    <xf numFmtId="0" fontId="13" fillId="21" borderId="0" xfId="0" applyFont="1" applyFill="1" applyAlignment="1">
      <alignment horizontal="center"/>
    </xf>
    <xf numFmtId="0" fontId="35" fillId="0" borderId="2" xfId="0" applyFont="1" applyBorder="1"/>
    <xf numFmtId="6" fontId="36" fillId="16" borderId="0" xfId="0" applyNumberFormat="1" applyFont="1" applyFill="1"/>
    <xf numFmtId="6" fontId="36" fillId="16" borderId="2" xfId="0" applyNumberFormat="1" applyFont="1" applyFill="1" applyBorder="1"/>
    <xf numFmtId="6" fontId="11" fillId="13" borderId="0" xfId="0" applyNumberFormat="1" applyFont="1" applyFill="1"/>
    <xf numFmtId="10" fontId="1" fillId="10" borderId="53" xfId="4" applyNumberFormat="1" applyFont="1" applyBorder="1" applyProtection="1">
      <protection locked="0"/>
    </xf>
    <xf numFmtId="167" fontId="1" fillId="10" borderId="53" xfId="4" applyNumberFormat="1" applyFont="1" applyBorder="1"/>
    <xf numFmtId="10" fontId="1" fillId="10" borderId="70" xfId="4" applyNumberFormat="1" applyFont="1" applyBorder="1" applyAlignment="1" applyProtection="1">
      <alignment horizontal="right"/>
      <protection locked="0"/>
    </xf>
    <xf numFmtId="0" fontId="37" fillId="0" borderId="84" xfId="0" applyFont="1" applyBorder="1"/>
    <xf numFmtId="0" fontId="37" fillId="0" borderId="81" xfId="0" applyFont="1" applyBorder="1"/>
    <xf numFmtId="0" fontId="35" fillId="0" borderId="82" xfId="0" applyFont="1" applyBorder="1"/>
    <xf numFmtId="164" fontId="33" fillId="10" borderId="53" xfId="4" applyNumberFormat="1" applyBorder="1" applyProtection="1">
      <protection locked="0"/>
    </xf>
    <xf numFmtId="0" fontId="71" fillId="0" borderId="0" xfId="0" applyFont="1" applyAlignment="1">
      <alignment horizontal="left" vertical="center" wrapText="1"/>
    </xf>
    <xf numFmtId="0" fontId="32" fillId="4" borderId="20" xfId="0" applyFont="1" applyFill="1" applyBorder="1" applyAlignment="1">
      <alignment horizontal="left" wrapText="1"/>
    </xf>
    <xf numFmtId="0" fontId="32" fillId="4" borderId="27" xfId="0" applyFont="1" applyFill="1" applyBorder="1" applyAlignment="1">
      <alignment horizontal="left" wrapText="1"/>
    </xf>
    <xf numFmtId="0" fontId="32" fillId="4" borderId="30" xfId="0" applyFont="1" applyFill="1" applyBorder="1" applyAlignment="1">
      <alignment horizontal="left" wrapText="1"/>
    </xf>
    <xf numFmtId="0" fontId="21" fillId="12" borderId="28" xfId="0" applyFont="1" applyFill="1" applyBorder="1" applyAlignment="1">
      <alignment horizontal="left" vertical="center" wrapText="1"/>
    </xf>
    <xf numFmtId="0" fontId="21" fillId="12" borderId="0" xfId="0" applyFont="1" applyFill="1" applyAlignment="1">
      <alignment horizontal="left" vertical="center" wrapText="1"/>
    </xf>
    <xf numFmtId="0" fontId="21" fillId="12" borderId="31" xfId="0" applyFont="1" applyFill="1" applyBorder="1" applyAlignment="1">
      <alignment horizontal="left" vertical="center" wrapText="1"/>
    </xf>
    <xf numFmtId="0" fontId="21" fillId="12" borderId="32" xfId="0" applyFont="1" applyFill="1" applyBorder="1" applyAlignment="1">
      <alignment horizontal="left" vertical="center" wrapText="1"/>
    </xf>
    <xf numFmtId="0" fontId="21" fillId="12" borderId="33" xfId="0" applyFont="1" applyFill="1" applyBorder="1" applyAlignment="1">
      <alignment horizontal="left" vertical="center" wrapText="1"/>
    </xf>
    <xf numFmtId="0" fontId="21" fillId="12" borderId="34" xfId="0" applyFont="1" applyFill="1" applyBorder="1" applyAlignment="1">
      <alignment horizontal="left" vertical="center" wrapText="1"/>
    </xf>
    <xf numFmtId="0" fontId="27" fillId="6" borderId="25" xfId="0" applyFont="1" applyFill="1" applyBorder="1" applyAlignment="1">
      <alignment horizontal="center" vertical="center"/>
    </xf>
    <xf numFmtId="0" fontId="22" fillId="6" borderId="23" xfId="0" applyFont="1" applyFill="1" applyBorder="1" applyAlignment="1">
      <alignment horizontal="center" vertical="center"/>
    </xf>
    <xf numFmtId="0" fontId="22" fillId="6" borderId="21" xfId="0" applyFont="1" applyFill="1" applyBorder="1" applyAlignment="1">
      <alignment horizontal="center" vertical="center"/>
    </xf>
    <xf numFmtId="0" fontId="33" fillId="10" borderId="63" xfId="4" applyNumberFormat="1" applyBorder="1" applyAlignment="1" applyProtection="1">
      <alignment horizontal="center"/>
      <protection locked="0"/>
    </xf>
    <xf numFmtId="0" fontId="33" fillId="10" borderId="68" xfId="4" applyNumberFormat="1" applyBorder="1" applyAlignment="1" applyProtection="1">
      <alignment horizontal="center"/>
      <protection locked="0"/>
    </xf>
    <xf numFmtId="171" fontId="33" fillId="10" borderId="64" xfId="4" applyNumberFormat="1" applyBorder="1" applyAlignment="1" applyProtection="1">
      <alignment horizontal="center"/>
      <protection locked="0"/>
    </xf>
    <xf numFmtId="171" fontId="33" fillId="10" borderId="69" xfId="4" applyNumberFormat="1" applyBorder="1" applyAlignment="1" applyProtection="1">
      <alignment horizontal="center"/>
      <protection locked="0"/>
    </xf>
    <xf numFmtId="0" fontId="61" fillId="8" borderId="80" xfId="0" applyFont="1" applyFill="1" applyBorder="1" applyAlignment="1">
      <alignment horizontal="center" vertical="center" wrapText="1"/>
    </xf>
    <xf numFmtId="0" fontId="61" fillId="8" borderId="81" xfId="0" applyFont="1" applyFill="1" applyBorder="1" applyAlignment="1">
      <alignment horizontal="center" vertical="center" wrapText="1"/>
    </xf>
    <xf numFmtId="0" fontId="61" fillId="8" borderId="82" xfId="0" applyFont="1" applyFill="1" applyBorder="1" applyAlignment="1">
      <alignment horizontal="center" vertical="center" wrapText="1"/>
    </xf>
    <xf numFmtId="0" fontId="61" fillId="8" borderId="4" xfId="0" applyFont="1" applyFill="1" applyBorder="1" applyAlignment="1">
      <alignment horizontal="center" vertical="center" wrapText="1"/>
    </xf>
    <xf numFmtId="0" fontId="61" fillId="8" borderId="5" xfId="0" applyFont="1" applyFill="1" applyBorder="1" applyAlignment="1">
      <alignment horizontal="center" vertical="center" wrapText="1"/>
    </xf>
    <xf numFmtId="0" fontId="61" fillId="8" borderId="12" xfId="0" applyFont="1" applyFill="1" applyBorder="1" applyAlignment="1">
      <alignment horizontal="center" vertical="center" wrapText="1"/>
    </xf>
    <xf numFmtId="0" fontId="38" fillId="4" borderId="5" xfId="0" applyFont="1" applyFill="1" applyBorder="1" applyAlignment="1">
      <alignment horizontal="center"/>
    </xf>
    <xf numFmtId="0" fontId="51" fillId="12" borderId="0" xfId="0" applyFont="1" applyFill="1" applyAlignment="1">
      <alignment horizontal="center" vertical="center" wrapText="1"/>
    </xf>
    <xf numFmtId="0" fontId="31" fillId="0" borderId="0" xfId="0" applyFont="1" applyAlignment="1">
      <alignment horizontal="left" vertical="center" wrapText="1"/>
    </xf>
    <xf numFmtId="0" fontId="27" fillId="0" borderId="25" xfId="0" applyFont="1" applyBorder="1" applyAlignment="1">
      <alignment horizontal="center" vertical="center"/>
    </xf>
    <xf numFmtId="0" fontId="22" fillId="0" borderId="23" xfId="0" applyFont="1" applyBorder="1" applyAlignment="1">
      <alignment horizontal="center" vertical="center"/>
    </xf>
    <xf numFmtId="0" fontId="22" fillId="0" borderId="21" xfId="0" applyFont="1" applyBorder="1" applyAlignment="1">
      <alignment horizontal="center" vertical="center"/>
    </xf>
    <xf numFmtId="0" fontId="10" fillId="8" borderId="40" xfId="0" applyFont="1" applyFill="1" applyBorder="1" applyAlignment="1">
      <alignment horizontal="center"/>
    </xf>
    <xf numFmtId="0" fontId="10" fillId="8" borderId="41" xfId="0" applyFont="1" applyFill="1" applyBorder="1" applyAlignment="1">
      <alignment horizontal="center"/>
    </xf>
    <xf numFmtId="0" fontId="10" fillId="8" borderId="42" xfId="0" applyFont="1" applyFill="1" applyBorder="1" applyAlignment="1">
      <alignment horizontal="center"/>
    </xf>
    <xf numFmtId="0" fontId="62" fillId="15" borderId="80" xfId="0" applyFont="1" applyFill="1" applyBorder="1" applyAlignment="1">
      <alignment horizontal="center"/>
    </xf>
    <xf numFmtId="0" fontId="62" fillId="15" borderId="81" xfId="0" applyFont="1" applyFill="1" applyBorder="1" applyAlignment="1">
      <alignment horizontal="center"/>
    </xf>
    <xf numFmtId="0" fontId="62" fillId="15" borderId="82" xfId="0" applyFont="1" applyFill="1" applyBorder="1" applyAlignment="1">
      <alignment horizontal="center"/>
    </xf>
    <xf numFmtId="0" fontId="10" fillId="4" borderId="80" xfId="0" applyFont="1" applyFill="1" applyBorder="1" applyAlignment="1">
      <alignment horizontal="center" wrapText="1"/>
    </xf>
    <xf numFmtId="0" fontId="10" fillId="4" borderId="82" xfId="0" applyFont="1" applyFill="1" applyBorder="1" applyAlignment="1">
      <alignment horizontal="center" wrapText="1"/>
    </xf>
    <xf numFmtId="0" fontId="10" fillId="4" borderId="50" xfId="0" applyFont="1" applyFill="1" applyBorder="1" applyAlignment="1">
      <alignment horizontal="center"/>
    </xf>
    <xf numFmtId="0" fontId="10" fillId="4" borderId="54" xfId="0" applyFont="1" applyFill="1" applyBorder="1" applyAlignment="1">
      <alignment horizontal="center"/>
    </xf>
    <xf numFmtId="0" fontId="35" fillId="0" borderId="51" xfId="0" applyFont="1" applyBorder="1" applyAlignment="1">
      <alignment horizontal="center"/>
    </xf>
    <xf numFmtId="0" fontId="35" fillId="0" borderId="52" xfId="0" applyFont="1" applyBorder="1" applyAlignment="1">
      <alignment horizontal="center"/>
    </xf>
    <xf numFmtId="0" fontId="10" fillId="4" borderId="84" xfId="0" applyFont="1" applyFill="1" applyBorder="1" applyAlignment="1">
      <alignment horizontal="center"/>
    </xf>
    <xf numFmtId="0" fontId="10" fillId="4" borderId="81" xfId="0" applyFont="1" applyFill="1" applyBorder="1" applyAlignment="1">
      <alignment horizontal="center"/>
    </xf>
    <xf numFmtId="0" fontId="35" fillId="0" borderId="81" xfId="0" applyFont="1" applyBorder="1" applyAlignment="1">
      <alignment horizontal="center"/>
    </xf>
    <xf numFmtId="0" fontId="35" fillId="0" borderId="66" xfId="0" applyFont="1" applyBorder="1" applyAlignment="1">
      <alignment horizontal="center"/>
    </xf>
    <xf numFmtId="0" fontId="10" fillId="4" borderId="13" xfId="0" applyFont="1" applyFill="1" applyBorder="1" applyAlignment="1">
      <alignment horizontal="center"/>
    </xf>
    <xf numFmtId="0" fontId="35" fillId="0" borderId="16" xfId="0" applyFont="1" applyBorder="1" applyAlignment="1">
      <alignment horizontal="center"/>
    </xf>
    <xf numFmtId="0" fontId="10" fillId="4" borderId="40" xfId="0" applyFont="1" applyFill="1" applyBorder="1" applyAlignment="1">
      <alignment horizontal="center"/>
    </xf>
    <xf numFmtId="0" fontId="10" fillId="4" borderId="41" xfId="0" applyFont="1" applyFill="1" applyBorder="1" applyAlignment="1">
      <alignment horizontal="center"/>
    </xf>
    <xf numFmtId="0" fontId="10" fillId="4" borderId="42" xfId="0" applyFont="1" applyFill="1" applyBorder="1" applyAlignment="1">
      <alignment horizont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2" fillId="4" borderId="20" xfId="0" applyFont="1" applyFill="1" applyBorder="1" applyAlignment="1">
      <alignment horizontal="left" vertical="center" wrapText="1"/>
    </xf>
    <xf numFmtId="0" fontId="32" fillId="4" borderId="27" xfId="0" applyFont="1" applyFill="1" applyBorder="1" applyAlignment="1">
      <alignment horizontal="left" vertical="center" wrapText="1"/>
    </xf>
    <xf numFmtId="0" fontId="32" fillId="4" borderId="30" xfId="0" applyFont="1" applyFill="1" applyBorder="1" applyAlignment="1">
      <alignment horizontal="left" vertical="center" wrapText="1"/>
    </xf>
    <xf numFmtId="0" fontId="41" fillId="12" borderId="28" xfId="0" applyFont="1" applyFill="1" applyBorder="1" applyAlignment="1">
      <alignment horizontal="left" vertical="center" wrapText="1"/>
    </xf>
    <xf numFmtId="0" fontId="41" fillId="12" borderId="0" xfId="0" applyFont="1" applyFill="1" applyAlignment="1">
      <alignment horizontal="left" vertical="center" wrapText="1"/>
    </xf>
    <xf numFmtId="0" fontId="41" fillId="12" borderId="31" xfId="0" applyFont="1" applyFill="1" applyBorder="1" applyAlignment="1">
      <alignment horizontal="left" vertical="center" wrapText="1"/>
    </xf>
    <xf numFmtId="0" fontId="41" fillId="12" borderId="32" xfId="0" applyFont="1" applyFill="1" applyBorder="1" applyAlignment="1">
      <alignment horizontal="left" vertical="center" wrapText="1"/>
    </xf>
    <xf numFmtId="0" fontId="41" fillId="12" borderId="33" xfId="0" applyFont="1" applyFill="1" applyBorder="1" applyAlignment="1">
      <alignment horizontal="left" vertical="center" wrapText="1"/>
    </xf>
    <xf numFmtId="0" fontId="41" fillId="12" borderId="34" xfId="0" applyFont="1" applyFill="1" applyBorder="1" applyAlignment="1">
      <alignment horizontal="left" vertical="center" wrapText="1"/>
    </xf>
    <xf numFmtId="0" fontId="10" fillId="8" borderId="4" xfId="0" applyFont="1" applyFill="1" applyBorder="1" applyAlignment="1">
      <alignment horizontal="center"/>
    </xf>
    <xf numFmtId="0" fontId="10" fillId="8" borderId="5" xfId="0" applyFont="1" applyFill="1" applyBorder="1" applyAlignment="1">
      <alignment horizontal="center"/>
    </xf>
    <xf numFmtId="0" fontId="15" fillId="4" borderId="65" xfId="0" applyFont="1" applyFill="1" applyBorder="1"/>
    <xf numFmtId="0" fontId="15" fillId="4" borderId="54" xfId="0" applyFont="1" applyFill="1" applyBorder="1"/>
    <xf numFmtId="0" fontId="15" fillId="4" borderId="42" xfId="0" applyFont="1" applyFill="1" applyBorder="1"/>
    <xf numFmtId="0" fontId="15"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70" fillId="0" borderId="20" xfId="0" applyFont="1" applyBorder="1" applyAlignment="1">
      <alignment horizontal="center" vertical="center"/>
    </xf>
    <xf numFmtId="0" fontId="70" fillId="0" borderId="30" xfId="0" applyFont="1" applyBorder="1" applyAlignment="1">
      <alignment horizontal="center" vertical="center"/>
    </xf>
    <xf numFmtId="0" fontId="70" fillId="0" borderId="28" xfId="0" applyFont="1" applyBorder="1" applyAlignment="1">
      <alignment horizontal="center" vertical="center"/>
    </xf>
    <xf numFmtId="0" fontId="70" fillId="0" borderId="31" xfId="0" applyFont="1" applyBorder="1" applyAlignment="1">
      <alignment horizontal="center" vertical="center"/>
    </xf>
    <xf numFmtId="0" fontId="70" fillId="0" borderId="32" xfId="0" applyFont="1" applyBorder="1" applyAlignment="1">
      <alignment horizontal="center" vertical="center"/>
    </xf>
    <xf numFmtId="0" fontId="70" fillId="0" borderId="34" xfId="0" applyFont="1" applyBorder="1" applyAlignment="1">
      <alignment horizontal="center" vertical="center"/>
    </xf>
    <xf numFmtId="0" fontId="30" fillId="4" borderId="0" xfId="0" applyFont="1" applyFill="1" applyAlignment="1">
      <alignment horizontal="center" vertical="center" wrapText="1"/>
    </xf>
    <xf numFmtId="0" fontId="30" fillId="4" borderId="79"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32" fillId="4" borderId="45" xfId="0" applyFont="1" applyFill="1" applyBorder="1" applyAlignment="1">
      <alignment wrapText="1"/>
    </xf>
    <xf numFmtId="0" fontId="20" fillId="0" borderId="5" xfId="0" applyFont="1" applyBorder="1" applyAlignment="1">
      <alignment wrapText="1"/>
    </xf>
    <xf numFmtId="0" fontId="41" fillId="12" borderId="10" xfId="0" applyFont="1" applyFill="1" applyBorder="1" applyAlignment="1">
      <alignment vertical="center" wrapText="1"/>
    </xf>
    <xf numFmtId="0" fontId="42" fillId="12" borderId="11" xfId="0" applyFont="1" applyFill="1" applyBorder="1" applyAlignment="1">
      <alignment wrapText="1"/>
    </xf>
    <xf numFmtId="0" fontId="42" fillId="12" borderId="8" xfId="0" applyFont="1" applyFill="1" applyBorder="1" applyAlignment="1">
      <alignment wrapText="1"/>
    </xf>
    <xf numFmtId="0" fontId="42" fillId="12" borderId="1" xfId="0" applyFont="1" applyFill="1" applyBorder="1" applyAlignment="1">
      <alignment wrapText="1"/>
    </xf>
    <xf numFmtId="0" fontId="42" fillId="12" borderId="0" xfId="0" applyFont="1" applyFill="1" applyAlignment="1">
      <alignment wrapText="1"/>
    </xf>
    <xf numFmtId="0" fontId="42" fillId="12" borderId="2" xfId="0" applyFont="1" applyFill="1" applyBorder="1" applyAlignment="1">
      <alignment wrapText="1"/>
    </xf>
    <xf numFmtId="0" fontId="42" fillId="12" borderId="4" xfId="0" applyFont="1" applyFill="1" applyBorder="1" applyAlignment="1">
      <alignment wrapText="1"/>
    </xf>
    <xf numFmtId="0" fontId="42" fillId="12" borderId="5" xfId="0" applyFont="1" applyFill="1" applyBorder="1" applyAlignment="1">
      <alignment wrapText="1"/>
    </xf>
    <xf numFmtId="0" fontId="42" fillId="12" borderId="12" xfId="0" applyFont="1" applyFill="1" applyBorder="1" applyAlignment="1">
      <alignment wrapText="1"/>
    </xf>
    <xf numFmtId="0" fontId="30" fillId="4" borderId="10" xfId="0" applyFont="1" applyFill="1" applyBorder="1" applyAlignment="1">
      <alignment horizontal="center" vertical="center"/>
    </xf>
    <xf numFmtId="0" fontId="30" fillId="4" borderId="42" xfId="0" applyFont="1" applyFill="1" applyBorder="1" applyAlignment="1">
      <alignment horizontal="center" vertical="center"/>
    </xf>
    <xf numFmtId="0" fontId="30" fillId="4" borderId="43" xfId="0" applyFont="1" applyFill="1" applyBorder="1" applyAlignment="1">
      <alignment horizontal="center" vertical="center"/>
    </xf>
    <xf numFmtId="0" fontId="0" fillId="0" borderId="16" xfId="0" applyBorder="1" applyAlignment="1">
      <alignment horizontal="center"/>
    </xf>
    <xf numFmtId="0" fontId="10" fillId="4" borderId="0" xfId="0" applyFont="1" applyFill="1" applyAlignment="1">
      <alignment horizontal="center"/>
    </xf>
    <xf numFmtId="0" fontId="0" fillId="0" borderId="0" xfId="0" applyAlignment="1">
      <alignment horizontal="center"/>
    </xf>
    <xf numFmtId="0" fontId="10" fillId="4" borderId="5" xfId="0" applyFont="1" applyFill="1" applyBorder="1" applyAlignment="1">
      <alignment horizontal="center"/>
    </xf>
    <xf numFmtId="0" fontId="33" fillId="10" borderId="90" xfId="4" applyNumberFormat="1" applyBorder="1" applyAlignment="1" applyProtection="1">
      <alignment horizontal="center"/>
      <protection locked="0"/>
    </xf>
    <xf numFmtId="0" fontId="33" fillId="10" borderId="26" xfId="4" applyNumberFormat="1" applyBorder="1" applyAlignment="1" applyProtection="1">
      <alignment horizontal="center"/>
      <protection locked="0"/>
    </xf>
    <xf numFmtId="171" fontId="33" fillId="10" borderId="92" xfId="4" applyNumberFormat="1" applyBorder="1" applyAlignment="1" applyProtection="1">
      <alignment horizontal="center"/>
      <protection locked="0"/>
    </xf>
    <xf numFmtId="171" fontId="33" fillId="10" borderId="93" xfId="4" applyNumberFormat="1" applyBorder="1" applyAlignment="1" applyProtection="1">
      <alignment horizontal="center"/>
      <protection locked="0"/>
    </xf>
    <xf numFmtId="0" fontId="49" fillId="18" borderId="20" xfId="0" applyFont="1" applyFill="1" applyBorder="1" applyAlignment="1">
      <alignment horizontal="left" wrapText="1"/>
    </xf>
    <xf numFmtId="0" fontId="49" fillId="18" borderId="27" xfId="0" applyFont="1" applyFill="1" applyBorder="1" applyAlignment="1">
      <alignment horizontal="left" wrapText="1"/>
    </xf>
    <xf numFmtId="0" fontId="49" fillId="18" borderId="30" xfId="0" applyFont="1" applyFill="1" applyBorder="1" applyAlignment="1">
      <alignment horizontal="left" wrapText="1"/>
    </xf>
    <xf numFmtId="0" fontId="49" fillId="18" borderId="28" xfId="0" applyFont="1" applyFill="1" applyBorder="1" applyAlignment="1">
      <alignment horizontal="left" wrapText="1"/>
    </xf>
    <xf numFmtId="0" fontId="49" fillId="18" borderId="0" xfId="0" applyFont="1" applyFill="1" applyAlignment="1">
      <alignment horizontal="left" wrapText="1"/>
    </xf>
    <xf numFmtId="0" fontId="49" fillId="18" borderId="31" xfId="0" applyFont="1" applyFill="1" applyBorder="1" applyAlignment="1">
      <alignment horizontal="left" wrapText="1"/>
    </xf>
    <xf numFmtId="0" fontId="49" fillId="18" borderId="32" xfId="0" applyFont="1" applyFill="1" applyBorder="1" applyAlignment="1">
      <alignment horizontal="left" wrapText="1"/>
    </xf>
    <xf numFmtId="0" fontId="49" fillId="18" borderId="33" xfId="0" applyFont="1" applyFill="1" applyBorder="1" applyAlignment="1">
      <alignment horizontal="left" wrapText="1"/>
    </xf>
    <xf numFmtId="0" fontId="49"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10" fillId="4" borderId="0" xfId="0" applyFont="1" applyFill="1" applyAlignment="1">
      <alignment horizontal="center" vertical="center"/>
    </xf>
    <xf numFmtId="0" fontId="44" fillId="14" borderId="20" xfId="0" applyFont="1" applyFill="1" applyBorder="1" applyAlignment="1">
      <alignment horizontal="left" vertical="center" wrapText="1"/>
    </xf>
    <xf numFmtId="0" fontId="46" fillId="14" borderId="27" xfId="0" applyFont="1" applyFill="1" applyBorder="1" applyAlignment="1">
      <alignment horizontal="left" vertical="center" wrapText="1"/>
    </xf>
    <xf numFmtId="0" fontId="46" fillId="14" borderId="28" xfId="0" applyFont="1" applyFill="1" applyBorder="1" applyAlignment="1">
      <alignment horizontal="left" vertical="center" wrapText="1"/>
    </xf>
    <xf numFmtId="0" fontId="46" fillId="14" borderId="0" xfId="0" applyFont="1" applyFill="1" applyAlignment="1">
      <alignment horizontal="left" vertical="center" wrapText="1"/>
    </xf>
    <xf numFmtId="0" fontId="46" fillId="14" borderId="32" xfId="0" applyFont="1" applyFill="1" applyBorder="1" applyAlignment="1">
      <alignment horizontal="left" vertical="center" wrapText="1"/>
    </xf>
    <xf numFmtId="0" fontId="46" fillId="14" borderId="33" xfId="0" applyFont="1" applyFill="1" applyBorder="1" applyAlignment="1">
      <alignment horizontal="left" vertical="center" wrapText="1"/>
    </xf>
    <xf numFmtId="0" fontId="53" fillId="18" borderId="27" xfId="0" applyFont="1" applyFill="1" applyBorder="1" applyAlignment="1">
      <alignment horizontal="center" vertical="center" wrapText="1"/>
    </xf>
    <xf numFmtId="0" fontId="53" fillId="18" borderId="30" xfId="0" applyFont="1" applyFill="1" applyBorder="1" applyAlignment="1">
      <alignment horizontal="center" vertical="center" wrapText="1"/>
    </xf>
    <xf numFmtId="0" fontId="53" fillId="18" borderId="0" xfId="0" applyFont="1" applyFill="1" applyAlignment="1">
      <alignment horizontal="center" vertical="center" wrapText="1"/>
    </xf>
    <xf numFmtId="0" fontId="53" fillId="18" borderId="31" xfId="0" applyFont="1" applyFill="1" applyBorder="1" applyAlignment="1">
      <alignment horizontal="center" vertical="center" wrapText="1"/>
    </xf>
    <xf numFmtId="0" fontId="53" fillId="18" borderId="33" xfId="0" applyFont="1" applyFill="1" applyBorder="1" applyAlignment="1">
      <alignment horizontal="center" vertical="center" wrapText="1"/>
    </xf>
    <xf numFmtId="0" fontId="53" fillId="18" borderId="34" xfId="0" applyFont="1" applyFill="1" applyBorder="1" applyAlignment="1">
      <alignment horizontal="center" vertical="center" wrapText="1"/>
    </xf>
    <xf numFmtId="0" fontId="10" fillId="4" borderId="5" xfId="0" applyFont="1" applyFill="1" applyBorder="1" applyAlignment="1">
      <alignment horizontal="center" vertical="center"/>
    </xf>
    <xf numFmtId="0" fontId="10" fillId="4" borderId="65" xfId="0" applyFont="1" applyFill="1" applyBorder="1" applyAlignment="1">
      <alignment horizontal="center" vertical="center"/>
    </xf>
    <xf numFmtId="0" fontId="10" fillId="4" borderId="66" xfId="0" applyFont="1" applyFill="1" applyBorder="1" applyAlignment="1">
      <alignment horizontal="center" vertical="center"/>
    </xf>
    <xf numFmtId="0" fontId="56" fillId="4" borderId="0" xfId="0" applyFont="1" applyFill="1" applyAlignment="1">
      <alignment horizontal="center"/>
    </xf>
    <xf numFmtId="0" fontId="58" fillId="17" borderId="40" xfId="0" applyFont="1" applyFill="1" applyBorder="1" applyAlignment="1">
      <alignment horizontal="center"/>
    </xf>
    <xf numFmtId="0" fontId="58" fillId="17" borderId="42" xfId="0" applyFont="1" applyFill="1" applyBorder="1" applyAlignment="1">
      <alignment horizontal="center"/>
    </xf>
    <xf numFmtId="0" fontId="58" fillId="17" borderId="28" xfId="0" applyFont="1" applyFill="1" applyBorder="1" applyAlignment="1">
      <alignment horizontal="left" wrapText="1"/>
    </xf>
    <xf numFmtId="0" fontId="58" fillId="17" borderId="0" xfId="0" applyFont="1" applyFill="1" applyAlignment="1">
      <alignment horizontal="center" vertical="center" wrapText="1"/>
    </xf>
    <xf numFmtId="0" fontId="60" fillId="16" borderId="75" xfId="0" applyFont="1" applyFill="1" applyBorder="1" applyAlignment="1">
      <alignment horizontal="center" vertical="center" wrapText="1"/>
    </xf>
    <xf numFmtId="0" fontId="60" fillId="16" borderId="76" xfId="0" applyFont="1" applyFill="1" applyBorder="1" applyAlignment="1">
      <alignment horizontal="center" vertical="center" wrapText="1"/>
    </xf>
    <xf numFmtId="0" fontId="60"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-3505476.2846926562</c:v>
                </c:pt>
                <c:pt idx="1">
                  <c:v>-2298533.5316198952</c:v>
                </c:pt>
                <c:pt idx="2">
                  <c:v>-1978444.6127231643</c:v>
                </c:pt>
                <c:pt idx="3">
                  <c:v>-1736356.8866231977</c:v>
                </c:pt>
                <c:pt idx="4">
                  <c:v>-1540077.0153342481</c:v>
                </c:pt>
                <c:pt idx="5">
                  <c:v>-1341337.5238424717</c:v>
                </c:pt>
                <c:pt idx="6">
                  <c:v>-1176254.3182932369</c:v>
                </c:pt>
                <c:pt idx="7">
                  <c:v>-1044777.6231505626</c:v>
                </c:pt>
                <c:pt idx="8">
                  <c:v>-910691.96197969303</c:v>
                </c:pt>
                <c:pt idx="9">
                  <c:v>-773945.56424657314</c:v>
                </c:pt>
                <c:pt idx="10">
                  <c:v>-634485.63213109854</c:v>
                </c:pt>
                <c:pt idx="11">
                  <c:v>-492258.32014287187</c:v>
                </c:pt>
                <c:pt idx="12">
                  <c:v>-347208.71433248301</c:v>
                </c:pt>
                <c:pt idx="13">
                  <c:v>-199280.81109028857</c:v>
                </c:pt>
                <c:pt idx="14">
                  <c:v>-48417.495524504891</c:v>
                </c:pt>
                <c:pt idx="15">
                  <c:v>105439.48058973232</c:v>
                </c:pt>
                <c:pt idx="16">
                  <c:v>262349.52129885531</c:v>
                </c:pt>
                <c:pt idx="17">
                  <c:v>422373.20940557972</c:v>
                </c:pt>
                <c:pt idx="18">
                  <c:v>585572.32985870307</c:v>
                </c:pt>
                <c:pt idx="19">
                  <c:v>752009.89360701549</c:v>
                </c:pt>
                <c:pt idx="20">
                  <c:v>921750.16192653263</c:v>
                </c:pt>
                <c:pt idx="21">
                  <c:v>1094858.6712304412</c:v>
                </c:pt>
                <c:pt idx="22">
                  <c:v>1271402.2583713369</c:v>
                </c:pt>
                <c:pt idx="23">
                  <c:v>1451449.0864455213</c:v>
                </c:pt>
                <c:pt idx="24">
                  <c:v>1635068.6711093208</c:v>
                </c:pt>
                <c:pt idx="25">
                  <c:v>2348153.3501214851</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3505476.2846926562</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26587.057061834967</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1723.6833489103592</c:v>
                </c:pt>
                <c:pt idx="1">
                  <c:v>1757.9415554699663</c:v>
                </c:pt>
                <c:pt idx="2">
                  <c:v>1792.8806438849133</c:v>
                </c:pt>
                <c:pt idx="3">
                  <c:v>1828.5141466821369</c:v>
                </c:pt>
                <c:pt idx="4">
                  <c:v>1864.8558653474029</c:v>
                </c:pt>
                <c:pt idx="5">
                  <c:v>1901.9198756711849</c:v>
                </c:pt>
                <c:pt idx="6">
                  <c:v>1939.7205332001322</c:v>
                </c:pt>
                <c:pt idx="7">
                  <c:v>1978.2724787975021</c:v>
                </c:pt>
                <c:pt idx="8">
                  <c:v>2017.5906443136337</c:v>
                </c:pt>
                <c:pt idx="9">
                  <c:v>2057.6902583693736</c:v>
                </c:pt>
                <c:pt idx="10">
                  <c:v>2098.5868522544333</c:v>
                </c:pt>
                <c:pt idx="11">
                  <c:v>2140.2962659429759</c:v>
                </c:pt>
                <c:pt idx="12">
                  <c:v>2182.8346542285872</c:v>
                </c:pt>
                <c:pt idx="13">
                  <c:v>2226.2184929813957</c:v>
                </c:pt>
                <c:pt idx="14">
                  <c:v>2270.4645855294075</c:v>
                </c:pt>
                <c:pt idx="15">
                  <c:v>2315.5900691667921</c:v>
                </c:pt>
                <c:pt idx="16">
                  <c:v>2361.6124217914767</c:v>
                </c:pt>
                <c:pt idx="17">
                  <c:v>2408.5494686745806</c:v>
                </c:pt>
                <c:pt idx="18">
                  <c:v>2456.4193893644842</c:v>
                </c:pt>
                <c:pt idx="19">
                  <c:v>2505.2407247280935</c:v>
                </c:pt>
                <c:pt idx="20">
                  <c:v>2555.0323841321515</c:v>
                </c:pt>
                <c:pt idx="21">
                  <c:v>2605.8136527667521</c:v>
                </c:pt>
                <c:pt idx="22">
                  <c:v>2657.6041991155362</c:v>
                </c:pt>
                <c:pt idx="23">
                  <c:v>2710.4240825729794</c:v>
                </c:pt>
                <c:pt idx="24">
                  <c:v>2764.2937612140668</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93477310.739999995</c:v>
                </c:pt>
                <c:pt idx="1">
                  <c:v>93491285.436299995</c:v>
                </c:pt>
                <c:pt idx="2">
                  <c:v>93505190.259118497</c:v>
                </c:pt>
                <c:pt idx="3">
                  <c:v>93519025.557822898</c:v>
                </c:pt>
                <c:pt idx="4">
                  <c:v>93532791.680033788</c:v>
                </c:pt>
                <c:pt idx="5">
                  <c:v>93546488.971633613</c:v>
                </c:pt>
                <c:pt idx="6">
                  <c:v>93560117.77677545</c:v>
                </c:pt>
                <c:pt idx="7">
                  <c:v>93573678.437891573</c:v>
                </c:pt>
                <c:pt idx="8">
                  <c:v>93587171.295702115</c:v>
                </c:pt>
                <c:pt idx="9">
                  <c:v>93600596.689223602</c:v>
                </c:pt>
                <c:pt idx="10">
                  <c:v>93613954.955777496</c:v>
                </c:pt>
                <c:pt idx="11">
                  <c:v>93627246.430998594</c:v>
                </c:pt>
                <c:pt idx="12">
                  <c:v>93640471.448843613</c:v>
                </c:pt>
                <c:pt idx="13">
                  <c:v>93653630.34159939</c:v>
                </c:pt>
                <c:pt idx="14">
                  <c:v>93666723.439891398</c:v>
                </c:pt>
                <c:pt idx="15">
                  <c:v>93679751.072691932</c:v>
                </c:pt>
                <c:pt idx="16">
                  <c:v>93692713.567328483</c:v>
                </c:pt>
                <c:pt idx="17">
                  <c:v>93705611.249491841</c:v>
                </c:pt>
                <c:pt idx="18">
                  <c:v>93718444.443244368</c:v>
                </c:pt>
                <c:pt idx="19">
                  <c:v>93731213.471028149</c:v>
                </c:pt>
                <c:pt idx="20">
                  <c:v>93743918.653673008</c:v>
                </c:pt>
                <c:pt idx="21">
                  <c:v>93756560.310404643</c:v>
                </c:pt>
                <c:pt idx="22">
                  <c:v>93769138.758852631</c:v>
                </c:pt>
                <c:pt idx="23">
                  <c:v>93781654.315058365</c:v>
                </c:pt>
                <c:pt idx="24">
                  <c:v>93794107.293483064</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2794939.2600000035</c:v>
                </c:pt>
                <c:pt idx="1">
                  <c:v>2780964.5637000035</c:v>
                </c:pt>
                <c:pt idx="2">
                  <c:v>2767059.7408815036</c:v>
                </c:pt>
                <c:pt idx="3">
                  <c:v>2753224.4421770959</c:v>
                </c:pt>
                <c:pt idx="4">
                  <c:v>2739458.3199662105</c:v>
                </c:pt>
                <c:pt idx="5">
                  <c:v>2725761.0283663794</c:v>
                </c:pt>
                <c:pt idx="6">
                  <c:v>2712132.2232245477</c:v>
                </c:pt>
                <c:pt idx="7">
                  <c:v>2698571.562108425</c:v>
                </c:pt>
                <c:pt idx="8">
                  <c:v>2685078.704297883</c:v>
                </c:pt>
                <c:pt idx="9">
                  <c:v>2671653.3107763934</c:v>
                </c:pt>
                <c:pt idx="10">
                  <c:v>2658295.0442225114</c:v>
                </c:pt>
                <c:pt idx="11">
                  <c:v>2645003.569001399</c:v>
                </c:pt>
                <c:pt idx="12">
                  <c:v>2631778.5511563919</c:v>
                </c:pt>
                <c:pt idx="13">
                  <c:v>2618619.6584006101</c:v>
                </c:pt>
                <c:pt idx="14">
                  <c:v>2605526.5601086072</c:v>
                </c:pt>
                <c:pt idx="15">
                  <c:v>2592498.927308064</c:v>
                </c:pt>
                <c:pt idx="16">
                  <c:v>2579536.4326715237</c:v>
                </c:pt>
                <c:pt idx="17">
                  <c:v>2566638.7505081659</c:v>
                </c:pt>
                <c:pt idx="18">
                  <c:v>2553805.5567556252</c:v>
                </c:pt>
                <c:pt idx="19">
                  <c:v>2541036.5289718471</c:v>
                </c:pt>
                <c:pt idx="20">
                  <c:v>2528331.3463269877</c:v>
                </c:pt>
                <c:pt idx="21">
                  <c:v>2515689.6895953529</c:v>
                </c:pt>
                <c:pt idx="22">
                  <c:v>2503111.2411473761</c:v>
                </c:pt>
                <c:pt idx="23">
                  <c:v>2490595.6849416392</c:v>
                </c:pt>
                <c:pt idx="24">
                  <c:v>2478142.7065169308</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93477310.739999995</c:v>
                </c:pt>
                <c:pt idx="1">
                  <c:v>2794939.2600000035</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0.61315279504587872</c:v>
                </c:pt>
                <c:pt idx="1">
                  <c:v>0.27823766647691633</c:v>
                </c:pt>
                <c:pt idx="2">
                  <c:v>9.9273136366542059E-2</c:v>
                </c:pt>
                <c:pt idx="3">
                  <c:v>9.3364021106628874E-3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151710.51248622022</c:v>
                </c:pt>
                <c:pt idx="1">
                  <c:v>154720.99392188387</c:v>
                </c:pt>
                <c:pt idx="2">
                  <c:v>157791.21337608132</c:v>
                </c:pt>
                <c:pt idx="3">
                  <c:v>160922.35623593087</c:v>
                </c:pt>
                <c:pt idx="4">
                  <c:v>164115.63140999997</c:v>
                </c:pt>
                <c:pt idx="5">
                  <c:v>165083.20554923484</c:v>
                </c:pt>
                <c:pt idx="6">
                  <c:v>131476.69514267432</c:v>
                </c:pt>
                <c:pt idx="7">
                  <c:v>134085.66117086957</c:v>
                </c:pt>
                <c:pt idx="8">
                  <c:v>136746.39773311993</c:v>
                </c:pt>
                <c:pt idx="9">
                  <c:v>139459.93211547454</c:v>
                </c:pt>
                <c:pt idx="10">
                  <c:v>142227.31198822666</c:v>
                </c:pt>
                <c:pt idx="11">
                  <c:v>145049.60581038886</c:v>
                </c:pt>
                <c:pt idx="12">
                  <c:v>147927.90324219444</c:v>
                </c:pt>
                <c:pt idx="13">
                  <c:v>150863.31556578368</c:v>
                </c:pt>
                <c:pt idx="14">
                  <c:v>153856.97611423722</c:v>
                </c:pt>
                <c:pt idx="15">
                  <c:v>156910.04070912302</c:v>
                </c:pt>
                <c:pt idx="16">
                  <c:v>160023.68810672444</c:v>
                </c:pt>
                <c:pt idx="17">
                  <c:v>163199.12045312332</c:v>
                </c:pt>
                <c:pt idx="18">
                  <c:v>166437.56374831242</c:v>
                </c:pt>
                <c:pt idx="19">
                  <c:v>169740.26831951714</c:v>
                </c:pt>
                <c:pt idx="20">
                  <c:v>173108.50930390862</c:v>
                </c:pt>
                <c:pt idx="21">
                  <c:v>176543.58714089572</c:v>
                </c:pt>
                <c:pt idx="22">
                  <c:v>180046.82807418442</c:v>
                </c:pt>
                <c:pt idx="23">
                  <c:v>183619.58466379944</c:v>
                </c:pt>
                <c:pt idx="24">
                  <c:v>713084.67901216424</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-1578866.5186255726</c:v>
                </c:pt>
                <c:pt idx="1">
                  <c:v>1109488.8145816685</c:v>
                </c:pt>
                <c:pt idx="2">
                  <c:v>228821.17978822268</c:v>
                </c:pt>
                <c:pt idx="3">
                  <c:v>148864.43338573596</c:v>
                </c:pt>
                <c:pt idx="4">
                  <c:v>100724.80883470329</c:v>
                </c:pt>
                <c:pt idx="5">
                  <c:v>100314.62465540617</c:v>
                </c:pt>
                <c:pt idx="6">
                  <c:v>8254.1602774617422</c:v>
                </c:pt>
                <c:pt idx="7">
                  <c:v>6573.8347571337163</c:v>
                </c:pt>
                <c:pt idx="8">
                  <c:v>6704.2830585434785</c:v>
                </c:pt>
                <c:pt idx="9">
                  <c:v>6837.3198866559969</c:v>
                </c:pt>
                <c:pt idx="10">
                  <c:v>6972.9966057737274</c:v>
                </c:pt>
                <c:pt idx="11">
                  <c:v>7111.3655994113333</c:v>
                </c:pt>
                <c:pt idx="12">
                  <c:v>7252.4802905194438</c:v>
                </c:pt>
                <c:pt idx="13">
                  <c:v>7396.3951621097222</c:v>
                </c:pt>
                <c:pt idx="14">
                  <c:v>7543.1657782891843</c:v>
                </c:pt>
                <c:pt idx="15">
                  <c:v>7692.8488057118611</c:v>
                </c:pt>
                <c:pt idx="16">
                  <c:v>7845.5020354561511</c:v>
                </c:pt>
                <c:pt idx="17">
                  <c:v>8001.184405336222</c:v>
                </c:pt>
                <c:pt idx="18">
                  <c:v>8159.9560226561662</c:v>
                </c:pt>
                <c:pt idx="19">
                  <c:v>8321.8781874156211</c:v>
                </c:pt>
                <c:pt idx="20">
                  <c:v>8487.0134159758582</c:v>
                </c:pt>
                <c:pt idx="21">
                  <c:v>8655.4254651954307</c:v>
                </c:pt>
                <c:pt idx="22">
                  <c:v>8827.1793570447862</c:v>
                </c:pt>
                <c:pt idx="23">
                  <c:v>9002.3414037092207</c:v>
                </c:pt>
                <c:pt idx="24">
                  <c:v>9180.9792331899716</c:v>
                </c:pt>
                <c:pt idx="25">
                  <c:v>35654.233950608213</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-1926609.7660670837</c:v>
                </c:pt>
                <c:pt idx="1">
                  <c:v>97453.938491092398</c:v>
                </c:pt>
                <c:pt idx="2">
                  <c:v>91267.739108508395</c:v>
                </c:pt>
                <c:pt idx="3">
                  <c:v>93223.292714230687</c:v>
                </c:pt>
                <c:pt idx="4">
                  <c:v>95555.062454246465</c:v>
                </c:pt>
                <c:pt idx="5">
                  <c:v>98424.866836370318</c:v>
                </c:pt>
                <c:pt idx="6">
                  <c:v>156829.0452717731</c:v>
                </c:pt>
                <c:pt idx="7">
                  <c:v>124902.8603855406</c:v>
                </c:pt>
                <c:pt idx="8">
                  <c:v>127381.37811232609</c:v>
                </c:pt>
                <c:pt idx="9">
                  <c:v>129909.07784646393</c:v>
                </c:pt>
                <c:pt idx="10">
                  <c:v>132486.93550970082</c:v>
                </c:pt>
                <c:pt idx="11">
                  <c:v>135115.94638881533</c:v>
                </c:pt>
                <c:pt idx="12">
                  <c:v>137797.12551986941</c:v>
                </c:pt>
                <c:pt idx="13">
                  <c:v>140531.50808008472</c:v>
                </c:pt>
                <c:pt idx="14">
                  <c:v>143320.14978749451</c:v>
                </c:pt>
                <c:pt idx="15">
                  <c:v>146164.12730852535</c:v>
                </c:pt>
                <c:pt idx="16">
                  <c:v>149064.53867366686</c:v>
                </c:pt>
                <c:pt idx="17">
                  <c:v>152022.50370138822</c:v>
                </c:pt>
                <c:pt idx="18">
                  <c:v>155039.16443046715</c:v>
                </c:pt>
                <c:pt idx="19">
                  <c:v>158115.68556089679</c:v>
                </c:pt>
                <c:pt idx="20">
                  <c:v>161253.2549035413</c:v>
                </c:pt>
                <c:pt idx="21">
                  <c:v>164453.08383871318</c:v>
                </c:pt>
                <c:pt idx="22">
                  <c:v>167716.40778385094</c:v>
                </c:pt>
                <c:pt idx="23">
                  <c:v>171044.48667047519</c:v>
                </c:pt>
                <c:pt idx="24">
                  <c:v>174438.60543060946</c:v>
                </c:pt>
                <c:pt idx="25">
                  <c:v>677430.44506155606</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-1578866.5186255726</c:v>
                </c:pt>
                <c:pt idx="1">
                  <c:v>-469377.70404390409</c:v>
                </c:pt>
                <c:pt idx="2">
                  <c:v>-240556.5242556814</c:v>
                </c:pt>
                <c:pt idx="3">
                  <c:v>-91692.090869945445</c:v>
                </c:pt>
                <c:pt idx="4">
                  <c:v>9032.717964757845</c:v>
                </c:pt>
                <c:pt idx="5">
                  <c:v>109347.34262016401</c:v>
                </c:pt>
                <c:pt idx="6">
                  <c:v>117601.50289762576</c:v>
                </c:pt>
                <c:pt idx="7">
                  <c:v>124175.33765475948</c:v>
                </c:pt>
                <c:pt idx="8">
                  <c:v>130879.62071330295</c:v>
                </c:pt>
                <c:pt idx="9">
                  <c:v>137716.94059995894</c:v>
                </c:pt>
                <c:pt idx="10">
                  <c:v>144689.93720573265</c:v>
                </c:pt>
                <c:pt idx="11">
                  <c:v>151801.30280514399</c:v>
                </c:pt>
                <c:pt idx="12">
                  <c:v>159053.78309566344</c:v>
                </c:pt>
                <c:pt idx="13">
                  <c:v>166450.17825777316</c:v>
                </c:pt>
                <c:pt idx="14">
                  <c:v>173993.34403606234</c:v>
                </c:pt>
                <c:pt idx="15">
                  <c:v>181686.1928417742</c:v>
                </c:pt>
                <c:pt idx="16">
                  <c:v>189531.69487723036</c:v>
                </c:pt>
                <c:pt idx="17">
                  <c:v>197532.87928256657</c:v>
                </c:pt>
                <c:pt idx="18">
                  <c:v>205692.83530522275</c:v>
                </c:pt>
                <c:pt idx="19">
                  <c:v>214014.71349263837</c:v>
                </c:pt>
                <c:pt idx="20">
                  <c:v>222501.72690861422</c:v>
                </c:pt>
                <c:pt idx="21">
                  <c:v>231157.15237380966</c:v>
                </c:pt>
                <c:pt idx="22">
                  <c:v>239984.33173085444</c:v>
                </c:pt>
                <c:pt idx="23">
                  <c:v>248986.67313456367</c:v>
                </c:pt>
                <c:pt idx="24">
                  <c:v>258167.65236775365</c:v>
                </c:pt>
                <c:pt idx="25">
                  <c:v>293821.88631836185</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-1926609.7660670837</c:v>
                </c:pt>
                <c:pt idx="1">
                  <c:v>-1829155.8275759914</c:v>
                </c:pt>
                <c:pt idx="2">
                  <c:v>-1737888.0884674829</c:v>
                </c:pt>
                <c:pt idx="3">
                  <c:v>-1644664.7957532522</c:v>
                </c:pt>
                <c:pt idx="4">
                  <c:v>-1549109.7332990058</c:v>
                </c:pt>
                <c:pt idx="5">
                  <c:v>-1450684.8664626353</c:v>
                </c:pt>
                <c:pt idx="6">
                  <c:v>-1293855.8211908622</c:v>
                </c:pt>
                <c:pt idx="7">
                  <c:v>-1168952.9608053216</c:v>
                </c:pt>
                <c:pt idx="8">
                  <c:v>-1041571.5826929954</c:v>
                </c:pt>
                <c:pt idx="9">
                  <c:v>-911662.50484653155</c:v>
                </c:pt>
                <c:pt idx="10">
                  <c:v>-779175.56933683075</c:v>
                </c:pt>
                <c:pt idx="11">
                  <c:v>-644059.62294801546</c:v>
                </c:pt>
                <c:pt idx="12">
                  <c:v>-506262.49742814607</c:v>
                </c:pt>
                <c:pt idx="13">
                  <c:v>-365730.98934806138</c:v>
                </c:pt>
                <c:pt idx="14">
                  <c:v>-222410.83956056688</c:v>
                </c:pt>
                <c:pt idx="15">
                  <c:v>-76246.712252041529</c:v>
                </c:pt>
                <c:pt idx="16">
                  <c:v>72817.82642162533</c:v>
                </c:pt>
                <c:pt idx="17">
                  <c:v>224840.33012301355</c:v>
                </c:pt>
                <c:pt idx="18">
                  <c:v>379879.4945534807</c:v>
                </c:pt>
                <c:pt idx="19">
                  <c:v>537995.18011437752</c:v>
                </c:pt>
                <c:pt idx="20">
                  <c:v>699248.43501791882</c:v>
                </c:pt>
                <c:pt idx="21">
                  <c:v>863701.51885663206</c:v>
                </c:pt>
                <c:pt idx="22">
                  <c:v>1031417.926640483</c:v>
                </c:pt>
                <c:pt idx="23">
                  <c:v>1202462.4133109581</c:v>
                </c:pt>
                <c:pt idx="24">
                  <c:v>1376901.0187415676</c:v>
                </c:pt>
                <c:pt idx="25">
                  <c:v>2054331.4638031237</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1578866.5186255726</c:v>
                </c:pt>
                <c:pt idx="1">
                  <c:v>1926609.7660670837</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1166420.2667977968</c:v>
                </c:pt>
                <c:pt idx="1">
                  <c:v>183643.81022400002</c:v>
                </c:pt>
                <c:pt idx="2">
                  <c:v>110186.28613439998</c:v>
                </c:pt>
                <c:pt idx="3">
                  <c:v>66111.771680639999</c:v>
                </c:pt>
                <c:pt idx="4">
                  <c:v>66111.771680639999</c:v>
                </c:pt>
                <c:pt idx="5">
                  <c:v>33055.885840319999</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151710.51248622022</c:v>
                </c:pt>
                <c:pt idx="1">
                  <c:v>154720.99392188381</c:v>
                </c:pt>
                <c:pt idx="2">
                  <c:v>157791.21337608126</c:v>
                </c:pt>
                <c:pt idx="3">
                  <c:v>160922.35623593087</c:v>
                </c:pt>
                <c:pt idx="4">
                  <c:v>164115.63140999997</c:v>
                </c:pt>
                <c:pt idx="5">
                  <c:v>167372.27179503132</c:v>
                </c:pt>
                <c:pt idx="6">
                  <c:v>170693.5347519303</c:v>
                </c:pt>
                <c:pt idx="7">
                  <c:v>174080.7025911971</c:v>
                </c:pt>
                <c:pt idx="8">
                  <c:v>177535.08306799078</c:v>
                </c:pt>
                <c:pt idx="9">
                  <c:v>181058.00988701661</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1166420.2667977968</c:v>
                </c:pt>
                <c:pt idx="1">
                  <c:v>183643.81022400002</c:v>
                </c:pt>
                <c:pt idx="2">
                  <c:v>110186.28613439998</c:v>
                </c:pt>
                <c:pt idx="3">
                  <c:v>66111.771680639999</c:v>
                </c:pt>
                <c:pt idx="4">
                  <c:v>66111.771680639999</c:v>
                </c:pt>
                <c:pt idx="5">
                  <c:v>33055.885840319999</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1014709.7543115766</c:v>
                </c:pt>
                <c:pt idx="1">
                  <c:v>1043632.5706136927</c:v>
                </c:pt>
                <c:pt idx="2">
                  <c:v>996027.64337201137</c:v>
                </c:pt>
                <c:pt idx="3">
                  <c:v>901217.0588167205</c:v>
                </c:pt>
                <c:pt idx="4">
                  <c:v>803213.19908736064</c:v>
                </c:pt>
                <c:pt idx="5">
                  <c:v>668896.81313264929</c:v>
                </c:pt>
                <c:pt idx="6">
                  <c:v>498203.27838071901</c:v>
                </c:pt>
                <c:pt idx="7">
                  <c:v>324122.57578952191</c:v>
                </c:pt>
                <c:pt idx="8">
                  <c:v>146587.49272153113</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6.2186237374071592E-2</c:v>
                </c:pt>
                <c:pt idx="1">
                  <c:v>5.955495734281286E-2</c:v>
                </c:pt>
                <c:pt idx="2">
                  <c:v>6.8651647326187712E-2</c:v>
                </c:pt>
                <c:pt idx="3">
                  <c:v>8.326133637489111E-2</c:v>
                </c:pt>
                <c:pt idx="4">
                  <c:v>9.646575990886419E-2</c:v>
                </c:pt>
                <c:pt idx="5">
                  <c:v>0.11024310956339073</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26587.057061834967</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1723.6833489103592</c:v>
                </c:pt>
                <c:pt idx="1">
                  <c:v>1757.9415554699663</c:v>
                </c:pt>
                <c:pt idx="2">
                  <c:v>1792.8806438849133</c:v>
                </c:pt>
                <c:pt idx="3">
                  <c:v>1828.5141466821369</c:v>
                </c:pt>
                <c:pt idx="4">
                  <c:v>1864.8558653474029</c:v>
                </c:pt>
                <c:pt idx="5">
                  <c:v>1901.9198756711849</c:v>
                </c:pt>
                <c:pt idx="6">
                  <c:v>1939.7205332001322</c:v>
                </c:pt>
                <c:pt idx="7">
                  <c:v>1978.2724787975021</c:v>
                </c:pt>
                <c:pt idx="8">
                  <c:v>2017.5906443136337</c:v>
                </c:pt>
                <c:pt idx="9">
                  <c:v>2057.6902583693736</c:v>
                </c:pt>
                <c:pt idx="10">
                  <c:v>2098.5868522544333</c:v>
                </c:pt>
                <c:pt idx="11">
                  <c:v>2140.2962659429759</c:v>
                </c:pt>
                <c:pt idx="12">
                  <c:v>2182.8346542285872</c:v>
                </c:pt>
                <c:pt idx="13">
                  <c:v>2226.2184929813957</c:v>
                </c:pt>
                <c:pt idx="14">
                  <c:v>2270.4645855294075</c:v>
                </c:pt>
                <c:pt idx="15">
                  <c:v>2315.5900691667921</c:v>
                </c:pt>
                <c:pt idx="16">
                  <c:v>2361.6124217914767</c:v>
                </c:pt>
                <c:pt idx="17">
                  <c:v>2408.5494686745806</c:v>
                </c:pt>
                <c:pt idx="18">
                  <c:v>2456.4193893644842</c:v>
                </c:pt>
                <c:pt idx="19">
                  <c:v>2505.2407247280935</c:v>
                </c:pt>
                <c:pt idx="20">
                  <c:v>2555.0323841321515</c:v>
                </c:pt>
                <c:pt idx="21">
                  <c:v>2605.8136527667521</c:v>
                </c:pt>
                <c:pt idx="22">
                  <c:v>2657.6041991155362</c:v>
                </c:pt>
                <c:pt idx="23">
                  <c:v>2710.4240825729794</c:v>
                </c:pt>
                <c:pt idx="24">
                  <c:v>2764.2937612140668</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93477310.739999995</c:v>
                </c:pt>
                <c:pt idx="1">
                  <c:v>93491285.436299995</c:v>
                </c:pt>
                <c:pt idx="2">
                  <c:v>93505190.259118497</c:v>
                </c:pt>
                <c:pt idx="3">
                  <c:v>93519025.557822898</c:v>
                </c:pt>
                <c:pt idx="4">
                  <c:v>93532791.680033788</c:v>
                </c:pt>
                <c:pt idx="5">
                  <c:v>93546488.971633613</c:v>
                </c:pt>
                <c:pt idx="6">
                  <c:v>93560117.77677545</c:v>
                </c:pt>
                <c:pt idx="7">
                  <c:v>93573678.437891573</c:v>
                </c:pt>
                <c:pt idx="8">
                  <c:v>93587171.295702115</c:v>
                </c:pt>
                <c:pt idx="9">
                  <c:v>93600596.689223602</c:v>
                </c:pt>
                <c:pt idx="10">
                  <c:v>93613954.955777496</c:v>
                </c:pt>
                <c:pt idx="11">
                  <c:v>93627246.430998594</c:v>
                </c:pt>
                <c:pt idx="12">
                  <c:v>93640471.448843613</c:v>
                </c:pt>
                <c:pt idx="13">
                  <c:v>93653630.34159939</c:v>
                </c:pt>
                <c:pt idx="14">
                  <c:v>93666723.439891398</c:v>
                </c:pt>
                <c:pt idx="15">
                  <c:v>93679751.072691932</c:v>
                </c:pt>
                <c:pt idx="16">
                  <c:v>93692713.567328483</c:v>
                </c:pt>
                <c:pt idx="17">
                  <c:v>93705611.249491841</c:v>
                </c:pt>
                <c:pt idx="18">
                  <c:v>93718444.443244368</c:v>
                </c:pt>
                <c:pt idx="19">
                  <c:v>93731213.471028149</c:v>
                </c:pt>
                <c:pt idx="20">
                  <c:v>93743918.653673008</c:v>
                </c:pt>
                <c:pt idx="21">
                  <c:v>93756560.310404643</c:v>
                </c:pt>
                <c:pt idx="22">
                  <c:v>93769138.758852631</c:v>
                </c:pt>
                <c:pt idx="23">
                  <c:v>93781654.315058365</c:v>
                </c:pt>
                <c:pt idx="24">
                  <c:v>93794107.293483064</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2794939.2600000035</c:v>
                </c:pt>
                <c:pt idx="1">
                  <c:v>2780964.5637000035</c:v>
                </c:pt>
                <c:pt idx="2">
                  <c:v>2767059.7408815036</c:v>
                </c:pt>
                <c:pt idx="3">
                  <c:v>2753224.4421770959</c:v>
                </c:pt>
                <c:pt idx="4">
                  <c:v>2739458.3199662105</c:v>
                </c:pt>
                <c:pt idx="5">
                  <c:v>2725761.0283663794</c:v>
                </c:pt>
                <c:pt idx="6">
                  <c:v>2712132.2232245477</c:v>
                </c:pt>
                <c:pt idx="7">
                  <c:v>2698571.562108425</c:v>
                </c:pt>
                <c:pt idx="8">
                  <c:v>2685078.704297883</c:v>
                </c:pt>
                <c:pt idx="9">
                  <c:v>2671653.3107763934</c:v>
                </c:pt>
                <c:pt idx="10">
                  <c:v>2658295.0442225114</c:v>
                </c:pt>
                <c:pt idx="11">
                  <c:v>2645003.569001399</c:v>
                </c:pt>
                <c:pt idx="12">
                  <c:v>2631778.5511563919</c:v>
                </c:pt>
                <c:pt idx="13">
                  <c:v>2618619.6584006101</c:v>
                </c:pt>
                <c:pt idx="14">
                  <c:v>2605526.5601086072</c:v>
                </c:pt>
                <c:pt idx="15">
                  <c:v>2592498.927308064</c:v>
                </c:pt>
                <c:pt idx="16">
                  <c:v>2579536.4326715237</c:v>
                </c:pt>
                <c:pt idx="17">
                  <c:v>2566638.7505081659</c:v>
                </c:pt>
                <c:pt idx="18">
                  <c:v>2553805.5567556252</c:v>
                </c:pt>
                <c:pt idx="19">
                  <c:v>2541036.5289718471</c:v>
                </c:pt>
                <c:pt idx="20">
                  <c:v>2528331.3463269877</c:v>
                </c:pt>
                <c:pt idx="21">
                  <c:v>2515689.6895953529</c:v>
                </c:pt>
                <c:pt idx="22">
                  <c:v>2503111.2411473761</c:v>
                </c:pt>
                <c:pt idx="23">
                  <c:v>2490595.6849416392</c:v>
                </c:pt>
                <c:pt idx="24">
                  <c:v>2478142.7065169308</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93477310.739999995</c:v>
                </c:pt>
                <c:pt idx="1">
                  <c:v>2794939.2600000035</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121ECC63-A30D-5E4E-9CCE-D5B1E0C60472}">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48" customWidth="1"/>
  </cols>
  <sheetData>
    <row r="2" spans="2:14" ht="56" customHeight="1" x14ac:dyDescent="0.15">
      <c r="D2" s="34"/>
      <c r="E2" s="3"/>
      <c r="F2" s="3"/>
      <c r="G2" s="3"/>
      <c r="H2"/>
      <c r="I2"/>
      <c r="J2"/>
      <c r="K2"/>
      <c r="L2"/>
      <c r="M2"/>
      <c r="N2"/>
    </row>
    <row r="3" spans="2:14" ht="18" x14ac:dyDescent="0.2">
      <c r="D3" s="3"/>
      <c r="F3" s="452" t="s">
        <v>149</v>
      </c>
      <c r="H3"/>
      <c r="I3"/>
      <c r="J3"/>
      <c r="K3"/>
      <c r="L3"/>
      <c r="M3"/>
      <c r="N3"/>
    </row>
    <row r="4" spans="2:14" ht="14" thickBot="1" x14ac:dyDescent="0.2">
      <c r="D4" s="3"/>
      <c r="G4" s="3"/>
      <c r="H4"/>
      <c r="I4"/>
      <c r="J4"/>
      <c r="K4"/>
      <c r="L4"/>
      <c r="M4"/>
      <c r="N4"/>
    </row>
    <row r="5" spans="2:14" ht="20" customHeight="1" x14ac:dyDescent="0.25">
      <c r="D5" s="13"/>
      <c r="F5" s="476" t="s">
        <v>0</v>
      </c>
      <c r="G5" s="477"/>
      <c r="H5" s="477"/>
      <c r="I5" s="477"/>
      <c r="J5" s="478"/>
      <c r="K5"/>
      <c r="L5"/>
      <c r="M5"/>
      <c r="N5"/>
    </row>
    <row r="6" spans="2:14" ht="14" customHeight="1" x14ac:dyDescent="0.15">
      <c r="F6" s="479" t="s">
        <v>463</v>
      </c>
      <c r="G6" s="480"/>
      <c r="H6" s="480"/>
      <c r="I6" s="480"/>
      <c r="J6" s="481"/>
      <c r="K6"/>
      <c r="L6"/>
      <c r="M6"/>
      <c r="N6"/>
    </row>
    <row r="7" spans="2:14" ht="15" customHeight="1" x14ac:dyDescent="0.15">
      <c r="F7" s="479"/>
      <c r="G7" s="480"/>
      <c r="H7" s="480"/>
      <c r="I7" s="480"/>
      <c r="J7" s="481"/>
      <c r="K7"/>
      <c r="L7"/>
      <c r="M7"/>
      <c r="N7"/>
    </row>
    <row r="8" spans="2:14" ht="14" customHeight="1" x14ac:dyDescent="0.15">
      <c r="F8" s="479"/>
      <c r="G8" s="480"/>
      <c r="H8" s="480"/>
      <c r="I8" s="480"/>
      <c r="J8" s="481"/>
      <c r="K8"/>
      <c r="L8"/>
      <c r="M8"/>
      <c r="N8"/>
    </row>
    <row r="9" spans="2:14" ht="14" customHeight="1" x14ac:dyDescent="0.15">
      <c r="D9" s="3"/>
      <c r="F9" s="479"/>
      <c r="G9" s="480"/>
      <c r="H9" s="480"/>
      <c r="I9" s="480"/>
      <c r="J9" s="481"/>
      <c r="K9"/>
      <c r="L9"/>
      <c r="M9"/>
      <c r="N9"/>
    </row>
    <row r="10" spans="2:14" ht="14" customHeight="1" x14ac:dyDescent="0.15">
      <c r="D10" s="3"/>
      <c r="F10" s="479"/>
      <c r="G10" s="480"/>
      <c r="H10" s="480"/>
      <c r="I10" s="480"/>
      <c r="J10" s="481"/>
      <c r="K10"/>
      <c r="L10"/>
      <c r="M10"/>
      <c r="N10"/>
    </row>
    <row r="11" spans="2:14" ht="14" customHeight="1" x14ac:dyDescent="0.15">
      <c r="D11" s="3"/>
      <c r="F11" s="479"/>
      <c r="G11" s="480"/>
      <c r="H11" s="480"/>
      <c r="I11" s="480"/>
      <c r="J11" s="481"/>
      <c r="K11"/>
      <c r="L11"/>
      <c r="M11"/>
      <c r="N11"/>
    </row>
    <row r="12" spans="2:14" ht="14" customHeight="1" x14ac:dyDescent="0.15">
      <c r="D12" s="3"/>
      <c r="F12" s="479"/>
      <c r="G12" s="480"/>
      <c r="H12" s="480"/>
      <c r="I12" s="480"/>
      <c r="J12" s="481"/>
      <c r="K12"/>
      <c r="L12"/>
      <c r="M12"/>
      <c r="N12"/>
    </row>
    <row r="13" spans="2:14" ht="14" customHeight="1" x14ac:dyDescent="0.15">
      <c r="D13" s="3"/>
      <c r="F13" s="479"/>
      <c r="G13" s="480"/>
      <c r="H13" s="480"/>
      <c r="I13" s="480"/>
      <c r="J13" s="481"/>
      <c r="K13"/>
      <c r="L13"/>
      <c r="M13"/>
      <c r="N13"/>
    </row>
    <row r="14" spans="2:14" ht="14" customHeight="1" thickBot="1" x14ac:dyDescent="0.2">
      <c r="D14" s="3"/>
      <c r="F14" s="479"/>
      <c r="G14" s="480"/>
      <c r="H14" s="480"/>
      <c r="I14" s="480"/>
      <c r="J14" s="481"/>
      <c r="K14"/>
      <c r="L14"/>
      <c r="M14"/>
      <c r="N14"/>
    </row>
    <row r="15" spans="2:14" ht="14" customHeight="1" x14ac:dyDescent="0.15">
      <c r="B15" s="37" t="s">
        <v>215</v>
      </c>
      <c r="C15" s="38"/>
      <c r="D15" s="3"/>
      <c r="F15" s="479"/>
      <c r="G15" s="480"/>
      <c r="H15" s="480"/>
      <c r="I15" s="480"/>
      <c r="J15" s="481"/>
      <c r="K15"/>
      <c r="L15"/>
      <c r="M15"/>
      <c r="N15"/>
    </row>
    <row r="16" spans="2:14" ht="14" customHeight="1" thickBot="1" x14ac:dyDescent="0.2">
      <c r="B16" s="39" t="s">
        <v>217</v>
      </c>
      <c r="C16" s="40"/>
      <c r="D16" s="3"/>
      <c r="F16" s="479"/>
      <c r="G16" s="480"/>
      <c r="H16" s="480"/>
      <c r="I16" s="480"/>
      <c r="J16" s="481"/>
      <c r="K16"/>
      <c r="L16"/>
      <c r="M16"/>
      <c r="N16"/>
    </row>
    <row r="17" spans="2:14" ht="14" customHeight="1" x14ac:dyDescent="0.15">
      <c r="D17" s="3"/>
      <c r="E17" s="451"/>
      <c r="F17" s="479"/>
      <c r="G17" s="480"/>
      <c r="H17" s="480"/>
      <c r="I17" s="480"/>
      <c r="J17" s="481"/>
      <c r="K17"/>
      <c r="L17"/>
      <c r="M17"/>
      <c r="N17"/>
    </row>
    <row r="18" spans="2:14" ht="14" customHeight="1" x14ac:dyDescent="0.15">
      <c r="B18" s="475" t="s">
        <v>464</v>
      </c>
      <c r="C18" s="475"/>
      <c r="D18" s="475"/>
      <c r="E18" s="451"/>
      <c r="F18" s="479"/>
      <c r="G18" s="480"/>
      <c r="H18" s="480"/>
      <c r="I18" s="480"/>
      <c r="J18" s="481"/>
      <c r="K18"/>
      <c r="L18"/>
      <c r="M18"/>
      <c r="N18"/>
    </row>
    <row r="19" spans="2:14" ht="14" customHeight="1" thickBot="1" x14ac:dyDescent="0.25">
      <c r="B19" s="475"/>
      <c r="C19" s="475"/>
      <c r="D19" s="475"/>
      <c r="E19" s="31"/>
      <c r="F19" s="482"/>
      <c r="G19" s="483"/>
      <c r="H19" s="483"/>
      <c r="I19" s="483"/>
      <c r="J19" s="484"/>
      <c r="K19"/>
      <c r="L19"/>
      <c r="M19"/>
      <c r="N19"/>
    </row>
    <row r="20" spans="2:14" ht="14" customHeight="1" x14ac:dyDescent="0.15">
      <c r="B20" s="475"/>
      <c r="C20" s="475"/>
      <c r="D20" s="475"/>
      <c r="E20" s="451"/>
      <c r="F20" s="63"/>
      <c r="G20" s="3"/>
      <c r="H20"/>
      <c r="I20"/>
      <c r="J20"/>
      <c r="K20"/>
      <c r="L20"/>
      <c r="M20"/>
      <c r="N20"/>
    </row>
    <row r="21" spans="2:14" ht="14" customHeight="1" x14ac:dyDescent="0.15">
      <c r="B21" s="475"/>
      <c r="C21" s="475"/>
      <c r="D21" s="475"/>
      <c r="E21" s="451"/>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49"/>
      <c r="I24" s="450"/>
      <c r="J24" s="450"/>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5" t="s">
        <v>22</v>
      </c>
      <c r="C30" s="24" t="s">
        <v>86</v>
      </c>
      <c r="E30" s="22" t="s">
        <v>87</v>
      </c>
    </row>
    <row r="31" spans="2:14" ht="17" x14ac:dyDescent="0.2">
      <c r="B31" s="486"/>
      <c r="C31" s="25" t="s">
        <v>205</v>
      </c>
      <c r="E31" s="23" t="s">
        <v>125</v>
      </c>
    </row>
    <row r="32" spans="2:14" ht="17" thickBot="1" x14ac:dyDescent="0.25">
      <c r="B32" s="487"/>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9"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H30" zoomScale="75"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4"/>
    </row>
    <row r="2" spans="1:44" ht="20" thickBot="1" x14ac:dyDescent="0.3">
      <c r="H2" s="28" t="s">
        <v>149</v>
      </c>
    </row>
    <row r="3" spans="1:44" ht="21" customHeight="1" x14ac:dyDescent="0.25">
      <c r="H3" s="31" t="s">
        <v>407</v>
      </c>
      <c r="I3" s="31"/>
      <c r="L3" s="29"/>
      <c r="M3" s="29"/>
      <c r="N3" s="29"/>
      <c r="P3" s="529" t="s">
        <v>0</v>
      </c>
      <c r="Q3" s="530"/>
      <c r="R3" s="530"/>
      <c r="S3" s="530"/>
      <c r="T3" s="530"/>
      <c r="U3" s="530"/>
      <c r="V3" s="530"/>
      <c r="W3" s="530"/>
      <c r="X3" s="531"/>
    </row>
    <row r="4" spans="1:44" ht="20" customHeight="1" x14ac:dyDescent="0.25">
      <c r="A4" s="13"/>
      <c r="H4" s="32" t="s">
        <v>27</v>
      </c>
      <c r="I4" s="32"/>
      <c r="P4" s="532" t="s">
        <v>312</v>
      </c>
      <c r="Q4" s="533"/>
      <c r="R4" s="533"/>
      <c r="S4" s="533"/>
      <c r="T4" s="533"/>
      <c r="U4" s="533"/>
      <c r="V4" s="533"/>
      <c r="W4" s="533"/>
      <c r="X4" s="534"/>
    </row>
    <row r="5" spans="1:44" ht="26" customHeight="1" thickBot="1" x14ac:dyDescent="0.3">
      <c r="A5"/>
      <c r="I5" s="174"/>
      <c r="J5"/>
      <c r="K5"/>
      <c r="L5" s="475" t="s">
        <v>462</v>
      </c>
      <c r="M5" s="475"/>
      <c r="N5" s="475"/>
      <c r="P5" s="532"/>
      <c r="Q5" s="533"/>
      <c r="R5" s="533"/>
      <c r="S5" s="533"/>
      <c r="T5" s="533"/>
      <c r="U5" s="533"/>
      <c r="V5" s="533"/>
      <c r="W5" s="533"/>
      <c r="X5" s="534"/>
    </row>
    <row r="6" spans="1:44" ht="16" customHeight="1" x14ac:dyDescent="0.15">
      <c r="A6"/>
      <c r="H6" s="546" t="s">
        <v>199</v>
      </c>
      <c r="I6" s="547"/>
      <c r="J6" s="445" t="s">
        <v>314</v>
      </c>
      <c r="K6"/>
      <c r="L6" s="475"/>
      <c r="M6" s="475"/>
      <c r="N6" s="475"/>
      <c r="P6" s="532"/>
      <c r="Q6" s="533"/>
      <c r="R6" s="533"/>
      <c r="S6" s="533"/>
      <c r="T6" s="533"/>
      <c r="U6" s="533"/>
      <c r="V6" s="533"/>
      <c r="W6" s="533"/>
      <c r="X6" s="534"/>
    </row>
    <row r="7" spans="1:44" ht="15" customHeight="1" x14ac:dyDescent="0.2">
      <c r="A7"/>
      <c r="H7" s="548"/>
      <c r="I7" s="549"/>
      <c r="J7" s="446" t="s">
        <v>245</v>
      </c>
      <c r="K7" s="14"/>
      <c r="L7" s="475"/>
      <c r="M7" s="475"/>
      <c r="N7" s="475"/>
      <c r="P7" s="532"/>
      <c r="Q7" s="533"/>
      <c r="R7" s="533"/>
      <c r="S7" s="533"/>
      <c r="T7" s="533"/>
      <c r="U7" s="533"/>
      <c r="V7" s="533"/>
      <c r="W7" s="533"/>
      <c r="X7" s="534"/>
    </row>
    <row r="8" spans="1:44" ht="13" customHeight="1" thickBot="1" x14ac:dyDescent="0.25">
      <c r="H8" s="550"/>
      <c r="I8" s="551"/>
      <c r="J8" s="447" t="s">
        <v>219</v>
      </c>
      <c r="K8"/>
      <c r="L8" s="475"/>
      <c r="M8" s="475"/>
      <c r="N8" s="475"/>
      <c r="P8" s="532"/>
      <c r="Q8" s="533"/>
      <c r="R8" s="533"/>
      <c r="S8" s="533"/>
      <c r="T8" s="533"/>
      <c r="U8" s="533"/>
      <c r="V8" s="533"/>
      <c r="W8" s="533"/>
      <c r="X8" s="534"/>
    </row>
    <row r="9" spans="1:44" ht="22" customHeight="1" thickBot="1" x14ac:dyDescent="0.25">
      <c r="L9" s="475"/>
      <c r="M9" s="475"/>
      <c r="N9" s="475"/>
      <c r="P9" s="532"/>
      <c r="Q9" s="533"/>
      <c r="R9" s="533"/>
      <c r="S9" s="533"/>
      <c r="T9" s="533"/>
      <c r="U9" s="533"/>
      <c r="V9" s="533"/>
      <c r="W9" s="533"/>
      <c r="X9" s="534"/>
      <c r="Y9" s="2"/>
      <c r="Z9" s="2"/>
      <c r="AA9" s="2"/>
    </row>
    <row r="10" spans="1:44" ht="15" customHeight="1" thickBot="1" x14ac:dyDescent="0.25">
      <c r="H10" s="525" t="s">
        <v>214</v>
      </c>
      <c r="I10" s="526"/>
      <c r="J10" s="453"/>
      <c r="K10"/>
      <c r="L10" s="475"/>
      <c r="M10" s="475"/>
      <c r="N10" s="475"/>
      <c r="P10" s="535"/>
      <c r="Q10" s="536"/>
      <c r="R10" s="536"/>
      <c r="S10" s="536"/>
      <c r="T10" s="536"/>
      <c r="U10" s="536"/>
      <c r="V10" s="536"/>
      <c r="W10" s="536"/>
      <c r="X10" s="537"/>
      <c r="Y10" s="2"/>
      <c r="Z10" s="2"/>
      <c r="AA10" s="2"/>
    </row>
    <row r="11" spans="1:44" customFormat="1" ht="13" customHeight="1" thickBot="1" x14ac:dyDescent="0.25">
      <c r="B11" s="463">
        <v>10</v>
      </c>
      <c r="C11" s="3"/>
      <c r="D11" s="3"/>
      <c r="E11" s="3"/>
      <c r="F11" s="3"/>
      <c r="G11" s="3"/>
      <c r="H11" s="527" t="s">
        <v>216</v>
      </c>
      <c r="I11" s="528"/>
      <c r="J11" s="454"/>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43" t="s">
        <v>259</v>
      </c>
      <c r="O16" s="544"/>
      <c r="P16" s="545"/>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18"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(1.68+0.012133)-D21</f>
        <v>1.5229196999999999</v>
      </c>
      <c r="E18" s="117">
        <f>$D$18*$E$30</f>
        <v>1.8275036399999998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1496880</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18"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(1.68+0.012133)*10%</f>
        <v>0.16921330000000001</v>
      </c>
      <c r="E21" s="119">
        <f>$D$21*$E$30</f>
        <v>0.20305596000000001</v>
      </c>
      <c r="F21" s="161"/>
      <c r="G21" s="80" t="s">
        <v>14</v>
      </c>
      <c r="H21" s="110">
        <v>100000</v>
      </c>
      <c r="I21" s="161"/>
      <c r="J21" s="71" t="s">
        <v>102</v>
      </c>
      <c r="K21" s="113">
        <v>110</v>
      </c>
      <c r="L21" s="164"/>
      <c r="M21" s="131"/>
      <c r="N21" s="540" t="s">
        <v>128</v>
      </c>
      <c r="O21" s="541"/>
      <c r="P21" s="542"/>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1.6921329999999999</v>
      </c>
      <c r="E22" s="79">
        <f>SUM(E18:E21)</f>
        <v>2.0305595999999997</v>
      </c>
      <c r="F22" s="161"/>
      <c r="G22" s="65" t="s">
        <v>72</v>
      </c>
      <c r="H22" s="67"/>
      <c r="I22" s="161"/>
      <c r="J22" s="71" t="s">
        <v>251</v>
      </c>
      <c r="K22" s="106">
        <v>1000</v>
      </c>
      <c r="L22" s="164"/>
      <c r="M22" s="131"/>
      <c r="N22" s="281" t="s">
        <v>34</v>
      </c>
      <c r="O22" s="282"/>
      <c r="P22" s="280">
        <f>$H$23</f>
        <v>3505476.2846926562</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2000000</v>
      </c>
      <c r="E23" s="120">
        <f>Size_of_System_in_W_DC/$E$30</f>
        <v>1666666.6666666667</v>
      </c>
      <c r="F23" s="161"/>
      <c r="G23" s="70" t="s">
        <v>144</v>
      </c>
      <c r="H23" s="110">
        <f>Aggregate_Project_Cost</f>
        <v>3505476.2846926562</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3505476.2846926562</v>
      </c>
      <c r="I24" s="161"/>
      <c r="J24" s="80" t="s">
        <v>101</v>
      </c>
      <c r="K24" s="105">
        <v>10</v>
      </c>
      <c r="L24" s="164"/>
      <c r="M24" s="131"/>
      <c r="N24" s="269" t="s">
        <v>75</v>
      </c>
      <c r="O24" s="264"/>
      <c r="P24" s="280">
        <f>P22-P23</f>
        <v>3505476.2846926562</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1397.4696300000016</v>
      </c>
      <c r="F25" s="161"/>
      <c r="G25" s="80" t="s">
        <v>374</v>
      </c>
      <c r="H25" s="108">
        <v>6.5000000000000002E-2</v>
      </c>
      <c r="I25" s="161"/>
      <c r="J25" s="75" t="s">
        <v>62</v>
      </c>
      <c r="K25" s="76"/>
      <c r="L25" s="164"/>
      <c r="M25" s="131"/>
      <c r="N25" s="270" t="s">
        <v>148</v>
      </c>
      <c r="O25" s="271"/>
      <c r="P25" s="280">
        <f>Unstructured!C89</f>
        <v>-250530.03907907056</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5.4541413842365438E-2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1">
        <v>0.96</v>
      </c>
      <c r="F27" s="168">
        <v>1</v>
      </c>
      <c r="G27" s="70" t="s">
        <v>39</v>
      </c>
      <c r="H27" s="418" t="s">
        <v>309</v>
      </c>
      <c r="I27" s="161"/>
      <c r="J27" s="71" t="s">
        <v>192</v>
      </c>
      <c r="K27" s="121">
        <f>K34</f>
        <v>250000</v>
      </c>
      <c r="L27" s="164"/>
      <c r="M27" s="131"/>
      <c r="N27" s="272" t="s">
        <v>60</v>
      </c>
      <c r="O27" s="266"/>
      <c r="P27" s="284">
        <f>Unstructured!C83</f>
        <v>1.7327844407442283E-2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2">
        <f>(Size_of_System_in_W_DC/1000)*$E$25</f>
        <v>2794939.2600000035</v>
      </c>
      <c r="F28" s="169"/>
      <c r="G28" s="71" t="s">
        <v>40</v>
      </c>
      <c r="H28" s="105">
        <v>20</v>
      </c>
      <c r="I28" s="161"/>
      <c r="J28" s="71" t="s">
        <v>375</v>
      </c>
      <c r="K28" s="324">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2683141.6896000034</v>
      </c>
      <c r="F29" s="161"/>
      <c r="G29" s="71" t="s">
        <v>41</v>
      </c>
      <c r="H29" s="108">
        <v>5.5E-2</v>
      </c>
      <c r="I29" s="161"/>
      <c r="J29" s="71" t="s">
        <v>180</v>
      </c>
      <c r="K29" s="325">
        <v>0</v>
      </c>
      <c r="L29" s="164"/>
      <c r="M29" s="131"/>
      <c r="N29" s="543" t="s">
        <v>194</v>
      </c>
      <c r="O29" s="544"/>
      <c r="P29" s="545"/>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1402190.5138770626</v>
      </c>
      <c r="I30" s="161"/>
      <c r="J30" s="71" t="s">
        <v>301</v>
      </c>
      <c r="K30" s="326">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2" t="s">
        <v>85</v>
      </c>
      <c r="C31" s="513"/>
      <c r="D31" s="514"/>
      <c r="E31" s="515"/>
      <c r="F31" s="161"/>
      <c r="G31" s="71" t="s">
        <v>136</v>
      </c>
      <c r="H31" s="108">
        <v>1.2</v>
      </c>
      <c r="I31" s="161"/>
      <c r="J31" s="80" t="s">
        <v>302</v>
      </c>
      <c r="K31" s="327">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55" t="s">
        <v>88</v>
      </c>
      <c r="C32" s="456"/>
      <c r="D32" s="458"/>
      <c r="E32" s="121">
        <f>Size_of_System_in_W_DC*$D$18</f>
        <v>3045839.4</v>
      </c>
      <c r="F32" s="161"/>
      <c r="G32" s="80" t="s">
        <v>137</v>
      </c>
      <c r="H32" s="320"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10" t="s">
        <v>317</v>
      </c>
      <c r="H33" s="511"/>
      <c r="I33" s="161"/>
      <c r="J33" s="71" t="s">
        <v>10</v>
      </c>
      <c r="K33" s="418"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17" t="s">
        <v>458</v>
      </c>
      <c r="I34" s="161"/>
      <c r="J34" s="71" t="s">
        <v>377</v>
      </c>
      <c r="K34" s="110">
        <v>250000</v>
      </c>
      <c r="L34" s="164"/>
      <c r="M34" s="131"/>
      <c r="N34" s="269" t="s">
        <v>82</v>
      </c>
      <c r="O34" s="264"/>
      <c r="P34" s="288">
        <f>E32</f>
        <v>3045839.4</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338426.60000000003</v>
      </c>
      <c r="F35" s="161"/>
      <c r="G35" s="71" t="s">
        <v>235</v>
      </c>
      <c r="H35" s="417" t="s">
        <v>456</v>
      </c>
      <c r="I35" s="161"/>
      <c r="J35" s="71" t="s">
        <v>94</v>
      </c>
      <c r="K35" s="418"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17" t="s">
        <v>373</v>
      </c>
      <c r="I36" s="161"/>
      <c r="J36" s="71" t="s">
        <v>376</v>
      </c>
      <c r="K36" s="418" t="s">
        <v>309</v>
      </c>
      <c r="L36" s="164"/>
      <c r="M36" s="131"/>
      <c r="N36" s="269" t="s">
        <v>58</v>
      </c>
      <c r="O36" s="271"/>
      <c r="P36" s="288">
        <f>E35</f>
        <v>338426.60000000003</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121210.28469265616</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121210.28469265616</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59"/>
      <c r="E39" s="123">
        <f>SUM(E32:E38)</f>
        <v>3505476.2846926562</v>
      </c>
      <c r="F39" s="161"/>
      <c r="G39" s="457" t="s">
        <v>437</v>
      </c>
      <c r="H39" s="417" t="s">
        <v>329</v>
      </c>
      <c r="I39" s="161"/>
      <c r="J39" s="71" t="s">
        <v>107</v>
      </c>
      <c r="K39" s="114">
        <v>2.5000000000000001E-2</v>
      </c>
      <c r="L39" s="164"/>
      <c r="M39" s="131"/>
      <c r="N39" s="270" t="s">
        <v>54</v>
      </c>
      <c r="O39" s="264"/>
      <c r="P39" s="288">
        <f>SUM(P34:P38)</f>
        <v>3505476.2846926562</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57" t="s">
        <v>438</v>
      </c>
      <c r="H40" s="417"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6" t="s">
        <v>28</v>
      </c>
      <c r="C41" s="517"/>
      <c r="D41" s="518"/>
      <c r="E41" s="519"/>
      <c r="F41" s="166"/>
      <c r="G41" s="71" t="s">
        <v>97</v>
      </c>
      <c r="H41" s="407">
        <f>SUMIF($E$65:$E$68,"Yes",$D$65:$D$68)</f>
        <v>0.3</v>
      </c>
      <c r="I41" s="161"/>
      <c r="J41" s="71" t="s">
        <v>304</v>
      </c>
      <c r="K41" s="115">
        <f>15.21/1000</f>
        <v>1.5210000000000001E-2</v>
      </c>
      <c r="L41" s="164"/>
      <c r="M41" s="131"/>
      <c r="N41" s="272" t="s">
        <v>69</v>
      </c>
      <c r="O41" s="266"/>
      <c r="P41" s="289">
        <f>P26-H25</f>
        <v>-1.0458586157634564E-2</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1" t="s">
        <v>53</v>
      </c>
      <c r="C42" s="472"/>
      <c r="D42" s="473"/>
      <c r="E42" s="474">
        <v>7.3648296020305801E-2</v>
      </c>
      <c r="F42" s="166"/>
      <c r="G42" s="457"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4"/>
      <c r="E43" s="200">
        <v>0</v>
      </c>
      <c r="F43" s="166"/>
      <c r="G43" s="457" t="s">
        <v>439</v>
      </c>
      <c r="H43" s="419">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4"/>
      <c r="E44" s="200">
        <v>2.5000000000000001E-2</v>
      </c>
      <c r="F44" s="151"/>
      <c r="G44" s="457" t="s">
        <v>430</v>
      </c>
      <c r="H44" s="419">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4"/>
      <c r="E45" s="469">
        <v>8022687.5</v>
      </c>
      <c r="F45" s="151"/>
      <c r="G45" s="457" t="s">
        <v>431</v>
      </c>
      <c r="H45" s="420">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4"/>
      <c r="E46" s="468">
        <v>0.06</v>
      </c>
      <c r="F46" s="151"/>
      <c r="G46" s="457" t="s">
        <v>432</v>
      </c>
      <c r="H46" s="115">
        <v>26</v>
      </c>
      <c r="I46" s="146"/>
      <c r="J46" s="151"/>
      <c r="K46" s="151"/>
      <c r="L46" s="162"/>
      <c r="M46" s="138"/>
      <c r="N46" s="131"/>
      <c r="O46" s="131"/>
      <c r="P46" s="131"/>
      <c r="Q46" s="128"/>
      <c r="R46" s="499" t="str">
        <f>IF(Project_Debt?="Yes", "Partnership data compromised. Debt should be turned off in cell H27.","")</f>
        <v/>
      </c>
      <c r="S46" s="499"/>
      <c r="T46" s="499"/>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470">
        <v>0.2</v>
      </c>
      <c r="F47" s="154"/>
      <c r="G47" s="457" t="s">
        <v>433</v>
      </c>
      <c r="H47" s="112">
        <v>0.02</v>
      </c>
      <c r="I47" s="146"/>
      <c r="J47" s="154"/>
      <c r="K47" s="154"/>
      <c r="L47" s="163"/>
      <c r="M47" s="131"/>
      <c r="N47" s="131"/>
      <c r="O47" s="131"/>
      <c r="P47" s="131"/>
      <c r="Q47" s="128"/>
      <c r="R47" s="499"/>
      <c r="S47" s="499"/>
      <c r="T47" s="499"/>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57" t="s">
        <v>434</v>
      </c>
      <c r="H48" s="112">
        <v>0.05</v>
      </c>
      <c r="I48" s="146"/>
      <c r="J48" s="146"/>
      <c r="K48" s="148"/>
      <c r="L48" s="150"/>
      <c r="M48" s="128"/>
      <c r="N48" s="504" t="s">
        <v>190</v>
      </c>
      <c r="O48" s="505"/>
      <c r="P48" s="506"/>
      <c r="Q48" s="128"/>
      <c r="R48" s="499"/>
      <c r="S48" s="499"/>
      <c r="T48" s="499"/>
      <c r="U48" s="128"/>
      <c r="V48" s="143"/>
      <c r="W48" s="128"/>
      <c r="X48" s="538" t="s">
        <v>152</v>
      </c>
      <c r="Y48" s="539"/>
      <c r="Z48" s="539"/>
      <c r="AA48" s="539"/>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20" t="s">
        <v>427</v>
      </c>
      <c r="C49" s="521"/>
      <c r="D49" s="521"/>
      <c r="E49" s="521"/>
      <c r="F49" s="146"/>
      <c r="G49" s="457" t="s">
        <v>435</v>
      </c>
      <c r="H49" s="408">
        <f>(1-Additional_ITC_Basis_Reducer_Fine_Tuning)*(Project_Sale_Price-(Site_Purchase_Price+Roof_Upgrade_Cost+Other_Closing_Costs_Fees+IF($E$23&gt;5000000,Interconnection_Costs,0)))</f>
        <v>3215052.6999999997</v>
      </c>
      <c r="I49" s="146"/>
      <c r="J49" s="146"/>
      <c r="K49" s="148"/>
      <c r="L49" s="159"/>
      <c r="M49" s="128"/>
      <c r="N49" s="68"/>
      <c r="O49" s="102" t="s">
        <v>262</v>
      </c>
      <c r="P49" s="103" t="s">
        <v>263</v>
      </c>
      <c r="Q49" s="128"/>
      <c r="R49" s="128"/>
      <c r="S49" s="128"/>
      <c r="T49" s="128"/>
      <c r="U49" s="128"/>
      <c r="V49" s="143"/>
      <c r="W49" s="128"/>
      <c r="X49" s="300"/>
      <c r="Y49" s="262"/>
      <c r="Z49" s="262"/>
      <c r="AA49" s="302"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06" t="s">
        <v>436</v>
      </c>
      <c r="H50" s="409">
        <f>H49*Federal_ITC_Rate*IF(AND(Owner_is_Taxpayer_Non_Taxpayer?="Non-Taxpayer", Project_Debt?="Yes"),1-MIN(0.15,Project_Loan_Amount/Project_Sale_Price),1)</f>
        <v>964515.80999999982</v>
      </c>
      <c r="I50" s="146"/>
      <c r="J50" s="146"/>
      <c r="K50" s="148"/>
      <c r="L50" s="159"/>
      <c r="M50" s="128"/>
      <c r="N50" s="270" t="s">
        <v>280</v>
      </c>
      <c r="O50" s="290">
        <f>'Partnership Flip'!C69</f>
        <v>-1926609.7660670837</v>
      </c>
      <c r="P50" s="291">
        <f>'Partnership Flip'!C56</f>
        <v>-1578866.5186255726</v>
      </c>
      <c r="Q50" s="128"/>
      <c r="R50" s="128"/>
      <c r="S50" s="128"/>
      <c r="T50" s="128"/>
      <c r="U50" s="128"/>
      <c r="V50" s="143"/>
      <c r="W50" s="128"/>
      <c r="X50" s="270" t="s">
        <v>123</v>
      </c>
      <c r="Y50" s="303" t="s">
        <v>173</v>
      </c>
      <c r="Z50" s="303" t="s">
        <v>175</v>
      </c>
      <c r="AA50" s="302"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2732794.7949999999</v>
      </c>
      <c r="F51" s="146"/>
      <c r="G51" s="510" t="s">
        <v>318</v>
      </c>
      <c r="H51" s="511"/>
      <c r="I51" s="146"/>
      <c r="J51" s="146"/>
      <c r="K51" s="148"/>
      <c r="L51" s="158"/>
      <c r="M51" s="128"/>
      <c r="N51" s="273" t="s">
        <v>254</v>
      </c>
      <c r="O51" s="321">
        <f>'Partnership Flip'!C75</f>
        <v>5.2694236728636046E-2</v>
      </c>
      <c r="P51" s="322">
        <f>'Partnership Flip'!C62</f>
        <v>6.6990017196546736E-2</v>
      </c>
      <c r="Q51" s="128"/>
      <c r="R51" s="128"/>
      <c r="S51" s="128"/>
      <c r="T51" s="128"/>
      <c r="U51" s="128"/>
      <c r="V51" s="143"/>
      <c r="W51" s="128"/>
      <c r="X51" s="269" t="s">
        <v>361</v>
      </c>
      <c r="Y51" s="304">
        <f>'Customer Analysis'!$D$22+'Customer Analysis'!$D$23</f>
        <v>7.3648296020305801E-2</v>
      </c>
      <c r="Z51" s="304">
        <f>'Customer Analysis'!$W$22+'Customer Analysis'!$W$23</f>
        <v>0.11773786210560654</v>
      </c>
      <c r="AA51" s="305">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467"/>
      <c r="L52" s="158"/>
      <c r="M52" s="128"/>
      <c r="N52" s="273" t="s">
        <v>255</v>
      </c>
      <c r="O52" s="465">
        <f>'Partnership Flip'!C74</f>
        <v>-257000.90899314545</v>
      </c>
      <c r="P52" s="466">
        <f>'Partnership Flip'!C61</f>
        <v>6470.8699140744284</v>
      </c>
      <c r="Q52" s="128"/>
      <c r="R52" s="128"/>
      <c r="S52" s="128"/>
      <c r="T52" s="128"/>
      <c r="U52" s="128"/>
      <c r="V52" s="143"/>
      <c r="W52" s="128"/>
      <c r="X52" s="269" t="s">
        <v>122</v>
      </c>
      <c r="Y52" s="304">
        <f>'Customer Analysis'!$D$24</f>
        <v>7.3031580167629145E-2</v>
      </c>
      <c r="Z52" s="304">
        <f>'Customer Analysis'!$W$24</f>
        <v>0.11675194919323223</v>
      </c>
      <c r="AA52" s="305">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2">
        <f>'Partnership Flip'!C77</f>
        <v>5.2143813995261468E-2</v>
      </c>
      <c r="P53" s="293">
        <f>'Partnership Flip'!C64</f>
        <v>-9.1302915241111782E-2</v>
      </c>
      <c r="Q53" s="128"/>
      <c r="R53" s="128"/>
      <c r="S53" s="128"/>
      <c r="T53" s="128"/>
      <c r="U53" s="128"/>
      <c r="V53" s="143"/>
      <c r="W53" s="128"/>
      <c r="X53" s="269"/>
      <c r="Y53" s="304"/>
      <c r="Z53" s="304"/>
      <c r="AA53" s="306"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546558.95900000003</v>
      </c>
      <c r="E54" s="94">
        <f t="shared" ref="E54:E59" si="0">Depreciation_Basis*C54</f>
        <v>546558.95900000003</v>
      </c>
      <c r="F54" s="146"/>
      <c r="G54" s="71" t="s">
        <v>319</v>
      </c>
      <c r="H54" s="180">
        <v>0</v>
      </c>
      <c r="I54" s="157"/>
      <c r="J54" s="146"/>
      <c r="K54" s="148"/>
      <c r="L54" s="158"/>
      <c r="M54" s="128"/>
      <c r="N54" s="273"/>
      <c r="O54" s="294"/>
      <c r="P54" s="287"/>
      <c r="Q54" s="128"/>
      <c r="R54" s="128"/>
      <c r="S54" s="128"/>
      <c r="T54" s="128"/>
      <c r="U54" s="128"/>
      <c r="V54" s="143"/>
      <c r="W54" s="128"/>
      <c r="X54" s="270" t="s">
        <v>264</v>
      </c>
      <c r="Y54" s="307" t="s">
        <v>173</v>
      </c>
      <c r="Z54" s="307" t="s">
        <v>175</v>
      </c>
      <c r="AA54" s="306"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874494.33440000005</v>
      </c>
      <c r="E55" s="94">
        <f t="shared" si="0"/>
        <v>874494.33440000005</v>
      </c>
      <c r="F55" s="146"/>
      <c r="G55" s="71" t="s">
        <v>320</v>
      </c>
      <c r="H55" s="110">
        <f>Depreciation_Basis</f>
        <v>2732794.7949999999</v>
      </c>
      <c r="I55" s="157"/>
      <c r="J55" s="146"/>
      <c r="K55" s="148"/>
      <c r="L55" s="158"/>
      <c r="M55" s="128"/>
      <c r="N55" s="273" t="s">
        <v>65</v>
      </c>
      <c r="O55" s="294"/>
      <c r="P55" s="295">
        <f>'Partnership Flip'!C65</f>
        <v>6</v>
      </c>
      <c r="Q55" s="128"/>
      <c r="R55" s="128"/>
      <c r="S55" s="128"/>
      <c r="T55" s="128"/>
      <c r="U55" s="128"/>
      <c r="V55" s="143"/>
      <c r="W55" s="128"/>
      <c r="X55" s="269" t="s">
        <v>265</v>
      </c>
      <c r="Y55" s="308">
        <f>'Customer Analysis'!$D$19</f>
        <v>93477310.739999995</v>
      </c>
      <c r="Z55" s="308">
        <f>'Customer Analysis'!$W$19</f>
        <v>93731213.471028149</v>
      </c>
      <c r="AA55" s="305">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524696.60063999996</v>
      </c>
      <c r="E56" s="94">
        <f t="shared" si="0"/>
        <v>524696.60063999996</v>
      </c>
      <c r="F56" s="146"/>
      <c r="G56" s="80" t="s">
        <v>2</v>
      </c>
      <c r="H56" s="112">
        <v>7.0000000000000007E-2</v>
      </c>
      <c r="I56" s="157"/>
      <c r="J56" s="146"/>
      <c r="K56" s="148"/>
      <c r="L56" s="158"/>
      <c r="M56" s="128"/>
      <c r="N56" s="265" t="s">
        <v>281</v>
      </c>
      <c r="O56" s="296"/>
      <c r="P56" s="297" t="str">
        <f>(100*Dashboard!$H$62) &amp;"%  to " &amp;(100*Dashboard!$H$63)&amp;"% Ratio"</f>
        <v>45.04%  to 54.96% Ratio</v>
      </c>
      <c r="Q56" s="128"/>
      <c r="R56" s="128"/>
      <c r="S56" s="128"/>
      <c r="T56" s="128"/>
      <c r="U56" s="128"/>
      <c r="V56" s="143"/>
      <c r="W56" s="128"/>
      <c r="X56" s="301" t="s">
        <v>221</v>
      </c>
      <c r="Y56" s="309">
        <f>'Customer Analysis'!$D$21</f>
        <v>2794939.2600000035</v>
      </c>
      <c r="Z56" s="309">
        <f>'Customer Analysis'!$W$21</f>
        <v>2541036.5289718471</v>
      </c>
      <c r="AA56" s="310">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314817.96038399998</v>
      </c>
      <c r="E57" s="94">
        <f t="shared" si="0"/>
        <v>314817.96038399998</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314817.96038399998</v>
      </c>
      <c r="E58" s="94">
        <f t="shared" si="0"/>
        <v>314817.96038399998</v>
      </c>
      <c r="F58" s="146"/>
      <c r="G58" s="71" t="s">
        <v>37</v>
      </c>
      <c r="H58" s="200">
        <v>0.99</v>
      </c>
      <c r="I58" s="157"/>
      <c r="J58" s="146"/>
      <c r="K58" s="148"/>
      <c r="L58" s="158"/>
      <c r="M58" s="128"/>
      <c r="N58" s="522" t="s">
        <v>211</v>
      </c>
      <c r="O58" s="523"/>
      <c r="P58" s="524"/>
      <c r="Q58" s="128"/>
      <c r="R58" s="128"/>
      <c r="S58" s="128"/>
      <c r="T58" s="128"/>
      <c r="U58" s="128"/>
      <c r="V58" s="143"/>
      <c r="W58" s="128"/>
      <c r="X58" s="504" t="s">
        <v>313</v>
      </c>
      <c r="Y58" s="505"/>
      <c r="Z58" s="505"/>
      <c r="AA58" s="506"/>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157408.98019199999</v>
      </c>
      <c r="E59" s="94">
        <f t="shared" si="0"/>
        <v>157408.98019199999</v>
      </c>
      <c r="F59" s="146"/>
      <c r="G59" s="71" t="s">
        <v>38</v>
      </c>
      <c r="H59" s="258">
        <f>1-$H$58</f>
        <v>1.0000000000000009E-2</v>
      </c>
      <c r="I59" s="157"/>
      <c r="J59" s="146"/>
      <c r="K59" s="148"/>
      <c r="L59" s="158"/>
      <c r="M59" s="128"/>
      <c r="N59" s="270" t="s">
        <v>212</v>
      </c>
      <c r="O59" s="271"/>
      <c r="P59" s="298" t="str">
        <f>Unstructured!$C$84</f>
        <v>Pass</v>
      </c>
      <c r="Q59" s="128"/>
      <c r="R59" s="128"/>
      <c r="S59" s="128"/>
      <c r="T59" s="128"/>
      <c r="U59" s="128"/>
      <c r="V59" s="143"/>
      <c r="W59" s="128"/>
      <c r="X59" s="275"/>
      <c r="Y59" s="319" t="s">
        <v>173</v>
      </c>
      <c r="Z59" s="319" t="s">
        <v>153</v>
      </c>
      <c r="AA59" s="302"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2732794.7950000004</v>
      </c>
      <c r="E60" s="100">
        <f>SUM(E54:E59)</f>
        <v>2732794.7950000004</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1">
        <f>Dashboard!H23</f>
        <v>3505476.2846926562</v>
      </c>
      <c r="Z60" s="311">
        <f>'Customer Analysis'!$J$34</f>
        <v>1857106.2063050687</v>
      </c>
      <c r="AA60" s="312">
        <f>'Customer Analysis'!$M$34</f>
        <v>1776773.4428044676</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299" t="s">
        <v>234</v>
      </c>
      <c r="Q61" s="128"/>
      <c r="R61" s="128"/>
      <c r="S61" s="128"/>
      <c r="T61" s="128"/>
      <c r="U61" s="128"/>
      <c r="V61" s="143"/>
      <c r="W61" s="128"/>
      <c r="X61" s="275"/>
      <c r="Y61" s="311"/>
      <c r="Z61" s="294"/>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3">
        <f>'Customer Analysis'!$C$56</f>
        <v>6.2186237374071592E-2</v>
      </c>
      <c r="Z62" s="393">
        <f>'Customer Analysis'!$C$57</f>
        <v>5.955495734281286E-2</v>
      </c>
      <c r="AA62" s="394">
        <f>'Customer Analysis'!$C$58</f>
        <v>6.8651647326187712E-2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07" t="s">
        <v>428</v>
      </c>
      <c r="C63" s="508"/>
      <c r="D63" s="508"/>
      <c r="E63" s="509"/>
      <c r="F63" s="146"/>
      <c r="G63" s="71" t="s">
        <v>11</v>
      </c>
      <c r="H63" s="258">
        <f>1-Tax_Equity_Investment_Share</f>
        <v>0.54959999999999998</v>
      </c>
      <c r="I63" s="157"/>
      <c r="J63" s="146"/>
      <c r="K63" s="148"/>
      <c r="L63" s="159"/>
      <c r="M63" s="128"/>
      <c r="N63" s="269" t="s">
        <v>82</v>
      </c>
      <c r="O63" s="264"/>
      <c r="P63" s="288">
        <f>E32</f>
        <v>3045839.4</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4" t="s">
        <v>421</v>
      </c>
      <c r="C64" s="404"/>
      <c r="D64" s="405" t="s">
        <v>422</v>
      </c>
      <c r="E64" s="415" t="s">
        <v>429</v>
      </c>
      <c r="F64" s="146"/>
      <c r="G64" s="71" t="s">
        <v>447</v>
      </c>
      <c r="H64" s="429">
        <v>5</v>
      </c>
      <c r="I64" s="146"/>
      <c r="J64" s="146"/>
      <c r="K64" s="148"/>
      <c r="L64" s="159"/>
      <c r="M64" s="128"/>
      <c r="N64" s="269" t="s">
        <v>310</v>
      </c>
      <c r="O64" s="264"/>
      <c r="P64" s="288">
        <f>Roof_Upgrade_Cost</f>
        <v>0</v>
      </c>
      <c r="Q64" s="128"/>
      <c r="R64" s="128"/>
      <c r="S64" s="128"/>
      <c r="T64" s="128"/>
      <c r="U64" s="128"/>
      <c r="V64" s="143"/>
      <c r="W64" s="128"/>
      <c r="X64" s="498" t="s">
        <v>469</v>
      </c>
      <c r="Y64" s="498"/>
      <c r="Z64" s="498"/>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0" t="s">
        <v>423</v>
      </c>
      <c r="D65" s="413">
        <v>0.3</v>
      </c>
      <c r="E65" s="419" t="s">
        <v>419</v>
      </c>
      <c r="F65" s="146"/>
      <c r="G65" s="71" t="s">
        <v>355</v>
      </c>
      <c r="H65" s="258">
        <f>Investor_Discount_Rate</f>
        <v>6.5000000000000002E-2</v>
      </c>
      <c r="I65" s="146"/>
      <c r="J65" s="146"/>
      <c r="K65" s="148"/>
      <c r="L65" s="159"/>
      <c r="M65" s="128"/>
      <c r="N65" s="269" t="s">
        <v>58</v>
      </c>
      <c r="O65" s="271"/>
      <c r="P65" s="288">
        <f>E35</f>
        <v>338426.60000000003</v>
      </c>
      <c r="Q65" s="128"/>
      <c r="R65" s="128"/>
      <c r="S65" s="128"/>
      <c r="T65" s="128"/>
      <c r="U65" s="128"/>
      <c r="V65" s="143"/>
      <c r="W65" s="128"/>
      <c r="X65" s="314" t="s">
        <v>282</v>
      </c>
      <c r="Y65" s="315"/>
      <c r="Z65" s="313">
        <f>Y60</f>
        <v>3505476.2846926562</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0" t="s">
        <v>424</v>
      </c>
      <c r="D66" s="413">
        <v>0.1</v>
      </c>
      <c r="E66" s="419" t="s">
        <v>309</v>
      </c>
      <c r="F66" s="146"/>
      <c r="G66" s="71" t="s">
        <v>356</v>
      </c>
      <c r="H66" s="201">
        <v>3.5000000000000003E-2</v>
      </c>
      <c r="I66" s="146"/>
      <c r="J66" s="146"/>
      <c r="K66" s="148"/>
      <c r="L66" s="159"/>
      <c r="M66" s="128"/>
      <c r="N66" s="269" t="s">
        <v>59</v>
      </c>
      <c r="O66" s="264"/>
      <c r="P66" s="288">
        <f>SUM(E36:E38)</f>
        <v>121210.28469265616</v>
      </c>
      <c r="Q66" s="128"/>
      <c r="R66" s="128"/>
      <c r="S66" s="128"/>
      <c r="T66" s="128"/>
      <c r="U66" s="128"/>
      <c r="V66" s="143"/>
      <c r="W66" s="128"/>
      <c r="X66" s="316" t="s">
        <v>283</v>
      </c>
      <c r="Y66" s="317"/>
      <c r="Z66" s="312">
        <f>'Customer Analysis'!$C$70</f>
        <v>-128142.85153302066</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0" t="s">
        <v>425</v>
      </c>
      <c r="D67" s="413">
        <v>0.1</v>
      </c>
      <c r="E67" s="419"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18"/>
      <c r="Z67" s="310">
        <f>'Customer Analysis'!$C$71</f>
        <v>8.2834737538786563E-2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1" t="s">
        <v>426</v>
      </c>
      <c r="C68" s="462"/>
      <c r="D68" s="416">
        <v>0.1</v>
      </c>
      <c r="E68" s="419" t="s">
        <v>309</v>
      </c>
      <c r="F68" s="146"/>
      <c r="G68" s="146"/>
      <c r="H68" s="146"/>
      <c r="I68" s="157"/>
      <c r="J68" s="433"/>
      <c r="K68" s="148"/>
      <c r="L68" s="159"/>
      <c r="M68" s="128"/>
      <c r="N68" s="270" t="s">
        <v>54</v>
      </c>
      <c r="O68" s="264"/>
      <c r="P68" s="288">
        <f>SUM(P63:P67)</f>
        <v>3505476.2846926562</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492" t="s">
        <v>445</v>
      </c>
      <c r="C70" s="493"/>
      <c r="D70" s="493"/>
      <c r="E70" s="494"/>
      <c r="F70" s="146"/>
      <c r="G70" s="146"/>
      <c r="H70" s="160"/>
      <c r="I70" s="146"/>
      <c r="J70" s="146"/>
      <c r="K70" s="148"/>
      <c r="L70" s="159"/>
      <c r="M70" s="128"/>
      <c r="N70" s="272" t="s">
        <v>69</v>
      </c>
      <c r="O70" s="266"/>
      <c r="P70" s="289">
        <f>P51-H25</f>
        <v>1.9900171965467339E-3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495"/>
      <c r="C71" s="496"/>
      <c r="D71" s="496"/>
      <c r="E71" s="497"/>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26" t="s">
        <v>442</v>
      </c>
      <c r="C72" s="427">
        <v>0.12</v>
      </c>
      <c r="D72" s="427">
        <v>0.15</v>
      </c>
      <c r="E72" s="427">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2" t="s">
        <v>443</v>
      </c>
      <c r="C73" s="421">
        <f>Aggregate_Project_Cost*C72</f>
        <v>420657.15416311874</v>
      </c>
      <c r="D73" s="421">
        <f>Aggregate_Project_Cost*D72</f>
        <v>525821.44270389841</v>
      </c>
      <c r="E73" s="422">
        <f>Aggregate_Project_Cost*E72</f>
        <v>630985.73124467814</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3" t="s">
        <v>444</v>
      </c>
      <c r="C74" s="424"/>
      <c r="D74" s="419" t="s">
        <v>311</v>
      </c>
      <c r="E74" s="425">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3"/>
      <c r="B78" s="443"/>
      <c r="C78" s="443"/>
      <c r="D78" s="443"/>
      <c r="E78" s="443"/>
      <c r="F78" s="443"/>
      <c r="G78" s="443"/>
      <c r="H78" s="443"/>
      <c r="I78" s="443"/>
      <c r="J78" s="443"/>
      <c r="K78" s="443"/>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4"/>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2"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38" t="s">
        <v>457</v>
      </c>
      <c r="C81" s="439" t="str">
        <f>"Solar System size is set to "&amp;TEXT(Size_of_System_in_W_DC,"0,0")&amp;" W(dc), with an AC/DC Conversion Ratio of "&amp;TEXT($E$30*100,0)&amp;"%."</f>
        <v>Solar System size is set to 2,000,000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38" t="s">
        <v>457</v>
      </c>
      <c r="C82" s="439" t="str">
        <f>"Solar Production is based upon a manual entry of "&amp;TEXT(Manual_Entry_Estimated_P50_Production,"0,0")&amp;" kWhs per kW(dc)."</f>
        <v>Solar Production is based upon a manual entry of 1,397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0" t="s">
        <v>457</v>
      </c>
      <c r="C83" s="441" t="str">
        <f>"P50 Solar Production for the 1st Year is estimated to be "&amp;TEXT(P50_Production_1st_Yr,"#,#")&amp;" kWhs."</f>
        <v>P50 Solar Production for the 1st Year is estimated to be 2,794,939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38" t="s">
        <v>457</v>
      </c>
      <c r="C84" s="441"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38" t="s">
        <v>457</v>
      </c>
      <c r="C85" s="441" t="str">
        <f>"Development Margins are set to $"&amp;TEXT(D21,"0.00")&amp;" per W(dc), for a total Development Margin of $"&amp;TEXT(ROUNDUP(E35,0),"0,0")&amp;"."</f>
        <v>Development Margins are set to $0.17 per W(dc), for a total Development Margin of $338,427.</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38" t="s">
        <v>457</v>
      </c>
      <c r="C86" s="441" t="str">
        <f>"Constsruction Costs are set to $"&amp;TEXT(D18,"0.00")&amp;" per W(dc), for a total build cost of $"&amp;TEXT(ROUNDUP(Aggregate_Construction_Cost,0),"0,0")&amp;", excluding Interconnection Costs and Development Costs."</f>
        <v>Constsruction Costs are set to $1.52 per W(dc), for a total build cost of $3,045,840,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38" t="s">
        <v>457</v>
      </c>
      <c r="C87" s="441"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38" t="s">
        <v>457</v>
      </c>
      <c r="C88" s="441"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38" t="s">
        <v>457</v>
      </c>
      <c r="C89" s="441"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38" t="s">
        <v>457</v>
      </c>
      <c r="C90" s="441"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38" t="s">
        <v>457</v>
      </c>
      <c r="C91" s="441"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38" t="s">
        <v>457</v>
      </c>
      <c r="C92" s="441"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38" t="s">
        <v>457</v>
      </c>
      <c r="C93" s="441"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38" t="s">
        <v>457</v>
      </c>
      <c r="C94" s="441"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38" t="s">
        <v>457</v>
      </c>
      <c r="C95" s="441"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38" t="s">
        <v>457</v>
      </c>
      <c r="C96" s="441"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38" t="s">
        <v>457</v>
      </c>
      <c r="C97" s="441"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$3,505,476. That termination value is $525,821.</v>
      </c>
      <c r="D97" s="154"/>
      <c r="E97" s="154"/>
      <c r="F97" s="154"/>
      <c r="G97" s="154"/>
      <c r="H97" s="433"/>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4"/>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35"/>
      <c r="C99" s="433"/>
      <c r="D99" s="433"/>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3"/>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3"/>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3"/>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3"/>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3"/>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3"/>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0"/>
      <c r="N130" s="1"/>
      <c r="O130"/>
      <c r="P130"/>
      <c r="Q130"/>
      <c r="R130"/>
      <c r="S130"/>
      <c r="T130" s="2"/>
      <c r="U130" s="2"/>
      <c r="V130" s="2"/>
      <c r="W130" s="2"/>
      <c r="X130" s="2"/>
      <c r="Y130" s="2"/>
      <c r="Z130" s="2"/>
      <c r="AA130" s="2"/>
      <c r="AB130" s="2"/>
      <c r="AC130" s="2"/>
    </row>
    <row r="131" spans="4:29" ht="14" x14ac:dyDescent="0.2">
      <c r="D131"/>
      <c r="E131"/>
      <c r="F131"/>
      <c r="G131"/>
      <c r="H131"/>
      <c r="I131"/>
      <c r="M131" s="411"/>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00" t="s">
        <v>470</v>
      </c>
      <c r="O140" s="500"/>
      <c r="P140" s="2"/>
      <c r="Q140" s="2"/>
      <c r="R140" s="2"/>
      <c r="S140" s="2"/>
      <c r="T140" s="2"/>
      <c r="U140" s="2"/>
      <c r="V140" s="2"/>
      <c r="W140" s="2"/>
      <c r="X140" s="2"/>
      <c r="Y140" s="2"/>
      <c r="Z140" s="2"/>
      <c r="AA140" s="2"/>
      <c r="AB140" s="2"/>
    </row>
    <row r="141" spans="4:29" ht="16" x14ac:dyDescent="0.2">
      <c r="H141"/>
      <c r="I141"/>
      <c r="J141" s="501" t="s">
        <v>199</v>
      </c>
      <c r="K141" s="437" t="s">
        <v>314</v>
      </c>
      <c r="L141"/>
      <c r="M141"/>
      <c r="N141" s="500"/>
      <c r="O141" s="500"/>
      <c r="P141" s="2"/>
      <c r="Q141" s="2"/>
      <c r="R141" s="2"/>
      <c r="S141" s="2"/>
      <c r="T141" s="2"/>
      <c r="U141" s="2"/>
      <c r="V141" s="2"/>
      <c r="W141" s="2"/>
      <c r="X141" s="2"/>
      <c r="Y141" s="2"/>
      <c r="Z141" s="2"/>
      <c r="AA141" s="2"/>
    </row>
    <row r="142" spans="4:29" ht="16" x14ac:dyDescent="0.2">
      <c r="H142"/>
      <c r="I142"/>
      <c r="J142" s="502"/>
      <c r="K142" s="122" t="s">
        <v>245</v>
      </c>
      <c r="M142" s="14"/>
      <c r="N142" s="500"/>
      <c r="O142" s="500"/>
      <c r="P142" s="2"/>
      <c r="Q142" s="2"/>
      <c r="R142" s="2"/>
      <c r="S142" s="2"/>
      <c r="T142" s="2"/>
      <c r="U142" s="2"/>
      <c r="V142" s="2"/>
      <c r="W142" s="2"/>
      <c r="X142" s="2"/>
      <c r="Y142" s="2"/>
      <c r="Z142" s="2"/>
      <c r="AA142" s="2"/>
    </row>
    <row r="143" spans="4:29" ht="15" thickBot="1" x14ac:dyDescent="0.25">
      <c r="H143"/>
      <c r="I143"/>
      <c r="J143" s="503"/>
      <c r="K143" s="172" t="s">
        <v>219</v>
      </c>
      <c r="M143"/>
      <c r="N143" s="500"/>
      <c r="O143" s="500"/>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488"/>
      <c r="L145" s="489"/>
      <c r="P145" s="2"/>
      <c r="Q145" s="2"/>
      <c r="R145" s="2"/>
      <c r="S145" s="2"/>
      <c r="T145" s="2"/>
      <c r="U145" s="2"/>
      <c r="V145" s="2"/>
      <c r="W145" s="2"/>
      <c r="X145" s="2"/>
      <c r="Y145" s="2"/>
      <c r="Z145" s="2"/>
    </row>
    <row r="146" spans="1:27" ht="17" thickBot="1" x14ac:dyDescent="0.25">
      <c r="H146"/>
      <c r="I146"/>
      <c r="J146" s="176" t="s">
        <v>216</v>
      </c>
      <c r="K146" s="490"/>
      <c r="L146" s="491"/>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9"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disablePrompts="1"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84F4335B-2FA9-D148-810C-3B8AEAB4CC74}">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E47 D19:D20 D22"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Normal="100" workbookViewId="0">
      <selection activeCell="C105" sqref="C105"/>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55" t="s">
        <v>0</v>
      </c>
      <c r="P4" s="556"/>
      <c r="Q4" s="556"/>
      <c r="R4" s="556"/>
      <c r="S4" s="556"/>
      <c r="T4" s="556"/>
      <c r="U4" s="556"/>
      <c r="V4" s="556"/>
      <c r="W4" s="556"/>
      <c r="X4" s="556"/>
      <c r="Y4" s="556"/>
      <c r="Z4" s="556"/>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57" t="s">
        <v>134</v>
      </c>
      <c r="P5" s="558"/>
      <c r="Q5" s="558"/>
      <c r="R5" s="558"/>
      <c r="S5" s="558"/>
      <c r="T5" s="558"/>
      <c r="U5" s="558"/>
      <c r="V5" s="558"/>
      <c r="W5" s="558"/>
      <c r="X5" s="558"/>
      <c r="Y5" s="558"/>
      <c r="Z5" s="559"/>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0"/>
      <c r="P6" s="561"/>
      <c r="Q6" s="561"/>
      <c r="R6" s="561"/>
      <c r="S6" s="561"/>
      <c r="T6" s="561"/>
      <c r="U6" s="561"/>
      <c r="V6" s="561"/>
      <c r="W6" s="561"/>
      <c r="X6" s="561"/>
      <c r="Y6" s="561"/>
      <c r="Z6" s="562"/>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5" t="s">
        <v>64</v>
      </c>
      <c r="I7" s="475"/>
      <c r="J7" s="475"/>
      <c r="K7" s="475"/>
      <c r="L7" s="475"/>
      <c r="N7" s="62"/>
      <c r="O7" s="560"/>
      <c r="P7" s="561"/>
      <c r="Q7" s="561"/>
      <c r="R7" s="561"/>
      <c r="S7" s="561"/>
      <c r="T7" s="561"/>
      <c r="U7" s="561"/>
      <c r="V7" s="561"/>
      <c r="W7" s="561"/>
      <c r="X7" s="561"/>
      <c r="Y7" s="561"/>
      <c r="Z7" s="562"/>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5"/>
      <c r="I8" s="475"/>
      <c r="J8" s="475"/>
      <c r="K8" s="475"/>
      <c r="L8" s="475"/>
      <c r="M8" s="3"/>
      <c r="O8" s="560"/>
      <c r="P8" s="561"/>
      <c r="Q8" s="561"/>
      <c r="R8" s="561"/>
      <c r="S8" s="561"/>
      <c r="T8" s="561"/>
      <c r="U8" s="561"/>
      <c r="V8" s="561"/>
      <c r="W8" s="561"/>
      <c r="X8" s="561"/>
      <c r="Y8" s="561"/>
      <c r="Z8" s="562"/>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0"/>
      <c r="P9" s="561"/>
      <c r="Q9" s="561"/>
      <c r="R9" s="561"/>
      <c r="S9" s="561"/>
      <c r="T9" s="561"/>
      <c r="U9" s="561"/>
      <c r="V9" s="561"/>
      <c r="W9" s="561"/>
      <c r="X9" s="561"/>
      <c r="Y9" s="561"/>
      <c r="Z9" s="562"/>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525" t="s">
        <v>214</v>
      </c>
      <c r="I10" s="526"/>
      <c r="J10" s="573"/>
      <c r="K10" s="574"/>
      <c r="L10" s="3"/>
      <c r="M10" s="3"/>
      <c r="O10" s="560"/>
      <c r="P10" s="561"/>
      <c r="Q10" s="561"/>
      <c r="R10" s="561"/>
      <c r="S10" s="561"/>
      <c r="T10" s="561"/>
      <c r="U10" s="561"/>
      <c r="V10" s="561"/>
      <c r="W10" s="561"/>
      <c r="X10" s="561"/>
      <c r="Y10" s="561"/>
      <c r="Z10" s="562"/>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86" t="s">
        <v>216</v>
      </c>
      <c r="I11" s="587"/>
      <c r="J11" s="575"/>
      <c r="K11" s="576"/>
      <c r="L11" s="3"/>
      <c r="O11" s="563"/>
      <c r="P11" s="564"/>
      <c r="Q11" s="564"/>
      <c r="R11" s="564"/>
      <c r="S11" s="564"/>
      <c r="T11" s="564"/>
      <c r="U11" s="564"/>
      <c r="V11" s="564"/>
      <c r="W11" s="564"/>
      <c r="X11" s="564"/>
      <c r="Y11" s="564"/>
      <c r="Z11" s="565"/>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0" t="s">
        <v>284</v>
      </c>
      <c r="C16" s="571"/>
      <c r="D16" s="571"/>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28" t="s">
        <v>32</v>
      </c>
      <c r="C17" s="329">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0" t="s">
        <v>371</v>
      </c>
      <c r="C18" s="192"/>
      <c r="D18" s="331"/>
      <c r="E18" s="331"/>
      <c r="F18" s="331"/>
      <c r="G18" s="331"/>
      <c r="H18" s="331"/>
      <c r="I18" s="331"/>
      <c r="J18" s="331"/>
      <c r="K18" s="331"/>
      <c r="L18" s="331"/>
      <c r="M18" s="331"/>
      <c r="N18" s="331"/>
      <c r="O18" s="331"/>
      <c r="P18" s="331"/>
      <c r="Q18" s="331"/>
      <c r="R18" s="331"/>
      <c r="S18" s="331"/>
      <c r="T18" s="331"/>
      <c r="U18" s="331"/>
      <c r="V18" s="331"/>
      <c r="W18" s="331"/>
      <c r="X18" s="331"/>
      <c r="Y18" s="331"/>
      <c r="Z18" s="331"/>
      <c r="AA18" s="331"/>
      <c r="AB18" s="331"/>
      <c r="AC18" s="331"/>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3">
        <f>IF(AND(SRECs_Applicable?="Yes",D17&lt;=SREC_Term_Yrs),SREC_Price,0)</f>
        <v>0</v>
      </c>
      <c r="E20" s="323">
        <f t="shared" ref="E20:V20" si="4">IF(AND(SRECs_Applicable?="Yes",E17&lt;=SREC_Term_Yrs),D20,0)*(1+SREC_Increase_Decrease)</f>
        <v>0</v>
      </c>
      <c r="F20" s="323">
        <f t="shared" si="4"/>
        <v>0</v>
      </c>
      <c r="G20" s="323">
        <f t="shared" si="4"/>
        <v>0</v>
      </c>
      <c r="H20" s="323">
        <f t="shared" si="4"/>
        <v>0</v>
      </c>
      <c r="I20" s="323">
        <f t="shared" si="4"/>
        <v>0</v>
      </c>
      <c r="J20" s="323">
        <f t="shared" si="4"/>
        <v>0</v>
      </c>
      <c r="K20" s="323">
        <f t="shared" si="4"/>
        <v>0</v>
      </c>
      <c r="L20" s="323">
        <f t="shared" si="4"/>
        <v>0</v>
      </c>
      <c r="M20" s="323">
        <f t="shared" si="4"/>
        <v>0</v>
      </c>
      <c r="N20" s="323">
        <f t="shared" si="4"/>
        <v>0</v>
      </c>
      <c r="O20" s="323">
        <f t="shared" si="4"/>
        <v>0</v>
      </c>
      <c r="P20" s="323">
        <f t="shared" si="4"/>
        <v>0</v>
      </c>
      <c r="Q20" s="323">
        <f t="shared" si="4"/>
        <v>0</v>
      </c>
      <c r="R20" s="323">
        <f t="shared" si="4"/>
        <v>0</v>
      </c>
      <c r="S20" s="323">
        <f t="shared" si="4"/>
        <v>0</v>
      </c>
      <c r="T20" s="323">
        <f t="shared" si="4"/>
        <v>0</v>
      </c>
      <c r="U20" s="323">
        <f t="shared" si="4"/>
        <v>0</v>
      </c>
      <c r="V20" s="323">
        <f t="shared" si="4"/>
        <v>0</v>
      </c>
      <c r="W20" s="323">
        <f t="shared" ref="W20:AB20" si="5">IF(AND(SRECs_Applicable?="Yes",W17&lt;=SREC_Term_Yrs),V20,0)*(1+SREC_Increase_Decrease)</f>
        <v>0</v>
      </c>
      <c r="X20" s="323">
        <f t="shared" si="5"/>
        <v>0</v>
      </c>
      <c r="Y20" s="323">
        <f t="shared" si="5"/>
        <v>0</v>
      </c>
      <c r="Z20" s="323">
        <f t="shared" si="5"/>
        <v>0</v>
      </c>
      <c r="AA20" s="323">
        <f t="shared" si="5"/>
        <v>0</v>
      </c>
      <c r="AB20" s="323">
        <f t="shared" si="5"/>
        <v>0</v>
      </c>
      <c r="AC20" s="323"/>
    </row>
    <row r="21" spans="1:29" ht="14" x14ac:dyDescent="0.2">
      <c r="A21" s="3"/>
      <c r="B21" s="210" t="s">
        <v>241</v>
      </c>
      <c r="C21" s="229"/>
      <c r="D21" s="250">
        <f>P50_Production_1st_Yr</f>
        <v>2794939.2600000035</v>
      </c>
      <c r="E21" s="250">
        <f t="shared" ref="E21:V21" si="6">D21*(1-Panel_Degradation_Rate)</f>
        <v>2780964.5637000035</v>
      </c>
      <c r="F21" s="250">
        <f t="shared" si="6"/>
        <v>2767059.7408815036</v>
      </c>
      <c r="G21" s="250">
        <f t="shared" si="6"/>
        <v>2753224.4421770959</v>
      </c>
      <c r="H21" s="250">
        <f t="shared" si="6"/>
        <v>2739458.3199662105</v>
      </c>
      <c r="I21" s="250">
        <f t="shared" si="6"/>
        <v>2725761.0283663794</v>
      </c>
      <c r="J21" s="250">
        <f t="shared" si="6"/>
        <v>2712132.2232245477</v>
      </c>
      <c r="K21" s="250">
        <f t="shared" si="6"/>
        <v>2698571.562108425</v>
      </c>
      <c r="L21" s="250">
        <f t="shared" si="6"/>
        <v>2685078.704297883</v>
      </c>
      <c r="M21" s="250">
        <f t="shared" si="6"/>
        <v>2671653.3107763934</v>
      </c>
      <c r="N21" s="250">
        <f t="shared" si="6"/>
        <v>2658295.0442225114</v>
      </c>
      <c r="O21" s="250">
        <f t="shared" si="6"/>
        <v>2645003.569001399</v>
      </c>
      <c r="P21" s="250">
        <f t="shared" si="6"/>
        <v>2631778.5511563919</v>
      </c>
      <c r="Q21" s="250">
        <f t="shared" si="6"/>
        <v>2618619.6584006101</v>
      </c>
      <c r="R21" s="250">
        <f t="shared" si="6"/>
        <v>2605526.5601086072</v>
      </c>
      <c r="S21" s="250">
        <f t="shared" si="6"/>
        <v>2592498.927308064</v>
      </c>
      <c r="T21" s="250">
        <f t="shared" si="6"/>
        <v>2579536.4326715237</v>
      </c>
      <c r="U21" s="250">
        <f t="shared" si="6"/>
        <v>2566638.7505081659</v>
      </c>
      <c r="V21" s="250">
        <f t="shared" si="6"/>
        <v>2553805.5567556252</v>
      </c>
      <c r="W21" s="250">
        <f t="shared" ref="W21:AB21" si="7">V21*(1-Panel_Degradation_Rate)</f>
        <v>2541036.5289718471</v>
      </c>
      <c r="X21" s="250">
        <f t="shared" si="7"/>
        <v>2528331.3463269877</v>
      </c>
      <c r="Y21" s="250">
        <f t="shared" si="7"/>
        <v>2515689.6895953529</v>
      </c>
      <c r="Z21" s="250">
        <f t="shared" si="7"/>
        <v>2503111.2411473761</v>
      </c>
      <c r="AA21" s="250">
        <f t="shared" si="7"/>
        <v>2490595.6849416392</v>
      </c>
      <c r="AB21" s="250">
        <f t="shared" si="7"/>
        <v>2478142.7065169308</v>
      </c>
      <c r="AC21" s="250"/>
    </row>
    <row r="22" spans="1:29" ht="14" x14ac:dyDescent="0.2">
      <c r="A22" s="3"/>
      <c r="B22" s="210" t="s">
        <v>455</v>
      </c>
      <c r="C22" s="229"/>
      <c r="D22" s="323">
        <f>PTC_Starting_Rate_Dollars_per_MWh</f>
        <v>26</v>
      </c>
      <c r="E22" s="323">
        <f t="shared" ref="E22:AB22" si="8">IF(E17&lt;=PTC_Term_in_Years,D22*(1+PTC_Annual_Inflator_Rate_Percent),0)</f>
        <v>26.52</v>
      </c>
      <c r="F22" s="323">
        <f t="shared" si="8"/>
        <v>27.0504</v>
      </c>
      <c r="G22" s="323">
        <f t="shared" si="8"/>
        <v>27.591408000000001</v>
      </c>
      <c r="H22" s="323">
        <f t="shared" si="8"/>
        <v>28.143236160000001</v>
      </c>
      <c r="I22" s="323">
        <f t="shared" si="8"/>
        <v>28.706100883200001</v>
      </c>
      <c r="J22" s="323">
        <f t="shared" si="8"/>
        <v>29.280222900864</v>
      </c>
      <c r="K22" s="323">
        <f t="shared" si="8"/>
        <v>29.86582735888128</v>
      </c>
      <c r="L22" s="323">
        <f t="shared" si="8"/>
        <v>30.463143906058907</v>
      </c>
      <c r="M22" s="323">
        <f t="shared" si="8"/>
        <v>31.072406784180085</v>
      </c>
      <c r="N22" s="323">
        <f t="shared" si="8"/>
        <v>0</v>
      </c>
      <c r="O22" s="323">
        <f t="shared" si="8"/>
        <v>0</v>
      </c>
      <c r="P22" s="323">
        <f t="shared" si="8"/>
        <v>0</v>
      </c>
      <c r="Q22" s="323">
        <f t="shared" si="8"/>
        <v>0</v>
      </c>
      <c r="R22" s="323">
        <f t="shared" si="8"/>
        <v>0</v>
      </c>
      <c r="S22" s="323">
        <f t="shared" si="8"/>
        <v>0</v>
      </c>
      <c r="T22" s="323">
        <f t="shared" si="8"/>
        <v>0</v>
      </c>
      <c r="U22" s="323">
        <f t="shared" si="8"/>
        <v>0</v>
      </c>
      <c r="V22" s="323">
        <f t="shared" si="8"/>
        <v>0</v>
      </c>
      <c r="W22" s="323">
        <f t="shared" si="8"/>
        <v>0</v>
      </c>
      <c r="X22" s="323">
        <f t="shared" si="8"/>
        <v>0</v>
      </c>
      <c r="Y22" s="323">
        <f t="shared" si="8"/>
        <v>0</v>
      </c>
      <c r="Z22" s="323">
        <f t="shared" si="8"/>
        <v>0</v>
      </c>
      <c r="AA22" s="323">
        <f t="shared" si="8"/>
        <v>0</v>
      </c>
      <c r="AB22" s="323">
        <f t="shared" si="8"/>
        <v>0</v>
      </c>
      <c r="AC22" s="250"/>
    </row>
    <row r="23" spans="1:29" ht="14" x14ac:dyDescent="0.2">
      <c r="A23" s="3"/>
      <c r="B23" s="210" t="s">
        <v>252</v>
      </c>
      <c r="C23" s="229"/>
      <c r="D23" s="250">
        <f t="shared" ref="D23:AB23" si="9">IF(D17&lt;=SREC_Term_Yrs,D21/SREC_Size_kWh_per_SREC,0)</f>
        <v>2794.9392600000033</v>
      </c>
      <c r="E23" s="250">
        <f t="shared" si="9"/>
        <v>2780.9645637000035</v>
      </c>
      <c r="F23" s="250">
        <f t="shared" si="9"/>
        <v>2767.0597408815038</v>
      </c>
      <c r="G23" s="250">
        <f t="shared" si="9"/>
        <v>2753.2244421770961</v>
      </c>
      <c r="H23" s="250">
        <f t="shared" si="9"/>
        <v>2739.4583199662106</v>
      </c>
      <c r="I23" s="250">
        <f t="shared" si="9"/>
        <v>2725.7610283663794</v>
      </c>
      <c r="J23" s="250">
        <f t="shared" si="9"/>
        <v>2712.1322232245475</v>
      </c>
      <c r="K23" s="250">
        <f t="shared" si="9"/>
        <v>2698.571562108425</v>
      </c>
      <c r="L23" s="250">
        <f t="shared" si="9"/>
        <v>2685.0787042978832</v>
      </c>
      <c r="M23" s="250">
        <f t="shared" si="9"/>
        <v>2671.6533107763935</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204118.83063034434</v>
      </c>
      <c r="E26" s="228">
        <f t="shared" si="10"/>
        <v>208175.69238912241</v>
      </c>
      <c r="F26" s="228">
        <f t="shared" si="10"/>
        <v>212313.18427535621</v>
      </c>
      <c r="G26" s="228">
        <f t="shared" si="10"/>
        <v>216532.90881282889</v>
      </c>
      <c r="H26" s="228">
        <f t="shared" si="10"/>
        <v>220836.50037548385</v>
      </c>
      <c r="I26" s="228">
        <f t="shared" si="10"/>
        <v>225225.62582044658</v>
      </c>
      <c r="J26" s="228">
        <f t="shared" si="10"/>
        <v>229701.98513362795</v>
      </c>
      <c r="K26" s="228">
        <f t="shared" si="10"/>
        <v>234267.31208815877</v>
      </c>
      <c r="L26" s="228">
        <f t="shared" si="10"/>
        <v>238923.37491591091</v>
      </c>
      <c r="M26" s="228">
        <f t="shared" si="10"/>
        <v>243671.97699236459</v>
      </c>
      <c r="N26" s="228">
        <f t="shared" si="10"/>
        <v>248514.95753508783</v>
      </c>
      <c r="O26" s="228">
        <f t="shared" si="10"/>
        <v>253454.1923160977</v>
      </c>
      <c r="P26" s="228">
        <f t="shared" si="10"/>
        <v>258491.59438838009</v>
      </c>
      <c r="Q26" s="228">
        <f t="shared" si="10"/>
        <v>263629.11482684914</v>
      </c>
      <c r="R26" s="228">
        <f t="shared" si="10"/>
        <v>268868.74348403275</v>
      </c>
      <c r="S26" s="228">
        <f t="shared" si="10"/>
        <v>274212.50976077787</v>
      </c>
      <c r="T26" s="228">
        <f t="shared" si="10"/>
        <v>279662.48339227331</v>
      </c>
      <c r="U26" s="228">
        <f t="shared" si="10"/>
        <v>285220.77524969471</v>
      </c>
      <c r="V26" s="228">
        <f t="shared" si="10"/>
        <v>290889.5381577824</v>
      </c>
      <c r="W26" s="228">
        <f t="shared" si="10"/>
        <v>296670.9677286683</v>
      </c>
      <c r="X26" s="228">
        <f t="shared" si="10"/>
        <v>302567.3032122755</v>
      </c>
      <c r="Y26" s="228">
        <f t="shared" si="10"/>
        <v>308580.82836361945</v>
      </c>
      <c r="Z26" s="228">
        <f t="shared" si="10"/>
        <v>314713.87232734635</v>
      </c>
      <c r="AA26" s="228">
        <f t="shared" si="10"/>
        <v>320968.8105398523</v>
      </c>
      <c r="AB26" s="228">
        <f t="shared" si="10"/>
        <v>327348.06564933184</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204118.83063034434</v>
      </c>
      <c r="E28" s="183">
        <f t="shared" ref="E28:V28" si="12">SUM(E26:E27)</f>
        <v>208175.69238912241</v>
      </c>
      <c r="F28" s="183">
        <f t="shared" si="12"/>
        <v>212313.18427535621</v>
      </c>
      <c r="G28" s="183">
        <f t="shared" si="12"/>
        <v>216532.90881282889</v>
      </c>
      <c r="H28" s="183">
        <f t="shared" si="12"/>
        <v>220836.50037548385</v>
      </c>
      <c r="I28" s="183">
        <f t="shared" si="12"/>
        <v>225225.62582044658</v>
      </c>
      <c r="J28" s="183">
        <f t="shared" si="12"/>
        <v>229701.98513362795</v>
      </c>
      <c r="K28" s="183">
        <f t="shared" si="12"/>
        <v>234267.31208815877</v>
      </c>
      <c r="L28" s="183">
        <f t="shared" si="12"/>
        <v>238923.37491591091</v>
      </c>
      <c r="M28" s="183">
        <f t="shared" si="12"/>
        <v>243671.97699236459</v>
      </c>
      <c r="N28" s="183">
        <f t="shared" si="12"/>
        <v>248514.95753508783</v>
      </c>
      <c r="O28" s="183">
        <f t="shared" si="12"/>
        <v>253454.1923160977</v>
      </c>
      <c r="P28" s="183">
        <f t="shared" si="12"/>
        <v>258491.59438838009</v>
      </c>
      <c r="Q28" s="183">
        <f t="shared" si="12"/>
        <v>263629.11482684914</v>
      </c>
      <c r="R28" s="183">
        <f t="shared" si="12"/>
        <v>268868.74348403275</v>
      </c>
      <c r="S28" s="183">
        <f t="shared" si="12"/>
        <v>274212.50976077787</v>
      </c>
      <c r="T28" s="183">
        <f t="shared" si="12"/>
        <v>279662.48339227331</v>
      </c>
      <c r="U28" s="183">
        <f t="shared" si="12"/>
        <v>285220.77524969471</v>
      </c>
      <c r="V28" s="183">
        <f t="shared" si="12"/>
        <v>290889.5381577824</v>
      </c>
      <c r="W28" s="183">
        <f t="shared" ref="W28:AB28" si="13">SUM(W26:W27)</f>
        <v>296670.9677286683</v>
      </c>
      <c r="X28" s="183">
        <f t="shared" si="13"/>
        <v>302567.3032122755</v>
      </c>
      <c r="Y28" s="183">
        <f t="shared" si="13"/>
        <v>308580.82836361945</v>
      </c>
      <c r="Z28" s="183">
        <f t="shared" si="13"/>
        <v>314713.87232734635</v>
      </c>
      <c r="AA28" s="183">
        <f t="shared" si="13"/>
        <v>320968.8105398523</v>
      </c>
      <c r="AB28" s="183">
        <f t="shared" si="13"/>
        <v>327348.06564933184</v>
      </c>
      <c r="AC28" s="183"/>
    </row>
    <row r="29" spans="1:29" ht="15" thickBot="1" x14ac:dyDescent="0.25">
      <c r="A29" s="3"/>
      <c r="B29" s="216" t="s">
        <v>197</v>
      </c>
      <c r="C29" s="253"/>
      <c r="D29" s="247">
        <f>State_Sales_Tax*Unstructured!D28</f>
        <v>14288.318144124105</v>
      </c>
      <c r="E29" s="247">
        <f>State_Sales_Tax*Unstructured!E28</f>
        <v>14572.29846723857</v>
      </c>
      <c r="F29" s="247">
        <f>State_Sales_Tax*Unstructured!F28</f>
        <v>14861.922899274936</v>
      </c>
      <c r="G29" s="247">
        <f>State_Sales_Tax*Unstructured!G28</f>
        <v>15157.303616898023</v>
      </c>
      <c r="H29" s="247">
        <f>State_Sales_Tax*Unstructured!H28</f>
        <v>15458.555026283871</v>
      </c>
      <c r="I29" s="247">
        <f>State_Sales_Tax*Unstructured!I28</f>
        <v>15765.793807431262</v>
      </c>
      <c r="J29" s="247">
        <f>State_Sales_Tax*Unstructured!J28</f>
        <v>16079.138959353959</v>
      </c>
      <c r="K29" s="247">
        <f>State_Sales_Tax*Unstructured!K28</f>
        <v>16398.711846171114</v>
      </c>
      <c r="L29" s="247">
        <f>State_Sales_Tax*Unstructured!L28</f>
        <v>16724.636244113764</v>
      </c>
      <c r="M29" s="247">
        <f>State_Sales_Tax*Unstructured!M28</f>
        <v>17057.038389465524</v>
      </c>
      <c r="N29" s="247">
        <f>State_Sales_Tax*Unstructured!N28</f>
        <v>17396.047027456148</v>
      </c>
      <c r="O29" s="247">
        <f>State_Sales_Tax*Unstructured!O28</f>
        <v>17741.79346212684</v>
      </c>
      <c r="P29" s="247">
        <f>State_Sales_Tax*Unstructured!P28</f>
        <v>18094.411607186608</v>
      </c>
      <c r="Q29" s="247">
        <f>State_Sales_Tax*Unstructured!Q28</f>
        <v>18454.03803787944</v>
      </c>
      <c r="R29" s="247">
        <f>State_Sales_Tax*Unstructured!R28</f>
        <v>18820.812043882295</v>
      </c>
      <c r="S29" s="247">
        <f>State_Sales_Tax*Unstructured!S28</f>
        <v>19194.875683254453</v>
      </c>
      <c r="T29" s="247">
        <f>State_Sales_Tax*Unstructured!T28</f>
        <v>19576.373837459134</v>
      </c>
      <c r="U29" s="247">
        <f>State_Sales_Tax*Unstructured!U28</f>
        <v>19965.454267478632</v>
      </c>
      <c r="V29" s="247">
        <f>State_Sales_Tax*Unstructured!V28</f>
        <v>20362.26767104477</v>
      </c>
      <c r="W29" s="247">
        <f>State_Sales_Tax*Unstructured!W28</f>
        <v>20766.967741006782</v>
      </c>
      <c r="X29" s="247">
        <f>State_Sales_Tax*Unstructured!X28</f>
        <v>21179.711224859286</v>
      </c>
      <c r="Y29" s="247">
        <f>State_Sales_Tax*Unstructured!Y28</f>
        <v>21600.657985453363</v>
      </c>
      <c r="Z29" s="247">
        <f>State_Sales_Tax*Unstructured!Z28</f>
        <v>22029.971062914246</v>
      </c>
      <c r="AA29" s="247">
        <f>State_Sales_Tax*Unstructured!AA28</f>
        <v>22467.816737789664</v>
      </c>
      <c r="AB29" s="247">
        <f>State_Sales_Tax*Unstructured!AB28</f>
        <v>22914.364595453229</v>
      </c>
      <c r="AC29" s="247"/>
    </row>
    <row r="30" spans="1:29" ht="15" thickTop="1" x14ac:dyDescent="0.2">
      <c r="A30" s="3"/>
      <c r="B30" s="233" t="s">
        <v>143</v>
      </c>
      <c r="C30" s="253"/>
      <c r="D30" s="254">
        <f>SUM(D28-D29)</f>
        <v>189830.51248622022</v>
      </c>
      <c r="E30" s="254">
        <f t="shared" ref="E30:V30" si="14">SUM(E28-E29)</f>
        <v>193603.39392188383</v>
      </c>
      <c r="F30" s="254">
        <f t="shared" si="14"/>
        <v>197451.26137608127</v>
      </c>
      <c r="G30" s="254">
        <f t="shared" si="14"/>
        <v>201375.60519593087</v>
      </c>
      <c r="H30" s="254">
        <f t="shared" si="14"/>
        <v>205377.94534919999</v>
      </c>
      <c r="I30" s="254">
        <f t="shared" si="14"/>
        <v>209459.83201301532</v>
      </c>
      <c r="J30" s="254">
        <f t="shared" si="14"/>
        <v>213622.84617427399</v>
      </c>
      <c r="K30" s="254">
        <f t="shared" si="14"/>
        <v>217868.60024198765</v>
      </c>
      <c r="L30" s="254">
        <f t="shared" si="14"/>
        <v>222198.73867179715</v>
      </c>
      <c r="M30" s="254">
        <f t="shared" si="14"/>
        <v>226614.93860289908</v>
      </c>
      <c r="N30" s="254">
        <f t="shared" si="14"/>
        <v>231118.91050763169</v>
      </c>
      <c r="O30" s="254">
        <f t="shared" si="14"/>
        <v>235712.39885397087</v>
      </c>
      <c r="P30" s="254">
        <f t="shared" si="14"/>
        <v>240397.18278119349</v>
      </c>
      <c r="Q30" s="254">
        <f t="shared" si="14"/>
        <v>245175.07678896969</v>
      </c>
      <c r="R30" s="254">
        <f t="shared" si="14"/>
        <v>250047.93144015045</v>
      </c>
      <c r="S30" s="254">
        <f t="shared" si="14"/>
        <v>255017.63407752343</v>
      </c>
      <c r="T30" s="254">
        <f t="shared" si="14"/>
        <v>260086.10955481417</v>
      </c>
      <c r="U30" s="254">
        <f t="shared" si="14"/>
        <v>265255.3209822161</v>
      </c>
      <c r="V30" s="254">
        <f t="shared" si="14"/>
        <v>270527.2704867376</v>
      </c>
      <c r="W30" s="254">
        <f t="shared" ref="W30:AB30" si="15">SUM(W28-W29)</f>
        <v>275903.99998766149</v>
      </c>
      <c r="X30" s="254">
        <f t="shared" si="15"/>
        <v>281387.59198741621</v>
      </c>
      <c r="Y30" s="254">
        <f t="shared" si="15"/>
        <v>286980.17037816608</v>
      </c>
      <c r="Z30" s="254">
        <f t="shared" si="15"/>
        <v>292683.90126443212</v>
      </c>
      <c r="AA30" s="254">
        <f t="shared" si="15"/>
        <v>298500.99380206264</v>
      </c>
      <c r="AB30" s="254">
        <f t="shared" si="15"/>
        <v>304433.70105387858</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30420.000000000004</v>
      </c>
      <c r="E33" s="228">
        <f t="shared" ref="E33:AB33" si="16">Size_of_System_in_W_DC*(OandM_Cost_per_W_DC*((1+OandM_Cost_Escalator)^(E17-1)))</f>
        <v>31028.400000000005</v>
      </c>
      <c r="F33" s="228">
        <f t="shared" si="16"/>
        <v>31648.968000000001</v>
      </c>
      <c r="G33" s="228">
        <f t="shared" si="16"/>
        <v>32281.947360000002</v>
      </c>
      <c r="H33" s="228">
        <f t="shared" si="16"/>
        <v>32927.586307200007</v>
      </c>
      <c r="I33" s="228">
        <f t="shared" si="16"/>
        <v>33586.138033344003</v>
      </c>
      <c r="J33" s="228">
        <f t="shared" si="16"/>
        <v>34257.860794010885</v>
      </c>
      <c r="K33" s="228">
        <f t="shared" si="16"/>
        <v>34943.018009891093</v>
      </c>
      <c r="L33" s="228">
        <f t="shared" si="16"/>
        <v>35641.878370088918</v>
      </c>
      <c r="M33" s="228">
        <f t="shared" si="16"/>
        <v>36354.715937490699</v>
      </c>
      <c r="N33" s="228">
        <f t="shared" si="16"/>
        <v>37081.810256240511</v>
      </c>
      <c r="O33" s="228">
        <f t="shared" si="16"/>
        <v>37823.446461365318</v>
      </c>
      <c r="P33" s="228">
        <f t="shared" si="16"/>
        <v>38579.915390592629</v>
      </c>
      <c r="Q33" s="228">
        <f t="shared" si="16"/>
        <v>39351.51369840448</v>
      </c>
      <c r="R33" s="228">
        <f t="shared" si="16"/>
        <v>40138.543972372579</v>
      </c>
      <c r="S33" s="228">
        <f t="shared" si="16"/>
        <v>40941.314851820018</v>
      </c>
      <c r="T33" s="228">
        <f t="shared" si="16"/>
        <v>41760.141148856419</v>
      </c>
      <c r="U33" s="228">
        <f t="shared" si="16"/>
        <v>42595.34397183355</v>
      </c>
      <c r="V33" s="228">
        <f t="shared" si="16"/>
        <v>43447.250851270219</v>
      </c>
      <c r="W33" s="228">
        <f t="shared" si="16"/>
        <v>44316.195868295625</v>
      </c>
      <c r="X33" s="228">
        <f t="shared" si="16"/>
        <v>45202.519785661541</v>
      </c>
      <c r="Y33" s="228">
        <f t="shared" si="16"/>
        <v>46106.570181374766</v>
      </c>
      <c r="Z33" s="228">
        <f t="shared" si="16"/>
        <v>47028.701585002265</v>
      </c>
      <c r="AA33" s="228">
        <f t="shared" si="16"/>
        <v>47969.275616702296</v>
      </c>
      <c r="AB33" s="228">
        <f t="shared" si="16"/>
        <v>48928.661129036351</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7700</v>
      </c>
      <c r="E37" s="247">
        <f t="shared" ref="E37:AB37" si="21">Size_of_System_in_W_DC*((1+Insurance_Cost_Escalator)^(E17-1)*Insurance_Cost_per_Watt_DC)</f>
        <v>7854</v>
      </c>
      <c r="F37" s="247">
        <f t="shared" si="21"/>
        <v>8011.08</v>
      </c>
      <c r="G37" s="247">
        <f t="shared" si="21"/>
        <v>8171.3015999999998</v>
      </c>
      <c r="H37" s="247">
        <f t="shared" si="21"/>
        <v>8334.7276320000001</v>
      </c>
      <c r="I37" s="247">
        <f t="shared" si="21"/>
        <v>8501.4221846400014</v>
      </c>
      <c r="J37" s="247">
        <f t="shared" si="21"/>
        <v>8671.450628332801</v>
      </c>
      <c r="K37" s="247">
        <f t="shared" si="21"/>
        <v>8844.8796408994549</v>
      </c>
      <c r="L37" s="247">
        <f t="shared" si="21"/>
        <v>9021.7772337174447</v>
      </c>
      <c r="M37" s="247">
        <f t="shared" si="21"/>
        <v>9202.2127783917931</v>
      </c>
      <c r="N37" s="247">
        <f t="shared" si="21"/>
        <v>9386.2570339596314</v>
      </c>
      <c r="O37" s="247">
        <f t="shared" si="21"/>
        <v>9573.9821746388207</v>
      </c>
      <c r="P37" s="247">
        <f t="shared" si="21"/>
        <v>9765.4618181315982</v>
      </c>
      <c r="Q37" s="247">
        <f t="shared" si="21"/>
        <v>9960.7710544942311</v>
      </c>
      <c r="R37" s="247">
        <f t="shared" si="21"/>
        <v>10159.986475584117</v>
      </c>
      <c r="S37" s="247">
        <f t="shared" si="21"/>
        <v>10363.186205095797</v>
      </c>
      <c r="T37" s="247">
        <f t="shared" si="21"/>
        <v>10570.449929197714</v>
      </c>
      <c r="U37" s="247">
        <f t="shared" si="21"/>
        <v>10781.858927781668</v>
      </c>
      <c r="V37" s="247">
        <f t="shared" si="21"/>
        <v>10997.496106337301</v>
      </c>
      <c r="W37" s="247">
        <f t="shared" si="21"/>
        <v>11217.446028464046</v>
      </c>
      <c r="X37" s="247">
        <f t="shared" si="21"/>
        <v>11441.794949033327</v>
      </c>
      <c r="Y37" s="247">
        <f t="shared" si="21"/>
        <v>11670.630848013994</v>
      </c>
      <c r="Z37" s="247">
        <f t="shared" si="21"/>
        <v>11904.043464974275</v>
      </c>
      <c r="AA37" s="247">
        <f t="shared" si="21"/>
        <v>12142.124334273756</v>
      </c>
      <c r="AB37" s="247">
        <f t="shared" si="21"/>
        <v>12384.966820959233</v>
      </c>
      <c r="AC37" s="247"/>
    </row>
    <row r="38" spans="1:29" ht="15" thickTop="1" x14ac:dyDescent="0.2">
      <c r="A38" s="3"/>
      <c r="B38" s="211" t="s">
        <v>271</v>
      </c>
      <c r="C38" s="253"/>
      <c r="D38" s="228">
        <f>SUM(D33:D37)</f>
        <v>38120</v>
      </c>
      <c r="E38" s="228">
        <f>SUM(E33:E37)</f>
        <v>38882.400000000009</v>
      </c>
      <c r="F38" s="228">
        <f t="shared" ref="F38:V38" si="22">SUM(F33:F37)</f>
        <v>39660.048000000003</v>
      </c>
      <c r="G38" s="228">
        <f t="shared" si="22"/>
        <v>40453.248960000004</v>
      </c>
      <c r="H38" s="228">
        <f t="shared" si="22"/>
        <v>41262.313939200008</v>
      </c>
      <c r="I38" s="228">
        <f t="shared" si="22"/>
        <v>42087.560217984006</v>
      </c>
      <c r="J38" s="228">
        <f t="shared" si="22"/>
        <v>42929.311422343686</v>
      </c>
      <c r="K38" s="228">
        <f t="shared" si="22"/>
        <v>43787.897650790546</v>
      </c>
      <c r="L38" s="228">
        <f t="shared" si="22"/>
        <v>44663.655603806365</v>
      </c>
      <c r="M38" s="228">
        <f t="shared" si="22"/>
        <v>45556.928715882488</v>
      </c>
      <c r="N38" s="228">
        <f t="shared" si="22"/>
        <v>46468.067290200139</v>
      </c>
      <c r="O38" s="228">
        <f t="shared" si="22"/>
        <v>47397.428636004137</v>
      </c>
      <c r="P38" s="228">
        <f t="shared" si="22"/>
        <v>48345.377208724225</v>
      </c>
      <c r="Q38" s="228">
        <f t="shared" si="22"/>
        <v>49312.284752898711</v>
      </c>
      <c r="R38" s="228">
        <f t="shared" si="22"/>
        <v>50298.530447956698</v>
      </c>
      <c r="S38" s="228">
        <f t="shared" si="22"/>
        <v>51304.501056915818</v>
      </c>
      <c r="T38" s="228">
        <f t="shared" si="22"/>
        <v>52330.591078054131</v>
      </c>
      <c r="U38" s="228">
        <f t="shared" si="22"/>
        <v>53377.202899615222</v>
      </c>
      <c r="V38" s="228">
        <f t="shared" si="22"/>
        <v>54444.746957607524</v>
      </c>
      <c r="W38" s="228">
        <f t="shared" ref="W38:AB38" si="23">SUM(W33:W37)</f>
        <v>55533.641896759669</v>
      </c>
      <c r="X38" s="228">
        <f t="shared" si="23"/>
        <v>56644.314734694868</v>
      </c>
      <c r="Y38" s="228">
        <f t="shared" si="23"/>
        <v>57777.201029388758</v>
      </c>
      <c r="Z38" s="228">
        <f t="shared" si="23"/>
        <v>58932.74504997654</v>
      </c>
      <c r="AA38" s="228">
        <f t="shared" si="23"/>
        <v>60111.399950976054</v>
      </c>
      <c r="AB38" s="228">
        <f t="shared" si="23"/>
        <v>61313.627949995585</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151710.51248622022</v>
      </c>
      <c r="E40" s="228">
        <f t="shared" ref="E40:V40" si="24">E30-E38</f>
        <v>154720.99392188381</v>
      </c>
      <c r="F40" s="228">
        <f t="shared" si="24"/>
        <v>157791.21337608126</v>
      </c>
      <c r="G40" s="228">
        <f t="shared" si="24"/>
        <v>160922.35623593087</v>
      </c>
      <c r="H40" s="228">
        <f t="shared" si="24"/>
        <v>164115.63140999997</v>
      </c>
      <c r="I40" s="228">
        <f t="shared" si="24"/>
        <v>167372.27179503132</v>
      </c>
      <c r="J40" s="228">
        <f t="shared" si="24"/>
        <v>170693.5347519303</v>
      </c>
      <c r="K40" s="228">
        <f t="shared" si="24"/>
        <v>174080.7025911971</v>
      </c>
      <c r="L40" s="228">
        <f t="shared" si="24"/>
        <v>177535.08306799078</v>
      </c>
      <c r="M40" s="228">
        <f t="shared" si="24"/>
        <v>181058.00988701661</v>
      </c>
      <c r="N40" s="228">
        <f t="shared" si="24"/>
        <v>184650.84321743157</v>
      </c>
      <c r="O40" s="228">
        <f t="shared" si="24"/>
        <v>188314.97021796674</v>
      </c>
      <c r="P40" s="228">
        <f t="shared" si="24"/>
        <v>192051.80557246925</v>
      </c>
      <c r="Q40" s="228">
        <f t="shared" si="24"/>
        <v>195862.79203607098</v>
      </c>
      <c r="R40" s="228">
        <f t="shared" si="24"/>
        <v>199749.40099219375</v>
      </c>
      <c r="S40" s="228">
        <f t="shared" si="24"/>
        <v>203713.13302060761</v>
      </c>
      <c r="T40" s="228">
        <f t="shared" si="24"/>
        <v>207755.51847676004</v>
      </c>
      <c r="U40" s="228">
        <f t="shared" si="24"/>
        <v>211878.11808260088</v>
      </c>
      <c r="V40" s="228">
        <f t="shared" si="24"/>
        <v>216082.52352913009</v>
      </c>
      <c r="W40" s="228">
        <f t="shared" ref="W40:AB40" si="25">W30-W38</f>
        <v>220370.35809090181</v>
      </c>
      <c r="X40" s="228">
        <f t="shared" si="25"/>
        <v>224743.27725272134</v>
      </c>
      <c r="Y40" s="228">
        <f t="shared" si="25"/>
        <v>229202.96934877732</v>
      </c>
      <c r="Z40" s="228">
        <f t="shared" si="25"/>
        <v>233751.15621445558</v>
      </c>
      <c r="AA40" s="228">
        <f t="shared" si="25"/>
        <v>238389.5938510866</v>
      </c>
      <c r="AB40" s="228">
        <f t="shared" si="25"/>
        <v>243120.07310388301</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546558.95900000003</v>
      </c>
      <c r="E45" s="228">
        <f>IF(OR(Tax_Efficient_Status?="Not Efficient",Tax_Efficient_Status?="Federal Only"),(Unstructured!E114+Unstructured!E115),E114)</f>
        <v>874494.33440000005</v>
      </c>
      <c r="F45" s="228">
        <f>IF(OR(Tax_Efficient_Status?="Not Efficient",Tax_Efficient_Status?="Federal Only"),(Unstructured!F114+Unstructured!F115),F114)</f>
        <v>524696.60063999996</v>
      </c>
      <c r="G45" s="228">
        <f>IF(OR(Tax_Efficient_Status?="Not Efficient",Tax_Efficient_Status?="Federal Only"),(Unstructured!G114+Unstructured!G115),G114)</f>
        <v>314817.96038399998</v>
      </c>
      <c r="H45" s="228">
        <f>IF(OR(Tax_Efficient_Status?="Not Efficient",Tax_Efficient_Status?="Federal Only"),(Unstructured!H114+Unstructured!H115),H114)</f>
        <v>314817.96038399998</v>
      </c>
      <c r="I45" s="228">
        <f>IF(OR(Tax_Efficient_Status?="Not Efficient",Tax_Efficient_Status?="Federal Only"),(Unstructured!I114+Unstructured!I115),I114)</f>
        <v>157408.98019199999</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546558.95900000003</v>
      </c>
      <c r="E46" s="228">
        <f>IF(Tax_Efficient_Status?="Not Efficient",(Unstructured!E121+Unstructured!E122),E121)</f>
        <v>874494.33440000005</v>
      </c>
      <c r="F46" s="228">
        <f>IF(Tax_Efficient_Status?="Not Efficient",(Unstructured!F121+Unstructured!F122),F121)</f>
        <v>524696.60063999996</v>
      </c>
      <c r="G46" s="228">
        <f>IF(Tax_Efficient_Status?="Not Efficient",(Unstructured!G121+Unstructured!G122),G121)</f>
        <v>314817.96038399998</v>
      </c>
      <c r="H46" s="228">
        <f>IF(Tax_Efficient_Status?="Not Efficient",(Unstructured!H121+Unstructured!H122),H121)</f>
        <v>314817.96038399998</v>
      </c>
      <c r="I46" s="228">
        <f>IF(Tax_Efficient_Status?="Not Efficient",(Unstructured!I121+Unstructured!I122),I121)</f>
        <v>157408.98019199999</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-394848.44651377981</v>
      </c>
      <c r="E49" s="228">
        <f t="shared" si="28"/>
        <v>-719773.34047811618</v>
      </c>
      <c r="F49" s="228">
        <f t="shared" si="28"/>
        <v>-366905.38726391864</v>
      </c>
      <c r="G49" s="228">
        <f t="shared" si="28"/>
        <v>-153895.60414806911</v>
      </c>
      <c r="H49" s="228">
        <f t="shared" si="28"/>
        <v>-150702.328974</v>
      </c>
      <c r="I49" s="228">
        <f t="shared" si="28"/>
        <v>9963.2916030313063</v>
      </c>
      <c r="J49" s="228">
        <f t="shared" si="28"/>
        <v>170693.5347519303</v>
      </c>
      <c r="K49" s="228">
        <f t="shared" si="28"/>
        <v>174080.7025911971</v>
      </c>
      <c r="L49" s="228">
        <f t="shared" si="28"/>
        <v>177535.08306799078</v>
      </c>
      <c r="M49" s="228">
        <f t="shared" si="28"/>
        <v>181058.00988701661</v>
      </c>
      <c r="N49" s="228">
        <f t="shared" si="28"/>
        <v>184650.84321743157</v>
      </c>
      <c r="O49" s="228">
        <f t="shared" si="28"/>
        <v>188314.97021796674</v>
      </c>
      <c r="P49" s="228">
        <f t="shared" si="28"/>
        <v>192051.80557246925</v>
      </c>
      <c r="Q49" s="228">
        <f t="shared" si="28"/>
        <v>195862.79203607098</v>
      </c>
      <c r="R49" s="228">
        <f t="shared" si="28"/>
        <v>199749.40099219375</v>
      </c>
      <c r="S49" s="228">
        <f t="shared" si="28"/>
        <v>203713.13302060761</v>
      </c>
      <c r="T49" s="228">
        <f t="shared" si="28"/>
        <v>207755.51847676004</v>
      </c>
      <c r="U49" s="228">
        <f t="shared" si="28"/>
        <v>211878.11808260088</v>
      </c>
      <c r="V49" s="228">
        <f t="shared" si="28"/>
        <v>216082.52352913009</v>
      </c>
      <c r="W49" s="228">
        <f t="shared" ref="W49:AB49" si="29">W30-(W38+W42+W45)</f>
        <v>220370.35809090181</v>
      </c>
      <c r="X49" s="228">
        <f t="shared" si="29"/>
        <v>224743.27725272134</v>
      </c>
      <c r="Y49" s="228">
        <f t="shared" si="29"/>
        <v>229202.96934877732</v>
      </c>
      <c r="Z49" s="228">
        <f t="shared" si="29"/>
        <v>233751.15621445558</v>
      </c>
      <c r="AA49" s="228">
        <f t="shared" si="29"/>
        <v>238389.5938510866</v>
      </c>
      <c r="AB49" s="228">
        <f t="shared" si="29"/>
        <v>243120.07310388301</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249.08229007578268</v>
      </c>
      <c r="J50" s="228">
        <f t="shared" si="30"/>
        <v>4267.3383687982578</v>
      </c>
      <c r="K50" s="228">
        <f t="shared" si="30"/>
        <v>4352.0175647799279</v>
      </c>
      <c r="L50" s="228">
        <f t="shared" si="30"/>
        <v>4438.3770766997695</v>
      </c>
      <c r="M50" s="228">
        <f t="shared" si="30"/>
        <v>4526.4502471754158</v>
      </c>
      <c r="N50" s="228">
        <f t="shared" si="30"/>
        <v>4616.2710804357894</v>
      </c>
      <c r="O50" s="228">
        <f t="shared" si="30"/>
        <v>4707.8742554491682</v>
      </c>
      <c r="P50" s="228">
        <f t="shared" si="30"/>
        <v>4801.2951393117319</v>
      </c>
      <c r="Q50" s="228">
        <f t="shared" si="30"/>
        <v>4896.5698009017751</v>
      </c>
      <c r="R50" s="228">
        <f t="shared" si="30"/>
        <v>4993.7350248048442</v>
      </c>
      <c r="S50" s="228">
        <f t="shared" si="30"/>
        <v>5092.828325515191</v>
      </c>
      <c r="T50" s="228">
        <f t="shared" si="30"/>
        <v>5193.8879619190011</v>
      </c>
      <c r="U50" s="228">
        <f t="shared" si="30"/>
        <v>5296.9529520650221</v>
      </c>
      <c r="V50" s="228">
        <f t="shared" si="30"/>
        <v>5402.063088228253</v>
      </c>
      <c r="W50" s="228">
        <f t="shared" si="30"/>
        <v>5509.2589522725457</v>
      </c>
      <c r="X50" s="228">
        <f t="shared" si="30"/>
        <v>5618.5819313180336</v>
      </c>
      <c r="Y50" s="228">
        <f t="shared" si="30"/>
        <v>5730.0742337194333</v>
      </c>
      <c r="Z50" s="228">
        <f t="shared" si="30"/>
        <v>5843.7789053613897</v>
      </c>
      <c r="AA50" s="228">
        <f t="shared" si="30"/>
        <v>5959.7398462771653</v>
      </c>
      <c r="AB50" s="228">
        <f t="shared" si="30"/>
        <v>6078.001827597076</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249.08229007578268</v>
      </c>
      <c r="J53" s="228">
        <f t="shared" si="35"/>
        <v>4267.3383687982578</v>
      </c>
      <c r="K53" s="228">
        <f t="shared" si="35"/>
        <v>4352.0175647799279</v>
      </c>
      <c r="L53" s="228">
        <f t="shared" si="35"/>
        <v>4438.3770766997695</v>
      </c>
      <c r="M53" s="228">
        <f t="shared" si="35"/>
        <v>4526.4502471754158</v>
      </c>
      <c r="N53" s="228">
        <f t="shared" si="35"/>
        <v>4616.2710804357894</v>
      </c>
      <c r="O53" s="228">
        <f t="shared" si="35"/>
        <v>4707.8742554491682</v>
      </c>
      <c r="P53" s="228">
        <f t="shared" si="35"/>
        <v>4801.2951393117319</v>
      </c>
      <c r="Q53" s="228">
        <f t="shared" si="35"/>
        <v>4896.5698009017751</v>
      </c>
      <c r="R53" s="228">
        <f t="shared" si="35"/>
        <v>4993.7350248048442</v>
      </c>
      <c r="S53" s="228">
        <f t="shared" si="35"/>
        <v>5092.828325515191</v>
      </c>
      <c r="T53" s="228">
        <f t="shared" si="35"/>
        <v>5193.8879619190011</v>
      </c>
      <c r="U53" s="228">
        <f t="shared" si="35"/>
        <v>5296.9529520650221</v>
      </c>
      <c r="V53" s="228">
        <f t="shared" si="35"/>
        <v>5402.063088228253</v>
      </c>
      <c r="W53" s="228">
        <f t="shared" ref="W53:AB53" si="36">W50</f>
        <v>5509.2589522725457</v>
      </c>
      <c r="X53" s="228">
        <f t="shared" si="36"/>
        <v>5618.5819313180336</v>
      </c>
      <c r="Y53" s="228">
        <f t="shared" si="36"/>
        <v>5730.0742337194333</v>
      </c>
      <c r="Z53" s="228">
        <f t="shared" si="36"/>
        <v>5843.7789053613897</v>
      </c>
      <c r="AA53" s="228">
        <f t="shared" si="36"/>
        <v>5959.7398462771653</v>
      </c>
      <c r="AB53" s="228">
        <f t="shared" si="36"/>
        <v>6078.001827597076</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-394848.44651377981</v>
      </c>
      <c r="E56" s="228">
        <f t="shared" si="37"/>
        <v>-719773.34047811618</v>
      </c>
      <c r="F56" s="228">
        <f t="shared" si="37"/>
        <v>-366905.38726391864</v>
      </c>
      <c r="G56" s="228">
        <f t="shared" si="37"/>
        <v>-153895.60414806911</v>
      </c>
      <c r="H56" s="228">
        <f t="shared" si="37"/>
        <v>-150702.328974</v>
      </c>
      <c r="I56" s="228">
        <f t="shared" si="37"/>
        <v>9714.2093129555287</v>
      </c>
      <c r="J56" s="228">
        <f t="shared" si="37"/>
        <v>166426.19638313205</v>
      </c>
      <c r="K56" s="228">
        <f t="shared" si="37"/>
        <v>169728.68502641717</v>
      </c>
      <c r="L56" s="228">
        <f t="shared" si="37"/>
        <v>173096.70599129103</v>
      </c>
      <c r="M56" s="228">
        <f t="shared" si="37"/>
        <v>176531.55963984117</v>
      </c>
      <c r="N56" s="228">
        <f t="shared" si="37"/>
        <v>180034.57213699576</v>
      </c>
      <c r="O56" s="228">
        <f t="shared" si="37"/>
        <v>183607.09596251755</v>
      </c>
      <c r="P56" s="228">
        <f t="shared" si="37"/>
        <v>187250.51043315753</v>
      </c>
      <c r="Q56" s="228">
        <f t="shared" si="37"/>
        <v>190966.2222351692</v>
      </c>
      <c r="R56" s="228">
        <f t="shared" si="37"/>
        <v>194755.66596738889</v>
      </c>
      <c r="S56" s="228">
        <f t="shared" si="37"/>
        <v>198620.30469509243</v>
      </c>
      <c r="T56" s="228">
        <f t="shared" si="37"/>
        <v>202561.63051484106</v>
      </c>
      <c r="U56" s="228">
        <f t="shared" si="37"/>
        <v>206581.16513053584</v>
      </c>
      <c r="V56" s="228">
        <f t="shared" si="37"/>
        <v>210680.46044090181</v>
      </c>
      <c r="W56" s="228">
        <f t="shared" ref="W56:AB56" si="38">W30-(W38+W42+W46+W53)</f>
        <v>214861.09913862927</v>
      </c>
      <c r="X56" s="228">
        <f t="shared" si="38"/>
        <v>219124.6953214033</v>
      </c>
      <c r="Y56" s="228">
        <f t="shared" si="38"/>
        <v>223472.89511505788</v>
      </c>
      <c r="Z56" s="228">
        <f t="shared" si="38"/>
        <v>227907.37730909418</v>
      </c>
      <c r="AA56" s="228">
        <f t="shared" si="38"/>
        <v>232429.85400480943</v>
      </c>
      <c r="AB56" s="228">
        <f t="shared" si="38"/>
        <v>237042.07127628592</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2039.983955720661</v>
      </c>
      <c r="J57" s="228">
        <f t="shared" si="39"/>
        <v>34949.501240457728</v>
      </c>
      <c r="K57" s="228">
        <f t="shared" si="39"/>
        <v>35643.023855547603</v>
      </c>
      <c r="L57" s="228">
        <f t="shared" si="39"/>
        <v>36350.308258171113</v>
      </c>
      <c r="M57" s="228">
        <f t="shared" si="39"/>
        <v>37071.627524366646</v>
      </c>
      <c r="N57" s="228">
        <f t="shared" si="39"/>
        <v>37807.260148769106</v>
      </c>
      <c r="O57" s="228">
        <f t="shared" si="39"/>
        <v>38557.490152128681</v>
      </c>
      <c r="P57" s="228">
        <f t="shared" si="39"/>
        <v>39322.607190963077</v>
      </c>
      <c r="Q57" s="228">
        <f t="shared" si="39"/>
        <v>40102.906669385535</v>
      </c>
      <c r="R57" s="228">
        <f t="shared" si="39"/>
        <v>40898.689853151664</v>
      </c>
      <c r="S57" s="228">
        <f t="shared" si="39"/>
        <v>41710.26398596941</v>
      </c>
      <c r="T57" s="228">
        <f t="shared" si="39"/>
        <v>42537.942408116622</v>
      </c>
      <c r="U57" s="228">
        <f t="shared" si="39"/>
        <v>43382.044677412523</v>
      </c>
      <c r="V57" s="228">
        <f t="shared" si="39"/>
        <v>44242.896692589376</v>
      </c>
      <c r="W57" s="228">
        <f t="shared" si="39"/>
        <v>45120.830819112147</v>
      </c>
      <c r="X57" s="228">
        <f t="shared" si="39"/>
        <v>46016.186017494692</v>
      </c>
      <c r="Y57" s="228">
        <f t="shared" si="39"/>
        <v>46929.307974162155</v>
      </c>
      <c r="Z57" s="228">
        <f t="shared" si="39"/>
        <v>47860.549234909777</v>
      </c>
      <c r="AA57" s="228">
        <f t="shared" si="39"/>
        <v>48810.269341009982</v>
      </c>
      <c r="AB57" s="228">
        <f t="shared" si="39"/>
        <v>49778.834968020041</v>
      </c>
      <c r="AC57" s="228"/>
    </row>
    <row r="58" spans="1:29" ht="14" x14ac:dyDescent="0.2">
      <c r="A58" s="3"/>
      <c r="B58" s="210" t="s">
        <v>141</v>
      </c>
      <c r="C58" s="253"/>
      <c r="D58" s="228">
        <f>IF(AND(Tax_Credit_Selector_ITC_or_PTC="ITC",Federal_ITC_Cash_Sale_OnOff="Off",D17=1),Federal_ITC_Dollar_Value,0)</f>
        <v>964515.80999999982</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964515.80999999982</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2039.983955720661</v>
      </c>
      <c r="J60" s="228">
        <f t="shared" si="44"/>
        <v>34949.501240457728</v>
      </c>
      <c r="K60" s="228">
        <f t="shared" si="44"/>
        <v>35643.023855547603</v>
      </c>
      <c r="L60" s="228">
        <f t="shared" si="44"/>
        <v>36350.308258171113</v>
      </c>
      <c r="M60" s="228">
        <f t="shared" si="44"/>
        <v>37071.627524366646</v>
      </c>
      <c r="N60" s="228">
        <f t="shared" si="44"/>
        <v>37807.260148769106</v>
      </c>
      <c r="O60" s="228">
        <f t="shared" si="44"/>
        <v>38557.490152128681</v>
      </c>
      <c r="P60" s="228">
        <f t="shared" si="44"/>
        <v>39322.607190963077</v>
      </c>
      <c r="Q60" s="228">
        <f t="shared" si="44"/>
        <v>40102.906669385535</v>
      </c>
      <c r="R60" s="228">
        <f t="shared" si="44"/>
        <v>40898.689853151664</v>
      </c>
      <c r="S60" s="228">
        <f t="shared" si="44"/>
        <v>41710.26398596941</v>
      </c>
      <c r="T60" s="228">
        <f t="shared" si="44"/>
        <v>42537.942408116622</v>
      </c>
      <c r="U60" s="228">
        <f t="shared" si="44"/>
        <v>43382.044677412523</v>
      </c>
      <c r="V60" s="228">
        <f t="shared" si="44"/>
        <v>44242.896692589376</v>
      </c>
      <c r="W60" s="228">
        <f t="shared" ref="W60:AB60" si="45">IF(W58&gt;W57,0,W57-W58)</f>
        <v>45120.830819112147</v>
      </c>
      <c r="X60" s="228">
        <f t="shared" si="45"/>
        <v>46016.186017494692</v>
      </c>
      <c r="Y60" s="228">
        <f t="shared" si="45"/>
        <v>46929.307974162155</v>
      </c>
      <c r="Z60" s="228">
        <f t="shared" si="45"/>
        <v>47860.549234909777</v>
      </c>
      <c r="AA60" s="228">
        <f t="shared" si="45"/>
        <v>48810.269341009982</v>
      </c>
      <c r="AB60" s="228">
        <f t="shared" si="45"/>
        <v>49778.834968020041</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2" t="s">
        <v>272</v>
      </c>
      <c r="C62" s="333"/>
      <c r="D62" s="196">
        <f t="shared" ref="D62:V62" si="46">(D56-D60)</f>
        <v>-394848.44651377981</v>
      </c>
      <c r="E62" s="196">
        <f t="shared" si="46"/>
        <v>-719773.34047811618</v>
      </c>
      <c r="F62" s="196">
        <f t="shared" si="46"/>
        <v>-366905.38726391864</v>
      </c>
      <c r="G62" s="196">
        <f t="shared" si="46"/>
        <v>-153895.60414806911</v>
      </c>
      <c r="H62" s="196">
        <f t="shared" si="46"/>
        <v>-150702.328974</v>
      </c>
      <c r="I62" s="196">
        <f t="shared" si="46"/>
        <v>7674.2253572348673</v>
      </c>
      <c r="J62" s="196">
        <f t="shared" si="46"/>
        <v>131476.69514267432</v>
      </c>
      <c r="K62" s="196">
        <f t="shared" si="46"/>
        <v>134085.66117086957</v>
      </c>
      <c r="L62" s="196">
        <f t="shared" si="46"/>
        <v>136746.39773311993</v>
      </c>
      <c r="M62" s="196">
        <f t="shared" si="46"/>
        <v>139459.93211547454</v>
      </c>
      <c r="N62" s="196">
        <f t="shared" si="46"/>
        <v>142227.31198822666</v>
      </c>
      <c r="O62" s="196">
        <f t="shared" si="46"/>
        <v>145049.60581038886</v>
      </c>
      <c r="P62" s="196">
        <f t="shared" si="46"/>
        <v>147927.90324219444</v>
      </c>
      <c r="Q62" s="196">
        <f t="shared" si="46"/>
        <v>150863.31556578368</v>
      </c>
      <c r="R62" s="196">
        <f t="shared" si="46"/>
        <v>153856.97611423722</v>
      </c>
      <c r="S62" s="196">
        <f t="shared" si="46"/>
        <v>156910.04070912302</v>
      </c>
      <c r="T62" s="196">
        <f t="shared" si="46"/>
        <v>160023.68810672444</v>
      </c>
      <c r="U62" s="196">
        <f t="shared" si="46"/>
        <v>163199.12045312332</v>
      </c>
      <c r="V62" s="196">
        <f t="shared" si="46"/>
        <v>166437.56374831242</v>
      </c>
      <c r="W62" s="196">
        <f t="shared" ref="W62:AB62" si="47">(W56-W60)</f>
        <v>169740.26831951714</v>
      </c>
      <c r="X62" s="196">
        <f t="shared" si="47"/>
        <v>173108.50930390862</v>
      </c>
      <c r="Y62" s="196">
        <f t="shared" si="47"/>
        <v>176543.58714089572</v>
      </c>
      <c r="Z62" s="196">
        <f t="shared" si="47"/>
        <v>180046.82807418442</v>
      </c>
      <c r="AA62" s="196">
        <f t="shared" si="47"/>
        <v>183619.58466379944</v>
      </c>
      <c r="AB62" s="196">
        <f t="shared" si="47"/>
        <v>187263.23630826588</v>
      </c>
      <c r="AC62" s="196"/>
    </row>
    <row r="66" spans="1:32" ht="16" x14ac:dyDescent="0.2">
      <c r="A66" s="3"/>
      <c r="B66" s="570" t="s">
        <v>378</v>
      </c>
      <c r="C66" s="571"/>
      <c r="D66" s="571"/>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964515.80999999982</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82918.173767893764</v>
      </c>
      <c r="E70" s="228">
        <f t="shared" si="50"/>
        <v>151152.4015004044</v>
      </c>
      <c r="F70" s="228">
        <f t="shared" si="50"/>
        <v>77050.131325422932</v>
      </c>
      <c r="G70" s="228">
        <f t="shared" si="50"/>
        <v>32318.076871094512</v>
      </c>
      <c r="H70" s="228">
        <f t="shared" si="50"/>
        <v>31647.48908454</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7798.2568186471526</v>
      </c>
      <c r="E72" s="247">
        <f t="shared" si="51"/>
        <v>14215.523474442794</v>
      </c>
      <c r="F72" s="247">
        <f t="shared" si="51"/>
        <v>7246.3813984623957</v>
      </c>
      <c r="G72" s="247">
        <f t="shared" si="51"/>
        <v>3039.4381819243649</v>
      </c>
      <c r="H72" s="247">
        <f t="shared" si="51"/>
        <v>2976.3709972365004</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1055232.2405865409</v>
      </c>
      <c r="E73" s="228">
        <f t="shared" ref="E73:V73" si="52">SUM(E69:E72)</f>
        <v>165367.92497484721</v>
      </c>
      <c r="F73" s="228">
        <f t="shared" si="52"/>
        <v>84296.512723885331</v>
      </c>
      <c r="G73" s="228">
        <f t="shared" si="52"/>
        <v>35357.515053018877</v>
      </c>
      <c r="H73" s="228">
        <f t="shared" si="52"/>
        <v>34623.860081776504</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77" t="s">
        <v>460</v>
      </c>
      <c r="AE79" s="578"/>
      <c r="AF79" s="579"/>
    </row>
    <row r="80" spans="1:32" ht="14" customHeight="1" thickBot="1" x14ac:dyDescent="0.25">
      <c r="A80" s="3"/>
      <c r="B80" s="210" t="s">
        <v>233</v>
      </c>
      <c r="C80" s="247">
        <f>-Project_Net_Investment</f>
        <v>-3505476.2846926562</v>
      </c>
      <c r="D80" s="247">
        <f>(D62+D46+SUM(D75:D77))</f>
        <v>151710.51248622022</v>
      </c>
      <c r="E80" s="247">
        <f t="shared" ref="E80:AA80" si="54">(E62+E46+SUM(E75:E77))</f>
        <v>154720.99392188387</v>
      </c>
      <c r="F80" s="247">
        <f t="shared" si="54"/>
        <v>157791.21337608132</v>
      </c>
      <c r="G80" s="247">
        <f t="shared" si="54"/>
        <v>160922.35623593087</v>
      </c>
      <c r="H80" s="247">
        <f t="shared" si="54"/>
        <v>164115.63140999997</v>
      </c>
      <c r="I80" s="247">
        <f t="shared" si="54"/>
        <v>165083.20554923484</v>
      </c>
      <c r="J80" s="247">
        <f t="shared" si="54"/>
        <v>131476.69514267432</v>
      </c>
      <c r="K80" s="247">
        <f t="shared" si="54"/>
        <v>134085.66117086957</v>
      </c>
      <c r="L80" s="247">
        <f t="shared" si="54"/>
        <v>136746.39773311993</v>
      </c>
      <c r="M80" s="247">
        <f t="shared" si="54"/>
        <v>139459.93211547454</v>
      </c>
      <c r="N80" s="247">
        <f t="shared" si="54"/>
        <v>142227.31198822666</v>
      </c>
      <c r="O80" s="247">
        <f t="shared" si="54"/>
        <v>145049.60581038886</v>
      </c>
      <c r="P80" s="247">
        <f t="shared" si="54"/>
        <v>147927.90324219444</v>
      </c>
      <c r="Q80" s="247">
        <f t="shared" si="54"/>
        <v>150863.31556578368</v>
      </c>
      <c r="R80" s="247">
        <f t="shared" si="54"/>
        <v>153856.97611423722</v>
      </c>
      <c r="S80" s="247">
        <f t="shared" si="54"/>
        <v>156910.04070912302</v>
      </c>
      <c r="T80" s="247">
        <f t="shared" si="54"/>
        <v>160023.68810672444</v>
      </c>
      <c r="U80" s="247">
        <f t="shared" si="54"/>
        <v>163199.12045312332</v>
      </c>
      <c r="V80" s="247">
        <f t="shared" si="54"/>
        <v>166437.56374831242</v>
      </c>
      <c r="W80" s="247">
        <f t="shared" si="54"/>
        <v>169740.26831951714</v>
      </c>
      <c r="X80" s="247">
        <f t="shared" si="54"/>
        <v>173108.50930390862</v>
      </c>
      <c r="Y80" s="247">
        <f t="shared" si="54"/>
        <v>176543.58714089572</v>
      </c>
      <c r="Z80" s="247">
        <f t="shared" si="54"/>
        <v>180046.82807418442</v>
      </c>
      <c r="AA80" s="247">
        <f t="shared" si="54"/>
        <v>183619.58466379944</v>
      </c>
      <c r="AB80" s="436">
        <f>((AB62+AB46+SUM(AB75:AB77))+IF(Termination_Value_OnOff="On",INDEX(Termination_Value_Table_End_of_Term,2,MATCH(Termination_Value_Percentage,Dashboard!C72:E72,0)),0))</f>
        <v>713084.67901216424</v>
      </c>
      <c r="AD80" s="580"/>
      <c r="AE80" s="581"/>
      <c r="AF80" s="582"/>
    </row>
    <row r="81" spans="1:32" ht="16" thickTop="1" thickBot="1" x14ac:dyDescent="0.25">
      <c r="A81" s="3"/>
      <c r="B81" s="210" t="s">
        <v>165</v>
      </c>
      <c r="C81" s="228">
        <f>C80</f>
        <v>-3505476.2846926562</v>
      </c>
      <c r="D81" s="228">
        <f t="shared" ref="D81:V81" si="55">C81+D80</f>
        <v>-3353765.7722064359</v>
      </c>
      <c r="E81" s="228">
        <f t="shared" si="55"/>
        <v>-3199044.778284552</v>
      </c>
      <c r="F81" s="228">
        <f t="shared" si="55"/>
        <v>-3041253.564908471</v>
      </c>
      <c r="G81" s="228">
        <f t="shared" si="55"/>
        <v>-2880331.2086725403</v>
      </c>
      <c r="H81" s="228">
        <f t="shared" si="55"/>
        <v>-2716215.5772625403</v>
      </c>
      <c r="I81" s="228">
        <f t="shared" si="55"/>
        <v>-2551132.3717133054</v>
      </c>
      <c r="J81" s="228">
        <f t="shared" si="55"/>
        <v>-2419655.6765706311</v>
      </c>
      <c r="K81" s="228">
        <f t="shared" si="55"/>
        <v>-2285570.0153997615</v>
      </c>
      <c r="L81" s="228">
        <f t="shared" si="55"/>
        <v>-2148823.6176666417</v>
      </c>
      <c r="M81" s="228">
        <f t="shared" si="55"/>
        <v>-2009363.6855511672</v>
      </c>
      <c r="N81" s="228">
        <f t="shared" si="55"/>
        <v>-1867136.3735629406</v>
      </c>
      <c r="O81" s="228">
        <f t="shared" si="55"/>
        <v>-1722086.7677525517</v>
      </c>
      <c r="P81" s="228">
        <f t="shared" si="55"/>
        <v>-1574158.8645103574</v>
      </c>
      <c r="Q81" s="228">
        <f t="shared" si="55"/>
        <v>-1423295.5489445736</v>
      </c>
      <c r="R81" s="228">
        <f t="shared" si="55"/>
        <v>-1269438.5728303364</v>
      </c>
      <c r="S81" s="228">
        <f t="shared" si="55"/>
        <v>-1112528.5321212134</v>
      </c>
      <c r="T81" s="228">
        <f t="shared" si="55"/>
        <v>-952504.84401448898</v>
      </c>
      <c r="U81" s="228">
        <f t="shared" si="55"/>
        <v>-789305.72356136562</v>
      </c>
      <c r="V81" s="228">
        <f t="shared" si="55"/>
        <v>-622868.15981305321</v>
      </c>
      <c r="W81" s="228">
        <f t="shared" ref="W81:AB81" si="56">V81+W80</f>
        <v>-453127.89149353607</v>
      </c>
      <c r="X81" s="228">
        <f t="shared" si="56"/>
        <v>-280019.38218962745</v>
      </c>
      <c r="Y81" s="228">
        <f t="shared" si="56"/>
        <v>-103475.79504873173</v>
      </c>
      <c r="Z81" s="228">
        <f t="shared" si="56"/>
        <v>76571.033025452693</v>
      </c>
      <c r="AA81" s="228">
        <f t="shared" si="56"/>
        <v>260190.61768925213</v>
      </c>
      <c r="AB81" s="228">
        <f t="shared" si="56"/>
        <v>973275.29670141637</v>
      </c>
      <c r="AD81" s="583"/>
      <c r="AE81" s="584"/>
      <c r="AF81" s="585"/>
    </row>
    <row r="82" spans="1:32" ht="14" x14ac:dyDescent="0.2">
      <c r="A82" s="3"/>
      <c r="B82" s="210" t="s">
        <v>166</v>
      </c>
      <c r="C82" s="228">
        <f>NPV(Investor_Discount_Rate,D80:AB80)+C80</f>
        <v>-1509696.8964705968</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1.7327844407442283E-2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IF(J80&gt;0,0,1)</f>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77" t="s">
        <v>460</v>
      </c>
      <c r="AE86" s="578"/>
      <c r="AF86" s="579"/>
    </row>
    <row r="87" spans="1:32" ht="14" customHeight="1" thickBot="1" x14ac:dyDescent="0.25">
      <c r="A87" s="3"/>
      <c r="B87" s="210" t="s">
        <v>289</v>
      </c>
      <c r="C87" s="247">
        <f>-Project_Net_Investment</f>
        <v>-3505476.2846926562</v>
      </c>
      <c r="D87" s="247">
        <f>(D62+D46+D73+SUM(D75:D77))</f>
        <v>1206942.753072761</v>
      </c>
      <c r="E87" s="247">
        <f t="shared" ref="E87:AA87" si="59">(E62+E46+E73+SUM(E75:E77))</f>
        <v>320088.91889673111</v>
      </c>
      <c r="F87" s="247">
        <f t="shared" si="59"/>
        <v>242087.72609996665</v>
      </c>
      <c r="G87" s="247">
        <f t="shared" si="59"/>
        <v>196279.87128894974</v>
      </c>
      <c r="H87" s="247">
        <f t="shared" si="59"/>
        <v>198739.49149177648</v>
      </c>
      <c r="I87" s="247">
        <f t="shared" si="59"/>
        <v>165083.20554923484</v>
      </c>
      <c r="J87" s="247">
        <f t="shared" si="59"/>
        <v>131476.69514267432</v>
      </c>
      <c r="K87" s="247">
        <f t="shared" si="59"/>
        <v>134085.66117086957</v>
      </c>
      <c r="L87" s="247">
        <f t="shared" si="59"/>
        <v>136746.39773311993</v>
      </c>
      <c r="M87" s="247">
        <f t="shared" si="59"/>
        <v>139459.93211547454</v>
      </c>
      <c r="N87" s="247">
        <f t="shared" si="59"/>
        <v>142227.31198822666</v>
      </c>
      <c r="O87" s="247">
        <f t="shared" si="59"/>
        <v>145049.60581038886</v>
      </c>
      <c r="P87" s="247">
        <f t="shared" si="59"/>
        <v>147927.90324219444</v>
      </c>
      <c r="Q87" s="247">
        <f t="shared" si="59"/>
        <v>150863.31556578368</v>
      </c>
      <c r="R87" s="247">
        <f t="shared" si="59"/>
        <v>153856.97611423722</v>
      </c>
      <c r="S87" s="247">
        <f t="shared" si="59"/>
        <v>156910.04070912302</v>
      </c>
      <c r="T87" s="247">
        <f t="shared" si="59"/>
        <v>160023.68810672444</v>
      </c>
      <c r="U87" s="247">
        <f t="shared" si="59"/>
        <v>163199.12045312332</v>
      </c>
      <c r="V87" s="247">
        <f t="shared" si="59"/>
        <v>166437.56374831242</v>
      </c>
      <c r="W87" s="247">
        <f t="shared" si="59"/>
        <v>169740.26831951714</v>
      </c>
      <c r="X87" s="247">
        <f t="shared" si="59"/>
        <v>173108.50930390862</v>
      </c>
      <c r="Y87" s="247">
        <f t="shared" si="59"/>
        <v>176543.58714089572</v>
      </c>
      <c r="Z87" s="247">
        <f t="shared" si="59"/>
        <v>180046.82807418442</v>
      </c>
      <c r="AA87" s="247">
        <f t="shared" si="59"/>
        <v>183619.58466379944</v>
      </c>
      <c r="AB87" s="436">
        <f>((AB62+AB46+AB73++SUM(AB75:AB77))-AB75)++IF(Termination_Value_OnOff="On",INDEX(Termination_Value_Table_End_of_Term,2,MATCH(Termination_Value_Percentage,Dashboard!C72:E72,0)),0)</f>
        <v>713084.67901216424</v>
      </c>
      <c r="AD87" s="580"/>
      <c r="AE87" s="581"/>
      <c r="AF87" s="582"/>
    </row>
    <row r="88" spans="1:32" ht="16" thickTop="1" thickBot="1" x14ac:dyDescent="0.25">
      <c r="A88" s="3"/>
      <c r="B88" s="210" t="s">
        <v>51</v>
      </c>
      <c r="C88" s="228">
        <f>C87</f>
        <v>-3505476.2846926562</v>
      </c>
      <c r="D88" s="228">
        <f t="shared" ref="D88:V88" si="60">C88+D87</f>
        <v>-2298533.5316198952</v>
      </c>
      <c r="E88" s="228">
        <f t="shared" si="60"/>
        <v>-1978444.6127231643</v>
      </c>
      <c r="F88" s="228">
        <f t="shared" si="60"/>
        <v>-1736356.8866231977</v>
      </c>
      <c r="G88" s="228">
        <f t="shared" si="60"/>
        <v>-1540077.0153342481</v>
      </c>
      <c r="H88" s="228">
        <f t="shared" si="60"/>
        <v>-1341337.5238424717</v>
      </c>
      <c r="I88" s="228">
        <f t="shared" si="60"/>
        <v>-1176254.3182932369</v>
      </c>
      <c r="J88" s="228">
        <f t="shared" si="60"/>
        <v>-1044777.6231505626</v>
      </c>
      <c r="K88" s="228">
        <f t="shared" si="60"/>
        <v>-910691.96197969303</v>
      </c>
      <c r="L88" s="228">
        <f t="shared" si="60"/>
        <v>-773945.56424657314</v>
      </c>
      <c r="M88" s="228">
        <f t="shared" si="60"/>
        <v>-634485.63213109854</v>
      </c>
      <c r="N88" s="228">
        <f t="shared" si="60"/>
        <v>-492258.32014287187</v>
      </c>
      <c r="O88" s="228">
        <f t="shared" si="60"/>
        <v>-347208.71433248301</v>
      </c>
      <c r="P88" s="228">
        <f t="shared" si="60"/>
        <v>-199280.81109028857</v>
      </c>
      <c r="Q88" s="228">
        <f t="shared" si="60"/>
        <v>-48417.495524504891</v>
      </c>
      <c r="R88" s="228">
        <f t="shared" si="60"/>
        <v>105439.48058973232</v>
      </c>
      <c r="S88" s="228">
        <f t="shared" si="60"/>
        <v>262349.52129885531</v>
      </c>
      <c r="T88" s="228">
        <f t="shared" si="60"/>
        <v>422373.20940557972</v>
      </c>
      <c r="U88" s="228">
        <f t="shared" si="60"/>
        <v>585572.32985870307</v>
      </c>
      <c r="V88" s="228">
        <f t="shared" si="60"/>
        <v>752009.89360701549</v>
      </c>
      <c r="W88" s="228">
        <f t="shared" ref="W88:AB88" si="61">V88+W87</f>
        <v>921750.16192653263</v>
      </c>
      <c r="X88" s="228">
        <f t="shared" si="61"/>
        <v>1094858.6712304412</v>
      </c>
      <c r="Y88" s="228">
        <f t="shared" si="61"/>
        <v>1271402.2583713369</v>
      </c>
      <c r="Z88" s="228">
        <f t="shared" si="61"/>
        <v>1451449.0864455213</v>
      </c>
      <c r="AA88" s="228">
        <f t="shared" si="61"/>
        <v>1635068.6711093208</v>
      </c>
      <c r="AB88" s="228">
        <f t="shared" si="61"/>
        <v>2348153.3501214851</v>
      </c>
      <c r="AD88" s="583"/>
      <c r="AE88" s="584"/>
      <c r="AF88" s="585"/>
    </row>
    <row r="89" spans="1:32" ht="14" x14ac:dyDescent="0.2">
      <c r="A89" s="3"/>
      <c r="B89" s="210" t="s">
        <v>223</v>
      </c>
      <c r="C89" s="228">
        <f>NPV(Investor_Discount_Rate,D87:AB87)+C87</f>
        <v>-250530.03907907056</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5.4541413842365438E-2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2" t="s">
        <v>184</v>
      </c>
      <c r="C94" s="572"/>
      <c r="D94" s="572"/>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120097.7433223095</v>
      </c>
      <c r="E103" s="228">
        <f>(((Unstructured!E30*Production_Delta_P95_P50)-Unstructured!E38)/Project_Loan_Coverage_Ratio)</f>
        <v>122480.71513750707</v>
      </c>
      <c r="F103" s="228">
        <f>(((Unstructured!F30*Production_Delta_P95_P50)-Unstructured!F38)/Project_Loan_Coverage_Ratio)</f>
        <v>124910.969100865</v>
      </c>
      <c r="G103" s="228">
        <f>(((Unstructured!G30*Production_Delta_P95_P50)-Unstructured!G38)/Project_Loan_Coverage_Ratio)</f>
        <v>127389.4433567447</v>
      </c>
      <c r="H103" s="228">
        <f>(((Unstructured!H30*Production_Delta_P95_P50)-Unstructured!H38)/Project_Loan_Coverage_Ratio)</f>
        <v>129917.09466335997</v>
      </c>
      <c r="I103" s="228">
        <f>(((Unstructured!I30*Production_Delta_P95_P50)-Unstructured!I38)/Project_Loan_Coverage_Ratio)</f>
        <v>132494.89876209226</v>
      </c>
      <c r="J103" s="228">
        <f>(((Unstructured!J30*Production_Delta_P95_P50)-Unstructured!J38)/Project_Loan_Coverage_Ratio)</f>
        <v>135123.85075413279</v>
      </c>
      <c r="K103" s="228">
        <f>(((Unstructured!K30*Production_Delta_P95_P50)-Unstructured!K38)/Project_Loan_Coverage_Ratio)</f>
        <v>137804.96548459801</v>
      </c>
      <c r="L103" s="228">
        <f>(((Unstructured!L30*Production_Delta_P95_P50)-Unstructured!L38)/Project_Loan_Coverage_Ratio)</f>
        <v>140539.27793426576</v>
      </c>
      <c r="M103" s="228">
        <f>(((Unstructured!M30*Production_Delta_P95_P50)-Unstructured!M38)/Project_Loan_Coverage_Ratio)</f>
        <v>143327.84361908387</v>
      </c>
      <c r="N103" s="228">
        <f>(((Unstructured!N30*Production_Delta_P95_P50)-Unstructured!N38)/Project_Loan_Coverage_Ratio)</f>
        <v>146171.73899760525</v>
      </c>
      <c r="O103" s="228">
        <f>(((Unstructured!O30*Production_Delta_P95_P50)-Unstructured!O38)/Project_Loan_Coverage_Ratio)</f>
        <v>149072.06188650659</v>
      </c>
      <c r="P103" s="228">
        <f>(((Unstructured!P30*Production_Delta_P95_P50)-Unstructured!P38)/Project_Loan_Coverage_Ratio)</f>
        <v>152029.93188435124</v>
      </c>
      <c r="Q103" s="228">
        <f>(((Unstructured!Q30*Production_Delta_P95_P50)-Unstructured!Q38)/Project_Loan_Coverage_Ratio)</f>
        <v>155046.49080376016</v>
      </c>
      <c r="R103" s="228">
        <f>(((Unstructured!R30*Production_Delta_P95_P50)-Unstructured!R38)/Project_Loan_Coverage_Ratio)</f>
        <v>158122.90311215646</v>
      </c>
      <c r="S103" s="228">
        <f>(((Unstructured!S30*Production_Delta_P95_P50)-Unstructured!S38)/Project_Loan_Coverage_Ratio)</f>
        <v>161260.35638125555</v>
      </c>
      <c r="T103" s="228">
        <f>(((Unstructured!T30*Production_Delta_P95_P50)-Unstructured!T38)/Project_Loan_Coverage_Ratio)</f>
        <v>164460.06174547289</v>
      </c>
      <c r="U103" s="228">
        <f>(((Unstructured!U30*Production_Delta_P95_P50)-Unstructured!U38)/Project_Loan_Coverage_Ratio)</f>
        <v>167723.25436942684</v>
      </c>
      <c r="V103" s="228">
        <f>(((Unstructured!V30*Production_Delta_P95_P50)-Unstructured!V38)/Project_Loan_Coverage_Ratio)</f>
        <v>171051.19392471714</v>
      </c>
      <c r="W103" s="228">
        <f>(((Unstructured!W30*Production_Delta_P95_P50)-Unstructured!W38)/Project_Loan_Coverage_Ratio)</f>
        <v>174445.16507616278</v>
      </c>
      <c r="X103" s="228">
        <f>(((Unstructured!X30*Production_Delta_P95_P50)-Unstructured!X38)/Project_Loan_Coverage_Ratio)</f>
        <v>177906.47797768726</v>
      </c>
      <c r="Y103" s="228">
        <f>(((Unstructured!Y30*Production_Delta_P95_P50)-Unstructured!Y38)/Project_Loan_Coverage_Ratio)</f>
        <v>181436.46877804224</v>
      </c>
      <c r="Z103" s="228">
        <f>(((Unstructured!Z30*Production_Delta_P95_P50)-Unstructured!Z38)/Project_Loan_Coverage_Ratio)</f>
        <v>185036.50013656524</v>
      </c>
      <c r="AA103" s="228">
        <f>(((Unstructured!AA30*Production_Delta_P95_P50)-Unstructured!AA38)/Project_Loan_Coverage_Ratio)</f>
        <v>188707.96174917009</v>
      </c>
      <c r="AB103" s="228">
        <f>(((Unstructured!AB30*Production_Delta_P95_P50)-Unstructured!AB38)/Project_Loan_Coverage_Ratio)</f>
        <v>192452.27088477323</v>
      </c>
      <c r="AC103" s="12"/>
    </row>
    <row r="104" spans="1:29" ht="14" x14ac:dyDescent="0.2">
      <c r="A104" s="3"/>
      <c r="B104" s="236" t="s">
        <v>71</v>
      </c>
      <c r="C104" s="228"/>
      <c r="D104" s="228">
        <f t="shared" ref="D104:V104" si="68">D103-D98</f>
        <v>120097.7433223095</v>
      </c>
      <c r="E104" s="228">
        <f t="shared" si="68"/>
        <v>122480.71513750707</v>
      </c>
      <c r="F104" s="228">
        <f t="shared" si="68"/>
        <v>124910.969100865</v>
      </c>
      <c r="G104" s="228">
        <f t="shared" si="68"/>
        <v>127389.4433567447</v>
      </c>
      <c r="H104" s="228">
        <f t="shared" si="68"/>
        <v>129917.09466335997</v>
      </c>
      <c r="I104" s="228">
        <f t="shared" si="68"/>
        <v>132494.89876209226</v>
      </c>
      <c r="J104" s="228">
        <f t="shared" si="68"/>
        <v>135123.85075413279</v>
      </c>
      <c r="K104" s="228">
        <f t="shared" si="68"/>
        <v>137804.96548459801</v>
      </c>
      <c r="L104" s="228">
        <f t="shared" si="68"/>
        <v>140539.27793426576</v>
      </c>
      <c r="M104" s="228">
        <f t="shared" si="68"/>
        <v>143327.84361908387</v>
      </c>
      <c r="N104" s="228">
        <f t="shared" si="68"/>
        <v>146171.73899760525</v>
      </c>
      <c r="O104" s="228">
        <f t="shared" si="68"/>
        <v>149072.06188650659</v>
      </c>
      <c r="P104" s="228">
        <f t="shared" si="68"/>
        <v>152029.93188435124</v>
      </c>
      <c r="Q104" s="228">
        <f t="shared" si="68"/>
        <v>155046.49080376016</v>
      </c>
      <c r="R104" s="228">
        <f t="shared" si="68"/>
        <v>158122.90311215646</v>
      </c>
      <c r="S104" s="228">
        <f t="shared" si="68"/>
        <v>161260.35638125555</v>
      </c>
      <c r="T104" s="228">
        <f t="shared" si="68"/>
        <v>164460.06174547289</v>
      </c>
      <c r="U104" s="228">
        <f t="shared" si="68"/>
        <v>167723.25436942684</v>
      </c>
      <c r="V104" s="228">
        <f t="shared" si="68"/>
        <v>171051.19392471714</v>
      </c>
      <c r="W104" s="228">
        <f t="shared" ref="W104:AB104" si="69">W103-W98</f>
        <v>174445.16507616278</v>
      </c>
      <c r="X104" s="228">
        <f t="shared" si="69"/>
        <v>177906.47797768726</v>
      </c>
      <c r="Y104" s="228">
        <f t="shared" si="69"/>
        <v>181436.46877804224</v>
      </c>
      <c r="Z104" s="228">
        <f t="shared" si="69"/>
        <v>185036.50013656524</v>
      </c>
      <c r="AA104" s="228">
        <f t="shared" si="69"/>
        <v>188707.96174917009</v>
      </c>
      <c r="AB104" s="228">
        <f t="shared" si="69"/>
        <v>192452.27088477323</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2" t="s">
        <v>183</v>
      </c>
      <c r="C109" s="572"/>
      <c r="D109" s="572">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151710.51248622022</v>
      </c>
      <c r="E113" s="228">
        <f>Unstructured!E30-(Unstructured!E38+Unstructured!E42)</f>
        <v>154720.99392188381</v>
      </c>
      <c r="F113" s="228">
        <f>Unstructured!F30-(Unstructured!F38+Unstructured!F42)</f>
        <v>157791.21337608126</v>
      </c>
      <c r="G113" s="228">
        <f>Unstructured!G30-(Unstructured!G38+Unstructured!G42)</f>
        <v>160922.35623593087</v>
      </c>
      <c r="H113" s="228">
        <f>Unstructured!H30-(Unstructured!H38+Unstructured!H42)</f>
        <v>164115.63140999997</v>
      </c>
      <c r="I113" s="228">
        <f>Unstructured!I30-(Unstructured!I38+Unstructured!I42)</f>
        <v>167372.27179503132</v>
      </c>
      <c r="J113" s="228">
        <f>Unstructured!J30-(Unstructured!J38+Unstructured!J42)</f>
        <v>170693.5347519303</v>
      </c>
      <c r="K113" s="228">
        <f>Unstructured!K30-(Unstructured!K38+Unstructured!K42)</f>
        <v>174080.7025911971</v>
      </c>
      <c r="L113" s="228">
        <f>Unstructured!L30-(Unstructured!L38+Unstructured!L42)</f>
        <v>177535.08306799078</v>
      </c>
      <c r="M113" s="228">
        <f>Unstructured!M30-(Unstructured!M38+Unstructured!M42)</f>
        <v>181058.00988701661</v>
      </c>
      <c r="N113" s="228">
        <f>Unstructured!N30-(Unstructured!N38+Unstructured!N42)</f>
        <v>184650.84321743157</v>
      </c>
      <c r="O113" s="228">
        <f>Unstructured!O30-(Unstructured!O38+Unstructured!O42)</f>
        <v>188314.97021796674</v>
      </c>
      <c r="P113" s="228">
        <f>Unstructured!P30-(Unstructured!P38+Unstructured!P42)</f>
        <v>192051.80557246925</v>
      </c>
      <c r="Q113" s="228">
        <f>Unstructured!Q30-(Unstructured!Q38+Unstructured!Q42)</f>
        <v>195862.79203607098</v>
      </c>
      <c r="R113" s="228">
        <f>Unstructured!R30-(Unstructured!R38+Unstructured!R42)</f>
        <v>199749.40099219375</v>
      </c>
      <c r="S113" s="228">
        <f>Unstructured!S30-(Unstructured!S38+Unstructured!S42)</f>
        <v>203713.13302060761</v>
      </c>
      <c r="T113" s="228">
        <f>Unstructured!T30-(Unstructured!T38+Unstructured!T42)</f>
        <v>207755.51847676004</v>
      </c>
      <c r="U113" s="228">
        <f>Unstructured!U30-(Unstructured!U38+Unstructured!U42)</f>
        <v>211878.11808260088</v>
      </c>
      <c r="V113" s="228">
        <f>Unstructured!V30-(Unstructured!V38+Unstructured!V42)</f>
        <v>216082.52352913009</v>
      </c>
      <c r="W113" s="228">
        <f>Unstructured!W30-(Unstructured!W38+Unstructured!W42)</f>
        <v>220370.35809090181</v>
      </c>
      <c r="X113" s="228">
        <f>Unstructured!X30-(Unstructured!X38+Unstructured!X42)</f>
        <v>224743.27725272134</v>
      </c>
      <c r="Y113" s="228">
        <f>Unstructured!Y30-(Unstructured!Y38+Unstructured!Y42)</f>
        <v>229202.96934877732</v>
      </c>
      <c r="Z113" s="228">
        <f>Unstructured!Z30-(Unstructured!Z38+Unstructured!Z42)</f>
        <v>233751.15621445558</v>
      </c>
      <c r="AA113" s="228">
        <f>Unstructured!AA30-(Unstructured!AA38+Unstructured!AA42)</f>
        <v>238389.5938510866</v>
      </c>
      <c r="AB113" s="228">
        <f>Unstructured!AB30-(Unstructured!AB38+Unstructured!AB42)</f>
        <v>243120.07310388301</v>
      </c>
      <c r="AC113" s="12"/>
    </row>
    <row r="114" spans="1:29" ht="14" x14ac:dyDescent="0.2">
      <c r="A114" s="3"/>
      <c r="B114" s="236" t="s">
        <v>20</v>
      </c>
      <c r="C114" s="245"/>
      <c r="D114" s="228">
        <f>IF(AND(Owner_is_Taxpayer_Non_Taxpayer?="Taxpayer",Unstructured!D17&lt;7),VLOOKUP(Unstructured!D17,Depreciation_Table,4),0)</f>
        <v>546558.95900000003</v>
      </c>
      <c r="E114" s="228">
        <f>IF(AND(Owner_is_Taxpayer_Non_Taxpayer?="Taxpayer",Unstructured!E17&lt;7),VLOOKUP(Unstructured!E17,Depreciation_Table,4),0)</f>
        <v>874494.33440000005</v>
      </c>
      <c r="F114" s="228">
        <f>IF(AND(Owner_is_Taxpayer_Non_Taxpayer?="Taxpayer",Unstructured!F17&lt;7),VLOOKUP(Unstructured!F17,Depreciation_Table,4),0)</f>
        <v>524696.60063999996</v>
      </c>
      <c r="G114" s="228">
        <f>IF(AND(Owner_is_Taxpayer_Non_Taxpayer?="Taxpayer",Unstructured!G17&lt;7),VLOOKUP(Unstructured!G17,Depreciation_Table,4),0)</f>
        <v>314817.96038399998</v>
      </c>
      <c r="H114" s="228">
        <f>IF(AND(Owner_is_Taxpayer_Non_Taxpayer?="Taxpayer",Unstructured!H17&lt;7),VLOOKUP(Unstructured!H17,Depreciation_Table,4),0)</f>
        <v>314817.96038399998</v>
      </c>
      <c r="I114" s="228">
        <f>IF(AND(Owner_is_Taxpayer_Non_Taxpayer?="Taxpayer",Unstructured!I17&lt;7),VLOOKUP(Unstructured!I17,Depreciation_Table,4),0)</f>
        <v>157408.98019199999</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9963.2916030313354</v>
      </c>
      <c r="J116" s="247">
        <f t="shared" si="74"/>
        <v>170693.5347519303</v>
      </c>
      <c r="K116" s="247">
        <f t="shared" si="74"/>
        <v>174080.7025911971</v>
      </c>
      <c r="L116" s="247">
        <f t="shared" si="74"/>
        <v>177535.08306799078</v>
      </c>
      <c r="M116" s="247">
        <f t="shared" si="74"/>
        <v>181058.00988701661</v>
      </c>
      <c r="N116" s="247">
        <f t="shared" si="74"/>
        <v>184650.84321743157</v>
      </c>
      <c r="O116" s="247">
        <f t="shared" si="74"/>
        <v>188314.97021796674</v>
      </c>
      <c r="P116" s="247">
        <f t="shared" si="74"/>
        <v>192051.80557246925</v>
      </c>
      <c r="Q116" s="247">
        <f t="shared" si="74"/>
        <v>195862.79203607098</v>
      </c>
      <c r="R116" s="247">
        <f t="shared" si="74"/>
        <v>199749.40099219375</v>
      </c>
      <c r="S116" s="247">
        <f t="shared" si="74"/>
        <v>203713.13302060761</v>
      </c>
      <c r="T116" s="247">
        <f t="shared" si="74"/>
        <v>207755.51847676004</v>
      </c>
      <c r="U116" s="247">
        <f t="shared" si="74"/>
        <v>211878.11808260088</v>
      </c>
      <c r="V116" s="247">
        <f t="shared" si="74"/>
        <v>216082.52352913009</v>
      </c>
      <c r="W116" s="247">
        <f t="shared" ref="W116:AB116" si="75">IF(W113&gt;(W114+W115),W113-(W114+W115),0)</f>
        <v>220370.35809090181</v>
      </c>
      <c r="X116" s="247">
        <f t="shared" si="75"/>
        <v>224743.27725272134</v>
      </c>
      <c r="Y116" s="247">
        <f t="shared" si="75"/>
        <v>229202.96934877732</v>
      </c>
      <c r="Z116" s="247">
        <f t="shared" si="75"/>
        <v>233751.15621445558</v>
      </c>
      <c r="AA116" s="247">
        <f t="shared" si="75"/>
        <v>238389.5938510866</v>
      </c>
      <c r="AB116" s="247">
        <f t="shared" si="75"/>
        <v>243120.07310388301</v>
      </c>
      <c r="AC116" s="12"/>
    </row>
    <row r="117" spans="1:29" ht="15" thickTop="1" x14ac:dyDescent="0.2">
      <c r="A117" s="3"/>
      <c r="B117" s="236" t="s">
        <v>79</v>
      </c>
      <c r="C117" s="245"/>
      <c r="D117" s="228">
        <f>IF(D113&gt;(D114+D115),0,(D114+D115)-D113)</f>
        <v>394848.44651377981</v>
      </c>
      <c r="E117" s="228">
        <f t="shared" ref="E117:V117" si="76">IF(E113&gt;(E114+E115),0,(E114+E115)-E113)</f>
        <v>719773.34047811618</v>
      </c>
      <c r="F117" s="228">
        <f t="shared" si="76"/>
        <v>366905.3872639187</v>
      </c>
      <c r="G117" s="228">
        <f t="shared" si="76"/>
        <v>153895.60414806911</v>
      </c>
      <c r="H117" s="228">
        <f t="shared" si="76"/>
        <v>150702.328974</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151710.51248622022</v>
      </c>
      <c r="E120" s="228">
        <f>Unstructured!E30-(Unstructured!E38+Unstructured!E42+Unstructured!E53)</f>
        <v>154720.99392188381</v>
      </c>
      <c r="F120" s="228">
        <f>Unstructured!F30-(Unstructured!F38+Unstructured!F42+Unstructured!F53)</f>
        <v>157791.21337608126</v>
      </c>
      <c r="G120" s="228">
        <f>Unstructured!G30-(Unstructured!G38+Unstructured!G42+Unstructured!G53)</f>
        <v>160922.35623593087</v>
      </c>
      <c r="H120" s="228">
        <f>Unstructured!H30-(Unstructured!H38+Unstructured!H42+Unstructured!H53)</f>
        <v>164115.63140999997</v>
      </c>
      <c r="I120" s="228">
        <f>Unstructured!I30-(Unstructured!I38+Unstructured!I42+Unstructured!I53)</f>
        <v>167123.18950495552</v>
      </c>
      <c r="J120" s="228">
        <f>Unstructured!J30-(Unstructured!J38+Unstructured!J42+Unstructured!J53)</f>
        <v>166426.19638313205</v>
      </c>
      <c r="K120" s="228">
        <f>Unstructured!K30-(Unstructured!K38+Unstructured!K42+Unstructured!K53)</f>
        <v>169728.68502641717</v>
      </c>
      <c r="L120" s="228">
        <f>Unstructured!L30-(Unstructured!L38+Unstructured!L42+Unstructured!L53)</f>
        <v>173096.70599129103</v>
      </c>
      <c r="M120" s="228">
        <f>Unstructured!M30-(Unstructured!M38+Unstructured!M42+Unstructured!M53)</f>
        <v>176531.55963984117</v>
      </c>
      <c r="N120" s="228">
        <f>Unstructured!N30-(Unstructured!N38+Unstructured!N42+Unstructured!N53)</f>
        <v>180034.57213699576</v>
      </c>
      <c r="O120" s="228">
        <f>Unstructured!O30-(Unstructured!O38+Unstructured!O42+Unstructured!O53)</f>
        <v>183607.09596251755</v>
      </c>
      <c r="P120" s="228">
        <f>Unstructured!P30-(Unstructured!P38+Unstructured!P42+Unstructured!P53)</f>
        <v>187250.51043315753</v>
      </c>
      <c r="Q120" s="228">
        <f>Unstructured!Q30-(Unstructured!Q38+Unstructured!Q42+Unstructured!Q53)</f>
        <v>190966.2222351692</v>
      </c>
      <c r="R120" s="228">
        <f>Unstructured!R30-(Unstructured!R38+Unstructured!R42+Unstructured!R53)</f>
        <v>194755.66596738889</v>
      </c>
      <c r="S120" s="228">
        <f>Unstructured!S30-(Unstructured!S38+Unstructured!S42+Unstructured!S53)</f>
        <v>198620.30469509243</v>
      </c>
      <c r="T120" s="228">
        <f>Unstructured!T30-(Unstructured!T38+Unstructured!T42+Unstructured!T53)</f>
        <v>202561.63051484106</v>
      </c>
      <c r="U120" s="228">
        <f>Unstructured!U30-(Unstructured!U38+Unstructured!U42+Unstructured!U53)</f>
        <v>206581.16513053584</v>
      </c>
      <c r="V120" s="228">
        <f>Unstructured!V30-(Unstructured!V38+Unstructured!V42+Unstructured!V53)</f>
        <v>210680.46044090181</v>
      </c>
      <c r="W120" s="228">
        <f>Unstructured!W30-(Unstructured!W38+Unstructured!W42+Unstructured!W53)</f>
        <v>214861.09913862927</v>
      </c>
      <c r="X120" s="228">
        <f>Unstructured!X30-(Unstructured!X38+Unstructured!X42+Unstructured!X53)</f>
        <v>219124.6953214033</v>
      </c>
      <c r="Y120" s="228">
        <f>Unstructured!Y30-(Unstructured!Y38+Unstructured!Y42+Unstructured!Y53)</f>
        <v>223472.89511505788</v>
      </c>
      <c r="Z120" s="228">
        <f>Unstructured!Z30-(Unstructured!Z38+Unstructured!Z42+Unstructured!Z53)</f>
        <v>227907.37730909418</v>
      </c>
      <c r="AA120" s="228">
        <f>Unstructured!AA30-(Unstructured!AA38+Unstructured!AA42+Unstructured!AA53)</f>
        <v>232429.85400480943</v>
      </c>
      <c r="AB120" s="228">
        <f>Unstructured!AB30-(Unstructured!AB38+Unstructured!AB42+Unstructured!AB53)</f>
        <v>237042.07127628592</v>
      </c>
      <c r="AC120" s="12"/>
    </row>
    <row r="121" spans="1:29" ht="14" x14ac:dyDescent="0.2">
      <c r="A121" s="3"/>
      <c r="B121" s="236" t="s">
        <v>177</v>
      </c>
      <c r="C121" s="245"/>
      <c r="D121" s="228">
        <f>IF(AND(Owner_is_Taxpayer_Non_Taxpayer?="Taxpayer",Unstructured!D17&lt;7),(VLOOKUP(Unstructured!D17,Depreciation_Table,3)),0)</f>
        <v>546558.95900000003</v>
      </c>
      <c r="E121" s="228">
        <f>IF(AND(Owner_is_Taxpayer_Non_Taxpayer?="Taxpayer",Unstructured!E17&lt;7),(VLOOKUP(Unstructured!E17,Depreciation_Table,3)),0)</f>
        <v>874494.33440000005</v>
      </c>
      <c r="F121" s="228">
        <f>IF(AND(Owner_is_Taxpayer_Non_Taxpayer?="Taxpayer",Unstructured!F17&lt;7),(VLOOKUP(Unstructured!F17,Depreciation_Table,3)),0)</f>
        <v>524696.60063999996</v>
      </c>
      <c r="G121" s="228">
        <f>IF(AND(Owner_is_Taxpayer_Non_Taxpayer?="Taxpayer",Unstructured!G17&lt;7),(VLOOKUP(Unstructured!G17,Depreciation_Table,3)),0)</f>
        <v>314817.96038399998</v>
      </c>
      <c r="H121" s="228">
        <f>IF(AND(Owner_is_Taxpayer_Non_Taxpayer?="Taxpayer",Unstructured!H17&lt;7),(VLOOKUP(Unstructured!H17,Depreciation_Table,3)),0)</f>
        <v>314817.96038399998</v>
      </c>
      <c r="I121" s="228">
        <f>IF(AND(Owner_is_Taxpayer_Non_Taxpayer?="Taxpayer",Unstructured!I17&lt;7),(VLOOKUP(Unstructured!I17,Depreciation_Table,3)),0)</f>
        <v>157408.98019199999</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9714.2093129555287</v>
      </c>
      <c r="J123" s="247">
        <f t="shared" si="80"/>
        <v>166426.19638313205</v>
      </c>
      <c r="K123" s="247">
        <f t="shared" si="80"/>
        <v>169728.68502641717</v>
      </c>
      <c r="L123" s="247">
        <f t="shared" si="80"/>
        <v>173096.70599129103</v>
      </c>
      <c r="M123" s="247">
        <f t="shared" si="80"/>
        <v>176531.55963984117</v>
      </c>
      <c r="N123" s="247">
        <f t="shared" si="80"/>
        <v>180034.57213699576</v>
      </c>
      <c r="O123" s="247">
        <f t="shared" si="80"/>
        <v>183607.09596251755</v>
      </c>
      <c r="P123" s="247">
        <f t="shared" si="80"/>
        <v>187250.51043315753</v>
      </c>
      <c r="Q123" s="247">
        <f t="shared" si="80"/>
        <v>190966.2222351692</v>
      </c>
      <c r="R123" s="247">
        <f t="shared" si="80"/>
        <v>194755.66596738889</v>
      </c>
      <c r="S123" s="247">
        <f t="shared" si="80"/>
        <v>198620.30469509243</v>
      </c>
      <c r="T123" s="247">
        <f t="shared" si="80"/>
        <v>202561.63051484106</v>
      </c>
      <c r="U123" s="247">
        <f t="shared" si="80"/>
        <v>206581.16513053584</v>
      </c>
      <c r="V123" s="247">
        <f t="shared" si="80"/>
        <v>210680.46044090181</v>
      </c>
      <c r="W123" s="247">
        <f t="shared" ref="W123:AB123" si="81">IF(W120&gt;(W121+W122),W120-(W121+W122),0)</f>
        <v>214861.09913862927</v>
      </c>
      <c r="X123" s="247">
        <f t="shared" si="81"/>
        <v>219124.6953214033</v>
      </c>
      <c r="Y123" s="247">
        <f t="shared" si="81"/>
        <v>223472.89511505788</v>
      </c>
      <c r="Z123" s="247">
        <f t="shared" si="81"/>
        <v>227907.37730909418</v>
      </c>
      <c r="AA123" s="247">
        <f t="shared" si="81"/>
        <v>232429.85400480943</v>
      </c>
      <c r="AB123" s="247">
        <f t="shared" si="81"/>
        <v>237042.07127628592</v>
      </c>
      <c r="AC123" s="12"/>
    </row>
    <row r="124" spans="1:29" ht="15" thickTop="1" x14ac:dyDescent="0.2">
      <c r="A124" s="3"/>
      <c r="B124" s="237" t="s">
        <v>179</v>
      </c>
      <c r="C124" s="248"/>
      <c r="D124" s="196">
        <f t="shared" ref="D124:V124" si="82">IF(D120&gt;(D121+D122),0,(D121+D122)-D120)</f>
        <v>394848.44651377981</v>
      </c>
      <c r="E124" s="196">
        <f t="shared" si="82"/>
        <v>719773.34047811618</v>
      </c>
      <c r="F124" s="196">
        <f t="shared" si="82"/>
        <v>366905.3872639187</v>
      </c>
      <c r="G124" s="196">
        <f t="shared" si="82"/>
        <v>153895.60414806911</v>
      </c>
      <c r="H124" s="196">
        <f t="shared" si="82"/>
        <v>150702.328974</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66" t="s">
        <v>61</v>
      </c>
      <c r="D132" s="567"/>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3505476.2846926562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68" t="s">
        <v>43</v>
      </c>
      <c r="D136" s="569"/>
      <c r="E136" s="569"/>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0.61315279504587872</v>
      </c>
      <c r="E137" s="45">
        <f>NPV(Dashboard!$H$25,D152:AB152)</f>
        <v>1995779.3882220595</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0.27823766647691633</v>
      </c>
      <c r="E138" s="46">
        <f>NPV(Dashboard!$H$25,D153:W153)</f>
        <v>905648.64788732387</v>
      </c>
    </row>
    <row r="139" spans="2:29" ht="14" x14ac:dyDescent="0.2">
      <c r="C139" s="50" t="s">
        <v>18</v>
      </c>
      <c r="D139" s="55">
        <f>E139/$E$141</f>
        <v>9.9273136366542059E-2</v>
      </c>
      <c r="E139" s="46">
        <f>NPV(Dashboard!$H$25,D154:AB154)</f>
        <v>323128.72250656161</v>
      </c>
    </row>
    <row r="140" spans="2:29" ht="15" thickBot="1" x14ac:dyDescent="0.25">
      <c r="C140" s="50" t="s">
        <v>47</v>
      </c>
      <c r="D140" s="56">
        <f>E140/$E$141</f>
        <v>9.3364021106628874E-3</v>
      </c>
      <c r="E140" s="47">
        <f>NPV(Dashboard!$H$25,D155:AB155)</f>
        <v>30389.486997640921</v>
      </c>
      <c r="O140" t="s">
        <v>349</v>
      </c>
    </row>
    <row r="141" spans="2:29" ht="15" thickTop="1" x14ac:dyDescent="0.2">
      <c r="C141" s="43"/>
      <c r="D141" s="57">
        <f>SUM(D137:D140)</f>
        <v>0.99999999999999989</v>
      </c>
      <c r="E141" s="44">
        <f>SUM(E137:E140)</f>
        <v>3254946.2456135857</v>
      </c>
    </row>
    <row r="143" spans="2:29" ht="14" x14ac:dyDescent="0.2">
      <c r="B143" s="1"/>
      <c r="C143" s="566" t="s">
        <v>44</v>
      </c>
      <c r="D143" s="567"/>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66" t="s">
        <v>29</v>
      </c>
      <c r="D148" s="567"/>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151710.51248622022</v>
      </c>
      <c r="E152" s="49">
        <f>Unstructured!E80</f>
        <v>154720.99392188387</v>
      </c>
      <c r="F152" s="49">
        <f>Unstructured!F80</f>
        <v>157791.21337608132</v>
      </c>
      <c r="G152" s="49">
        <f>Unstructured!G80</f>
        <v>160922.35623593087</v>
      </c>
      <c r="H152" s="49">
        <f>Unstructured!H80</f>
        <v>164115.63140999997</v>
      </c>
      <c r="I152" s="49">
        <f>Unstructured!I80</f>
        <v>165083.20554923484</v>
      </c>
      <c r="J152" s="49">
        <f>Unstructured!J80</f>
        <v>131476.69514267432</v>
      </c>
      <c r="K152" s="49">
        <f>Unstructured!K80</f>
        <v>134085.66117086957</v>
      </c>
      <c r="L152" s="49">
        <f>Unstructured!L80</f>
        <v>136746.39773311993</v>
      </c>
      <c r="M152" s="49">
        <f>Unstructured!M80</f>
        <v>139459.93211547454</v>
      </c>
      <c r="N152" s="49">
        <f>Unstructured!N80</f>
        <v>142227.31198822666</v>
      </c>
      <c r="O152" s="49">
        <f>Unstructured!O80</f>
        <v>145049.60581038886</v>
      </c>
      <c r="P152" s="49">
        <f>Unstructured!P80</f>
        <v>147927.90324219444</v>
      </c>
      <c r="Q152" s="49">
        <f>Unstructured!Q80</f>
        <v>150863.31556578368</v>
      </c>
      <c r="R152" s="49">
        <f>Unstructured!R80</f>
        <v>153856.97611423722</v>
      </c>
      <c r="S152" s="49">
        <f>Unstructured!S80</f>
        <v>156910.04070912302</v>
      </c>
      <c r="T152" s="49">
        <f>Unstructured!T80</f>
        <v>160023.68810672444</v>
      </c>
      <c r="U152" s="49">
        <f>Unstructured!U80</f>
        <v>163199.12045312332</v>
      </c>
      <c r="V152" s="49">
        <f>Unstructured!V80</f>
        <v>166437.56374831242</v>
      </c>
      <c r="W152" s="49">
        <f>Unstructured!W80</f>
        <v>169740.26831951714</v>
      </c>
      <c r="X152" s="49">
        <f>Unstructured!X80</f>
        <v>173108.50930390862</v>
      </c>
      <c r="Y152" s="49">
        <f>Unstructured!Y80</f>
        <v>176543.58714089572</v>
      </c>
      <c r="Z152" s="49">
        <f>Unstructured!Z80</f>
        <v>180046.82807418442</v>
      </c>
      <c r="AA152" s="49">
        <f>Unstructured!AA80</f>
        <v>183619.58466379944</v>
      </c>
      <c r="AB152" s="49">
        <f>Unstructured!AB80</f>
        <v>713084.67901216424</v>
      </c>
      <c r="AC152" s="49"/>
    </row>
    <row r="153" spans="2:29" ht="14" x14ac:dyDescent="0.2">
      <c r="C153" s="50" t="s">
        <v>17</v>
      </c>
      <c r="D153" s="51">
        <f>Unstructured!D69</f>
        <v>964515.80999999982</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82918.173767893764</v>
      </c>
      <c r="E154" s="51">
        <f>Unstructured!E70</f>
        <v>151152.4015004044</v>
      </c>
      <c r="F154" s="51">
        <f>Unstructured!F70</f>
        <v>77050.131325422932</v>
      </c>
      <c r="G154" s="51">
        <f>Unstructured!G70</f>
        <v>32318.076871094512</v>
      </c>
      <c r="H154" s="51">
        <f>Unstructured!H70</f>
        <v>31647.48908454</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7798.2568186471526</v>
      </c>
      <c r="E155" s="53">
        <f>Unstructured!E72</f>
        <v>14215.523474442794</v>
      </c>
      <c r="F155" s="53">
        <f>Unstructured!F72</f>
        <v>7246.3813984623957</v>
      </c>
      <c r="G155" s="53">
        <f>Unstructured!G72</f>
        <v>3039.4381819243649</v>
      </c>
      <c r="H155" s="53">
        <f>Unstructured!H72</f>
        <v>2976.3709972365004</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395"/>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2" t="s">
        <v>409</v>
      </c>
    </row>
    <row r="158" spans="2:29" ht="14" x14ac:dyDescent="0.2">
      <c r="C158" s="552"/>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151710.51248622022</v>
      </c>
      <c r="E159" s="51">
        <f t="shared" ref="E159:V159" si="84">E152</f>
        <v>154720.99392188387</v>
      </c>
      <c r="F159" s="51">
        <f t="shared" si="84"/>
        <v>157791.21337608132</v>
      </c>
      <c r="G159" s="51">
        <f t="shared" si="84"/>
        <v>160922.35623593087</v>
      </c>
      <c r="H159" s="51">
        <f t="shared" si="84"/>
        <v>164115.63140999997</v>
      </c>
      <c r="I159" s="51">
        <f t="shared" si="84"/>
        <v>165083.20554923484</v>
      </c>
      <c r="J159" s="51">
        <f t="shared" si="84"/>
        <v>131476.69514267432</v>
      </c>
      <c r="K159" s="51">
        <f t="shared" si="84"/>
        <v>134085.66117086957</v>
      </c>
      <c r="L159" s="51">
        <f t="shared" si="84"/>
        <v>136746.39773311993</v>
      </c>
      <c r="M159" s="51">
        <f t="shared" si="84"/>
        <v>139459.93211547454</v>
      </c>
      <c r="N159" s="51">
        <f t="shared" si="84"/>
        <v>142227.31198822666</v>
      </c>
      <c r="O159" s="51">
        <f t="shared" si="84"/>
        <v>145049.60581038886</v>
      </c>
      <c r="P159" s="51">
        <f t="shared" si="84"/>
        <v>147927.90324219444</v>
      </c>
      <c r="Q159" s="51">
        <f t="shared" si="84"/>
        <v>150863.31556578368</v>
      </c>
      <c r="R159" s="51">
        <f t="shared" si="84"/>
        <v>153856.97611423722</v>
      </c>
      <c r="S159" s="51">
        <f t="shared" si="84"/>
        <v>156910.04070912302</v>
      </c>
      <c r="T159" s="51">
        <f t="shared" si="84"/>
        <v>160023.68810672444</v>
      </c>
      <c r="U159" s="51">
        <f t="shared" si="84"/>
        <v>163199.12045312332</v>
      </c>
      <c r="V159" s="51">
        <f t="shared" si="84"/>
        <v>166437.56374831242</v>
      </c>
      <c r="W159" s="51">
        <f t="shared" ref="W159:AB159" si="85">W152</f>
        <v>169740.26831951714</v>
      </c>
      <c r="X159" s="51">
        <f t="shared" si="85"/>
        <v>173108.50930390862</v>
      </c>
      <c r="Y159" s="51">
        <f t="shared" si="85"/>
        <v>176543.58714089572</v>
      </c>
      <c r="Z159" s="51">
        <f t="shared" si="85"/>
        <v>180046.82807418442</v>
      </c>
      <c r="AA159" s="51">
        <f t="shared" si="85"/>
        <v>183619.58466379944</v>
      </c>
      <c r="AB159" s="51">
        <f t="shared" si="85"/>
        <v>713084.67901216424</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53" t="s">
        <v>411</v>
      </c>
    </row>
    <row r="164" spans="3:29" ht="14" x14ac:dyDescent="0.2">
      <c r="C164" s="554"/>
      <c r="D164" s="402">
        <v>1</v>
      </c>
      <c r="E164" s="403">
        <v>2</v>
      </c>
      <c r="F164" s="403">
        <v>3</v>
      </c>
      <c r="G164" s="403">
        <v>4</v>
      </c>
      <c r="H164" s="403">
        <v>5</v>
      </c>
      <c r="I164" s="403">
        <v>6</v>
      </c>
      <c r="J164" s="403">
        <v>7</v>
      </c>
      <c r="K164" s="403">
        <v>8</v>
      </c>
      <c r="L164" s="403">
        <v>9</v>
      </c>
      <c r="M164" s="403">
        <v>10</v>
      </c>
    </row>
    <row r="165" spans="3:29" ht="14" x14ac:dyDescent="0.2">
      <c r="C165" s="396" t="s">
        <v>412</v>
      </c>
      <c r="D165" s="397"/>
      <c r="E165" s="397"/>
      <c r="F165" s="397"/>
      <c r="G165" s="397"/>
      <c r="H165" s="397"/>
      <c r="I165" s="397"/>
      <c r="J165" s="397"/>
      <c r="K165" s="397"/>
      <c r="L165" s="397"/>
      <c r="M165" s="398"/>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1166420.2667977968</v>
      </c>
      <c r="E166" s="51">
        <f t="shared" si="90"/>
        <v>183643.81022400002</v>
      </c>
      <c r="F166" s="51">
        <f t="shared" si="90"/>
        <v>110186.28613439998</v>
      </c>
      <c r="G166" s="51">
        <f t="shared" si="90"/>
        <v>66111.771680639999</v>
      </c>
      <c r="H166" s="51">
        <f t="shared" si="90"/>
        <v>66111.771680639999</v>
      </c>
      <c r="I166" s="51">
        <f t="shared" si="90"/>
        <v>33055.885840319999</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151710.51248622022</v>
      </c>
      <c r="E167" s="51">
        <f t="shared" si="91"/>
        <v>154720.99392188381</v>
      </c>
      <c r="F167" s="51">
        <f t="shared" si="91"/>
        <v>157791.21337608126</v>
      </c>
      <c r="G167" s="51">
        <f t="shared" si="91"/>
        <v>160922.35623593087</v>
      </c>
      <c r="H167" s="51">
        <f t="shared" si="91"/>
        <v>164115.63140999997</v>
      </c>
      <c r="I167" s="51">
        <f t="shared" si="91"/>
        <v>167372.27179503132</v>
      </c>
      <c r="J167" s="51">
        <f t="shared" si="91"/>
        <v>170693.5347519303</v>
      </c>
      <c r="K167" s="51">
        <f t="shared" si="91"/>
        <v>174080.7025911971</v>
      </c>
      <c r="L167" s="51">
        <f t="shared" si="91"/>
        <v>177535.08306799078</v>
      </c>
      <c r="M167" s="46">
        <f t="shared" si="91"/>
        <v>181058.00988701661</v>
      </c>
      <c r="N167" s="51"/>
      <c r="O167" s="51"/>
      <c r="P167" s="51"/>
      <c r="Q167" s="51"/>
      <c r="R167" s="51"/>
      <c r="S167" s="51"/>
      <c r="T167" s="51"/>
    </row>
    <row r="168" spans="3:29" ht="14" x14ac:dyDescent="0.2">
      <c r="C168" s="50" t="s">
        <v>417</v>
      </c>
      <c r="D168" s="51">
        <f>IF(D166&gt;=D167,-(D167-D166),0)</f>
        <v>1014709.7543115766</v>
      </c>
      <c r="E168" s="51">
        <f t="shared" ref="E168:M168" si="92">IF(E166&gt;=E167,-(E167-E166),0)</f>
        <v>28922.816302116204</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399"/>
      <c r="M169" s="400"/>
    </row>
    <row r="170" spans="3:29" ht="14" x14ac:dyDescent="0.2">
      <c r="C170" s="401" t="s">
        <v>414</v>
      </c>
      <c r="M170" s="400"/>
    </row>
    <row r="171" spans="3:29" ht="14" x14ac:dyDescent="0.2">
      <c r="C171" s="50" t="s">
        <v>413</v>
      </c>
      <c r="D171" s="51">
        <f>D166</f>
        <v>1166420.2667977968</v>
      </c>
      <c r="E171" s="51">
        <f t="shared" ref="E171:M171" si="93">E166</f>
        <v>183643.81022400002</v>
      </c>
      <c r="F171" s="51">
        <f t="shared" si="93"/>
        <v>110186.28613439998</v>
      </c>
      <c r="G171" s="51">
        <f t="shared" si="93"/>
        <v>66111.771680639999</v>
      </c>
      <c r="H171" s="51">
        <f t="shared" si="93"/>
        <v>66111.771680639999</v>
      </c>
      <c r="I171" s="51">
        <f t="shared" si="93"/>
        <v>33055.885840319999</v>
      </c>
      <c r="J171" s="51">
        <f t="shared" si="93"/>
        <v>0</v>
      </c>
      <c r="K171" s="51">
        <f t="shared" si="93"/>
        <v>0</v>
      </c>
      <c r="L171" s="51">
        <f t="shared" si="93"/>
        <v>0</v>
      </c>
      <c r="M171" s="46">
        <f t="shared" si="93"/>
        <v>0</v>
      </c>
    </row>
    <row r="172" spans="3:29" ht="14" x14ac:dyDescent="0.2">
      <c r="C172" s="50" t="s">
        <v>410</v>
      </c>
      <c r="D172" s="51">
        <f>D167</f>
        <v>151710.51248622022</v>
      </c>
      <c r="E172" s="51">
        <f t="shared" ref="E172:M172" si="94">E167</f>
        <v>154720.99392188381</v>
      </c>
      <c r="F172" s="51">
        <f t="shared" si="94"/>
        <v>157791.21337608126</v>
      </c>
      <c r="G172" s="51">
        <f t="shared" si="94"/>
        <v>160922.35623593087</v>
      </c>
      <c r="H172" s="51">
        <f t="shared" si="94"/>
        <v>164115.63140999997</v>
      </c>
      <c r="I172" s="51">
        <f t="shared" si="94"/>
        <v>167372.27179503132</v>
      </c>
      <c r="J172" s="51">
        <f t="shared" si="94"/>
        <v>170693.5347519303</v>
      </c>
      <c r="K172" s="51">
        <f t="shared" si="94"/>
        <v>174080.7025911971</v>
      </c>
      <c r="L172" s="51">
        <f t="shared" si="94"/>
        <v>177535.08306799078</v>
      </c>
      <c r="M172" s="46">
        <f t="shared" si="94"/>
        <v>181058.00988701661</v>
      </c>
    </row>
    <row r="173" spans="3:29" ht="14" x14ac:dyDescent="0.2">
      <c r="C173" s="50" t="s">
        <v>416</v>
      </c>
      <c r="D173" s="51">
        <f>IF(D166&gt;=D167,-(D167-D166),0)</f>
        <v>1014709.7543115766</v>
      </c>
      <c r="E173" s="51">
        <f t="shared" ref="E173:M173" si="95">IF(E166&gt;=E167,-(E167-E166),0)</f>
        <v>28922.816302116204</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1014709.7543115766</v>
      </c>
      <c r="E174" s="53">
        <f>MAX((D174 +E171)-E172,0)</f>
        <v>1043632.5706136927</v>
      </c>
      <c r="F174" s="53">
        <f t="shared" ref="F174:M174" si="96">MAX((E174 +F171)-F172,0)</f>
        <v>996027.64337201137</v>
      </c>
      <c r="G174" s="53">
        <f t="shared" si="96"/>
        <v>901217.0588167205</v>
      </c>
      <c r="H174" s="53">
        <f t="shared" si="96"/>
        <v>803213.19908736064</v>
      </c>
      <c r="I174" s="53">
        <f t="shared" si="96"/>
        <v>668896.81313264929</v>
      </c>
      <c r="J174" s="53">
        <f t="shared" si="96"/>
        <v>498203.27838071901</v>
      </c>
      <c r="K174" s="53">
        <f t="shared" si="96"/>
        <v>324122.57578952191</v>
      </c>
      <c r="L174" s="53">
        <f t="shared" si="96"/>
        <v>146587.49272153113</v>
      </c>
      <c r="M174" s="44">
        <f t="shared" si="96"/>
        <v>0</v>
      </c>
    </row>
    <row r="202" spans="15:15" x14ac:dyDescent="0.15">
      <c r="O202" s="34" t="s">
        <v>418</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9"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55" t="s">
        <v>0</v>
      </c>
      <c r="O4" s="556"/>
      <c r="P4" s="556"/>
      <c r="Q4" s="556"/>
      <c r="R4" s="556"/>
      <c r="S4" s="556"/>
      <c r="T4" s="556"/>
      <c r="U4" s="556"/>
      <c r="V4" s="556"/>
      <c r="W4" s="556"/>
      <c r="X4" s="556"/>
      <c r="Y4" s="556"/>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5" t="s">
        <v>464</v>
      </c>
      <c r="I5" s="475"/>
      <c r="J5" s="475"/>
      <c r="K5" s="475"/>
      <c r="L5" s="475"/>
      <c r="N5" s="557" t="s">
        <v>134</v>
      </c>
      <c r="O5" s="558"/>
      <c r="P5" s="558"/>
      <c r="Q5" s="558"/>
      <c r="R5" s="558"/>
      <c r="S5" s="558"/>
      <c r="T5" s="558"/>
      <c r="U5" s="558"/>
      <c r="V5" s="558"/>
      <c r="W5" s="558"/>
      <c r="X5" s="558"/>
      <c r="Y5" s="559"/>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5"/>
      <c r="I6" s="475"/>
      <c r="J6" s="475"/>
      <c r="K6" s="475"/>
      <c r="L6" s="475"/>
      <c r="N6" s="560"/>
      <c r="O6" s="561"/>
      <c r="P6" s="561"/>
      <c r="Q6" s="561"/>
      <c r="R6" s="561"/>
      <c r="S6" s="561"/>
      <c r="T6" s="561"/>
      <c r="U6" s="561"/>
      <c r="V6" s="561"/>
      <c r="W6" s="561"/>
      <c r="X6" s="561"/>
      <c r="Y6" s="562"/>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0"/>
      <c r="O7" s="561"/>
      <c r="P7" s="561"/>
      <c r="Q7" s="561"/>
      <c r="R7" s="561"/>
      <c r="S7" s="561"/>
      <c r="T7" s="561"/>
      <c r="U7" s="561"/>
      <c r="V7" s="561"/>
      <c r="W7" s="561"/>
      <c r="X7" s="561"/>
      <c r="Y7" s="562"/>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525" t="s">
        <v>214</v>
      </c>
      <c r="I8" s="526"/>
      <c r="J8" s="573"/>
      <c r="K8" s="574"/>
      <c r="M8" s="3"/>
      <c r="N8" s="560"/>
      <c r="O8" s="561"/>
      <c r="P8" s="561"/>
      <c r="Q8" s="561"/>
      <c r="R8" s="561"/>
      <c r="S8" s="561"/>
      <c r="T8" s="561"/>
      <c r="U8" s="561"/>
      <c r="V8" s="561"/>
      <c r="W8" s="561"/>
      <c r="X8" s="561"/>
      <c r="Y8" s="562"/>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86" t="s">
        <v>216</v>
      </c>
      <c r="I9" s="587"/>
      <c r="J9" s="575"/>
      <c r="K9" s="576"/>
      <c r="M9" s="3"/>
      <c r="N9" s="560"/>
      <c r="O9" s="561"/>
      <c r="P9" s="561"/>
      <c r="Q9" s="561"/>
      <c r="R9" s="561"/>
      <c r="S9" s="561"/>
      <c r="T9" s="561"/>
      <c r="U9" s="561"/>
      <c r="V9" s="561"/>
      <c r="W9" s="561"/>
      <c r="X9" s="561"/>
      <c r="Y9" s="562"/>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0"/>
      <c r="O10" s="561"/>
      <c r="P10" s="561"/>
      <c r="Q10" s="561"/>
      <c r="R10" s="561"/>
      <c r="S10" s="561"/>
      <c r="T10" s="561"/>
      <c r="U10" s="561"/>
      <c r="V10" s="561"/>
      <c r="W10" s="561"/>
      <c r="X10" s="561"/>
      <c r="Y10" s="562"/>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63"/>
      <c r="O11" s="564"/>
      <c r="P11" s="564"/>
      <c r="Q11" s="564"/>
      <c r="R11" s="564"/>
      <c r="S11" s="564"/>
      <c r="T11" s="564"/>
      <c r="U11" s="564"/>
      <c r="V11" s="564"/>
      <c r="W11" s="564"/>
      <c r="X11" s="564"/>
      <c r="Y11" s="565"/>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9" t="s">
        <v>362</v>
      </c>
      <c r="F14" s="590"/>
      <c r="G14" s="590"/>
      <c r="H14" s="595" t="str">
        <f>IF(Dashboard!H27="Yes", "WARNING: Project Level Debt is turned ON.", "Project Level Debt is turned off in Dashboard Cell H27.")</f>
        <v>Project Level Debt is turned off in Dashboard Cell H27.</v>
      </c>
      <c r="I14" s="596"/>
    </row>
    <row r="15" spans="1:77" ht="19" x14ac:dyDescent="0.25">
      <c r="B15" s="181" t="s">
        <v>381</v>
      </c>
      <c r="C15" s="181"/>
      <c r="E15" s="591"/>
      <c r="F15" s="592"/>
      <c r="G15" s="592"/>
      <c r="H15" s="597"/>
      <c r="I15" s="598"/>
    </row>
    <row r="16" spans="1:77" x14ac:dyDescent="0.15">
      <c r="E16" s="591"/>
      <c r="F16" s="592"/>
      <c r="G16" s="592"/>
      <c r="H16" s="597"/>
      <c r="I16" s="598"/>
    </row>
    <row r="17" spans="2:28" ht="15" thickBot="1" x14ac:dyDescent="0.25">
      <c r="B17" s="18"/>
      <c r="C17" s="18"/>
      <c r="E17" s="593"/>
      <c r="F17" s="594"/>
      <c r="G17" s="594"/>
      <c r="H17" s="599"/>
      <c r="I17" s="600"/>
    </row>
    <row r="18" spans="2:28" ht="16" x14ac:dyDescent="0.15">
      <c r="B18" s="588" t="s">
        <v>471</v>
      </c>
      <c r="C18" s="588"/>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-394848.44651377981</v>
      </c>
      <c r="E21" s="227">
        <f>Unstructured!E62</f>
        <v>-719773.34047811618</v>
      </c>
      <c r="F21" s="227">
        <f>Unstructured!F62</f>
        <v>-366905.38726391864</v>
      </c>
      <c r="G21" s="227">
        <f>Unstructured!G62</f>
        <v>-153895.60414806911</v>
      </c>
      <c r="H21" s="227">
        <f>Unstructured!H62</f>
        <v>-150702.328974</v>
      </c>
      <c r="I21" s="227">
        <f>Unstructured!I62</f>
        <v>7674.2253572348673</v>
      </c>
      <c r="J21" s="227">
        <f>Unstructured!J62</f>
        <v>131476.69514267432</v>
      </c>
      <c r="K21" s="227">
        <f>Unstructured!K62</f>
        <v>134085.66117086957</v>
      </c>
      <c r="L21" s="227">
        <f>Unstructured!L62</f>
        <v>136746.39773311993</v>
      </c>
      <c r="M21" s="227">
        <f>Unstructured!M62</f>
        <v>139459.93211547454</v>
      </c>
      <c r="N21" s="227">
        <f>Unstructured!N62</f>
        <v>142227.31198822666</v>
      </c>
      <c r="O21" s="227">
        <f>Unstructured!O62</f>
        <v>145049.60581038886</v>
      </c>
      <c r="P21" s="227">
        <f>Unstructured!P62</f>
        <v>147927.90324219444</v>
      </c>
      <c r="Q21" s="227">
        <f>Unstructured!Q62</f>
        <v>150863.31556578368</v>
      </c>
      <c r="R21" s="227">
        <f>Unstructured!R62</f>
        <v>153856.97611423722</v>
      </c>
      <c r="S21" s="227">
        <f>Unstructured!S62</f>
        <v>156910.04070912302</v>
      </c>
      <c r="T21" s="227">
        <f>Unstructured!T62</f>
        <v>160023.68810672444</v>
      </c>
      <c r="U21" s="227">
        <f>Unstructured!U62</f>
        <v>163199.12045312332</v>
      </c>
      <c r="V21" s="227">
        <f>Unstructured!V62</f>
        <v>166437.56374831242</v>
      </c>
      <c r="W21" s="227">
        <f>Unstructured!W62</f>
        <v>169740.26831951714</v>
      </c>
      <c r="X21" s="227">
        <f>Unstructured!X62</f>
        <v>173108.50930390862</v>
      </c>
      <c r="Y21" s="227">
        <f>Unstructured!Y62</f>
        <v>176543.58714089572</v>
      </c>
      <c r="Z21" s="227">
        <f>Unstructured!Z62</f>
        <v>180046.82807418442</v>
      </c>
      <c r="AA21" s="227">
        <f>Unstructured!AA62</f>
        <v>183619.58466379944</v>
      </c>
      <c r="AB21" s="227">
        <f>Unstructured!AB62</f>
        <v>187263.23630826588</v>
      </c>
    </row>
    <row r="22" spans="2:28" ht="14" x14ac:dyDescent="0.2">
      <c r="B22" s="210" t="s">
        <v>326</v>
      </c>
      <c r="C22" s="230"/>
      <c r="D22" s="227">
        <f>Unstructured!D46</f>
        <v>546558.95900000003</v>
      </c>
      <c r="E22" s="227">
        <f>Unstructured!E46</f>
        <v>874494.33440000005</v>
      </c>
      <c r="F22" s="227">
        <f>Unstructured!F46</f>
        <v>524696.60063999996</v>
      </c>
      <c r="G22" s="227">
        <f>Unstructured!G46</f>
        <v>314817.96038399998</v>
      </c>
      <c r="H22" s="227">
        <f>Unstructured!H46</f>
        <v>314817.96038399998</v>
      </c>
      <c r="I22" s="227">
        <f>Unstructured!I46</f>
        <v>157408.98019199999</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28"/>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525821.4427038983</v>
      </c>
    </row>
    <row r="24" spans="2:28" ht="15" thickTop="1" x14ac:dyDescent="0.2">
      <c r="B24" s="211" t="s">
        <v>327</v>
      </c>
      <c r="C24" s="335">
        <f>Unstructured!C80</f>
        <v>-3505476.2846926562</v>
      </c>
      <c r="D24" s="227">
        <f>SUM(D21:D23)</f>
        <v>151710.51248622022</v>
      </c>
      <c r="E24" s="227">
        <f t="shared" ref="E24:AB24" si="0">SUM(E21:E23)</f>
        <v>154720.99392188387</v>
      </c>
      <c r="F24" s="227">
        <f t="shared" si="0"/>
        <v>157791.21337608132</v>
      </c>
      <c r="G24" s="227">
        <f t="shared" si="0"/>
        <v>160922.35623593087</v>
      </c>
      <c r="H24" s="227">
        <f t="shared" si="0"/>
        <v>164115.63140999997</v>
      </c>
      <c r="I24" s="227">
        <f t="shared" si="0"/>
        <v>165083.20554923484</v>
      </c>
      <c r="J24" s="227">
        <f t="shared" si="0"/>
        <v>131476.69514267432</v>
      </c>
      <c r="K24" s="227">
        <f t="shared" si="0"/>
        <v>134085.66117086957</v>
      </c>
      <c r="L24" s="227">
        <f t="shared" si="0"/>
        <v>136746.39773311993</v>
      </c>
      <c r="M24" s="227">
        <f t="shared" si="0"/>
        <v>139459.93211547454</v>
      </c>
      <c r="N24" s="227">
        <f t="shared" si="0"/>
        <v>142227.31198822666</v>
      </c>
      <c r="O24" s="227">
        <f t="shared" si="0"/>
        <v>145049.60581038886</v>
      </c>
      <c r="P24" s="227">
        <f t="shared" si="0"/>
        <v>147927.90324219444</v>
      </c>
      <c r="Q24" s="227">
        <f t="shared" si="0"/>
        <v>150863.31556578368</v>
      </c>
      <c r="R24" s="227">
        <f t="shared" si="0"/>
        <v>153856.97611423722</v>
      </c>
      <c r="S24" s="227">
        <f t="shared" si="0"/>
        <v>156910.04070912302</v>
      </c>
      <c r="T24" s="227">
        <f t="shared" si="0"/>
        <v>160023.68810672444</v>
      </c>
      <c r="U24" s="227">
        <f t="shared" si="0"/>
        <v>163199.12045312332</v>
      </c>
      <c r="V24" s="227">
        <f t="shared" si="0"/>
        <v>166437.56374831242</v>
      </c>
      <c r="W24" s="227">
        <f t="shared" si="0"/>
        <v>169740.26831951714</v>
      </c>
      <c r="X24" s="227">
        <f t="shared" si="0"/>
        <v>173108.50930390862</v>
      </c>
      <c r="Y24" s="227">
        <f t="shared" si="0"/>
        <v>176543.58714089572</v>
      </c>
      <c r="Z24" s="227">
        <f t="shared" si="0"/>
        <v>180046.82807418442</v>
      </c>
      <c r="AA24" s="227">
        <f t="shared" si="0"/>
        <v>183619.58466379944</v>
      </c>
      <c r="AB24" s="227">
        <f t="shared" si="0"/>
        <v>713084.67901216424</v>
      </c>
    </row>
    <row r="25" spans="2:28" ht="14" x14ac:dyDescent="0.2">
      <c r="B25" s="212"/>
      <c r="C25" s="336"/>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7"/>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7"/>
      <c r="D28" s="227">
        <f>Unstructured!D72</f>
        <v>7798.2568186471526</v>
      </c>
      <c r="E28" s="227">
        <f>Unstructured!E72</f>
        <v>14215.523474442794</v>
      </c>
      <c r="F28" s="227">
        <f>Unstructured!F72</f>
        <v>7246.3813984623957</v>
      </c>
      <c r="G28" s="227">
        <f>Unstructured!G72</f>
        <v>3039.4381819243649</v>
      </c>
      <c r="H28" s="227">
        <f>Unstructured!H72</f>
        <v>2976.3709972365004</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38"/>
      <c r="D29" s="227">
        <f>Unstructured!D70</f>
        <v>82918.173767893764</v>
      </c>
      <c r="E29" s="227">
        <f>Unstructured!E70</f>
        <v>151152.4015004044</v>
      </c>
      <c r="F29" s="227">
        <f>Unstructured!F70</f>
        <v>77050.131325422932</v>
      </c>
      <c r="G29" s="227">
        <f>Unstructured!G70</f>
        <v>32318.076871094512</v>
      </c>
      <c r="H29" s="227">
        <f>Unstructured!H70</f>
        <v>31647.48908454</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964515.80999999982</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1055232.2405865407</v>
      </c>
      <c r="E31" s="186">
        <f t="shared" ref="E31:R31" si="1">SUM(E27:E30)</f>
        <v>165367.92497484721</v>
      </c>
      <c r="F31" s="186">
        <f t="shared" si="1"/>
        <v>84296.512723885331</v>
      </c>
      <c r="G31" s="186">
        <f t="shared" si="1"/>
        <v>35357.515053018877</v>
      </c>
      <c r="H31" s="186">
        <f t="shared" si="1"/>
        <v>34623.860081776504</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8" t="s">
        <v>331</v>
      </c>
      <c r="C34" s="588"/>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151710.51248622022</v>
      </c>
      <c r="E36" s="190">
        <f t="shared" si="3"/>
        <v>154720.99392188387</v>
      </c>
      <c r="F36" s="190">
        <f t="shared" si="3"/>
        <v>157791.21337608132</v>
      </c>
      <c r="G36" s="190">
        <f t="shared" si="3"/>
        <v>160922.35623593087</v>
      </c>
      <c r="H36" s="190">
        <f t="shared" si="3"/>
        <v>164115.63140999997</v>
      </c>
      <c r="I36" s="190">
        <f t="shared" si="3"/>
        <v>165083.20554923484</v>
      </c>
      <c r="J36" s="190">
        <f t="shared" si="3"/>
        <v>131476.69514267432</v>
      </c>
      <c r="K36" s="190">
        <f t="shared" si="3"/>
        <v>134085.66117086957</v>
      </c>
      <c r="L36" s="190">
        <f t="shared" si="3"/>
        <v>136746.39773311993</v>
      </c>
      <c r="M36" s="190">
        <f t="shared" si="3"/>
        <v>139459.93211547454</v>
      </c>
      <c r="N36" s="190">
        <f t="shared" si="3"/>
        <v>142227.31198822666</v>
      </c>
      <c r="O36" s="190">
        <f t="shared" si="3"/>
        <v>145049.60581038886</v>
      </c>
      <c r="P36" s="190">
        <f t="shared" si="3"/>
        <v>147927.90324219444</v>
      </c>
      <c r="Q36" s="190">
        <f t="shared" si="3"/>
        <v>150863.31556578368</v>
      </c>
      <c r="R36" s="190">
        <f t="shared" si="3"/>
        <v>153856.97611423722</v>
      </c>
      <c r="S36" s="190">
        <f t="shared" si="3"/>
        <v>156910.04070912302</v>
      </c>
      <c r="T36" s="190">
        <f t="shared" si="3"/>
        <v>160023.68810672444</v>
      </c>
      <c r="U36" s="190">
        <f t="shared" si="3"/>
        <v>163199.12045312332</v>
      </c>
      <c r="V36" s="190">
        <f t="shared" si="3"/>
        <v>166437.56374831242</v>
      </c>
      <c r="W36" s="190">
        <f t="shared" ref="W36:AB36" si="4">W24</f>
        <v>169740.26831951714</v>
      </c>
      <c r="X36" s="190">
        <f t="shared" si="4"/>
        <v>173108.50930390862</v>
      </c>
      <c r="Y36" s="190">
        <f t="shared" si="4"/>
        <v>176543.58714089572</v>
      </c>
      <c r="Z36" s="190">
        <f t="shared" si="4"/>
        <v>180046.82807418442</v>
      </c>
      <c r="AA36" s="190">
        <f t="shared" si="4"/>
        <v>183619.58466379944</v>
      </c>
      <c r="AB36" s="190">
        <f t="shared" si="4"/>
        <v>713084.67901216424</v>
      </c>
    </row>
    <row r="37" spans="2:28" ht="15" thickBot="1" x14ac:dyDescent="0.25">
      <c r="B37" s="210" t="s">
        <v>333</v>
      </c>
      <c r="C37" s="230"/>
      <c r="D37" s="184">
        <f t="shared" ref="D37:AB37" si="5">IF(D35&gt;Time_Based_Flip_Target_Year,0,(Cash_on_Cash_Return_Premium*Tax_Equity_Investment_Share*Equity_Investment))</f>
        <v>55260.328151895046</v>
      </c>
      <c r="E37" s="184">
        <f t="shared" si="5"/>
        <v>55260.328151895046</v>
      </c>
      <c r="F37" s="184">
        <f t="shared" si="5"/>
        <v>55260.328151895046</v>
      </c>
      <c r="G37" s="184">
        <f t="shared" si="5"/>
        <v>55260.328151895046</v>
      </c>
      <c r="H37" s="184">
        <f t="shared" si="5"/>
        <v>55260.328151895046</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96450.184334325168</v>
      </c>
      <c r="E38" s="227">
        <f>E36-E37</f>
        <v>99460.665769988816</v>
      </c>
      <c r="F38" s="227">
        <f t="shared" ref="F38:R38" si="6">F36-F37</f>
        <v>102530.88522418626</v>
      </c>
      <c r="G38" s="227">
        <f t="shared" si="6"/>
        <v>105662.02808403582</v>
      </c>
      <c r="H38" s="227">
        <f t="shared" si="6"/>
        <v>108855.30325810492</v>
      </c>
      <c r="I38" s="227">
        <f t="shared" si="6"/>
        <v>165083.20554923484</v>
      </c>
      <c r="J38" s="227">
        <f t="shared" si="6"/>
        <v>131476.69514267432</v>
      </c>
      <c r="K38" s="227">
        <f t="shared" si="6"/>
        <v>134085.66117086957</v>
      </c>
      <c r="L38" s="227">
        <f t="shared" si="6"/>
        <v>136746.39773311993</v>
      </c>
      <c r="M38" s="227">
        <f t="shared" si="6"/>
        <v>139459.93211547454</v>
      </c>
      <c r="N38" s="227">
        <f t="shared" si="6"/>
        <v>142227.31198822666</v>
      </c>
      <c r="O38" s="227">
        <f t="shared" si="6"/>
        <v>145049.60581038886</v>
      </c>
      <c r="P38" s="227">
        <f t="shared" si="6"/>
        <v>147927.90324219444</v>
      </c>
      <c r="Q38" s="227">
        <f t="shared" si="6"/>
        <v>150863.31556578368</v>
      </c>
      <c r="R38" s="227">
        <f t="shared" si="6"/>
        <v>153856.97611423722</v>
      </c>
      <c r="S38" s="227">
        <f>S36-S37</f>
        <v>156910.04070912302</v>
      </c>
      <c r="T38" s="227">
        <f>T36-T37</f>
        <v>160023.68810672444</v>
      </c>
      <c r="U38" s="227">
        <f>U36-U37</f>
        <v>163199.12045312332</v>
      </c>
      <c r="V38" s="227">
        <f>V36-V37</f>
        <v>166437.56374831242</v>
      </c>
      <c r="W38" s="227">
        <f t="shared" ref="W38:AB38" si="7">W36-W37</f>
        <v>169740.26831951714</v>
      </c>
      <c r="X38" s="227">
        <f t="shared" si="7"/>
        <v>173108.50930390862</v>
      </c>
      <c r="Y38" s="227">
        <f t="shared" si="7"/>
        <v>176543.58714089572</v>
      </c>
      <c r="Z38" s="227">
        <f t="shared" si="7"/>
        <v>180046.82807418442</v>
      </c>
      <c r="AA38" s="227">
        <f t="shared" si="7"/>
        <v>183619.58466379944</v>
      </c>
      <c r="AB38" s="227">
        <f t="shared" si="7"/>
        <v>713084.67901216424</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86805.165900892651</v>
      </c>
      <c r="E40" s="184">
        <f t="shared" si="8"/>
        <v>89514.599192989932</v>
      </c>
      <c r="F40" s="184">
        <f t="shared" si="8"/>
        <v>92277.796701767642</v>
      </c>
      <c r="G40" s="184">
        <f t="shared" si="8"/>
        <v>95095.825275632233</v>
      </c>
      <c r="H40" s="184">
        <f t="shared" si="8"/>
        <v>97969.772932294436</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9645.0184334325168</v>
      </c>
      <c r="E41" s="227">
        <f>E38-E40</f>
        <v>9946.0665769988846</v>
      </c>
      <c r="F41" s="227">
        <f t="shared" ref="F41:R41" si="9">F38-F40</f>
        <v>10253.08852241862</v>
      </c>
      <c r="G41" s="227">
        <f t="shared" si="9"/>
        <v>10566.202808403585</v>
      </c>
      <c r="H41" s="227">
        <f t="shared" si="9"/>
        <v>10885.530325810483</v>
      </c>
      <c r="I41" s="227">
        <f t="shared" si="9"/>
        <v>165083.20554923484</v>
      </c>
      <c r="J41" s="227">
        <f t="shared" si="9"/>
        <v>131476.69514267432</v>
      </c>
      <c r="K41" s="227">
        <f t="shared" si="9"/>
        <v>134085.66117086957</v>
      </c>
      <c r="L41" s="227">
        <f t="shared" si="9"/>
        <v>136746.39773311993</v>
      </c>
      <c r="M41" s="227">
        <f t="shared" si="9"/>
        <v>139459.93211547454</v>
      </c>
      <c r="N41" s="227">
        <f t="shared" si="9"/>
        <v>142227.31198822666</v>
      </c>
      <c r="O41" s="227">
        <f t="shared" si="9"/>
        <v>145049.60581038886</v>
      </c>
      <c r="P41" s="227">
        <f t="shared" si="9"/>
        <v>147927.90324219444</v>
      </c>
      <c r="Q41" s="227">
        <f t="shared" si="9"/>
        <v>150863.31556578368</v>
      </c>
      <c r="R41" s="227">
        <f t="shared" si="9"/>
        <v>153856.97611423722</v>
      </c>
      <c r="S41" s="227">
        <f>S38-S40</f>
        <v>156910.04070912302</v>
      </c>
      <c r="T41" s="227">
        <f>T38-T40</f>
        <v>160023.68810672444</v>
      </c>
      <c r="U41" s="227">
        <f>U38-U40</f>
        <v>163199.12045312332</v>
      </c>
      <c r="V41" s="227">
        <f>V38-V40</f>
        <v>166437.56374831242</v>
      </c>
      <c r="W41" s="227">
        <f t="shared" ref="W41:AB41" si="10">W38-W40</f>
        <v>169740.26831951714</v>
      </c>
      <c r="X41" s="227">
        <f t="shared" si="10"/>
        <v>173108.50930390862</v>
      </c>
      <c r="Y41" s="227">
        <f t="shared" si="10"/>
        <v>176543.58714089572</v>
      </c>
      <c r="Z41" s="227">
        <f t="shared" si="10"/>
        <v>180046.82807418442</v>
      </c>
      <c r="AA41" s="227">
        <f t="shared" si="10"/>
        <v>183619.58466379944</v>
      </c>
      <c r="AB41" s="227">
        <f t="shared" si="10"/>
        <v>713084.67901216424</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9645.0184334325168</v>
      </c>
      <c r="E43" s="227">
        <f t="shared" ref="E43:R43" si="11">E41</f>
        <v>9946.0665769988846</v>
      </c>
      <c r="F43" s="227">
        <f t="shared" si="11"/>
        <v>10253.08852241862</v>
      </c>
      <c r="G43" s="227">
        <f t="shared" si="11"/>
        <v>10566.202808403585</v>
      </c>
      <c r="H43" s="227">
        <f t="shared" si="11"/>
        <v>10885.530325810483</v>
      </c>
      <c r="I43" s="227">
        <f t="shared" si="11"/>
        <v>165083.20554923484</v>
      </c>
      <c r="J43" s="227">
        <f t="shared" si="11"/>
        <v>131476.69514267432</v>
      </c>
      <c r="K43" s="227">
        <f t="shared" si="11"/>
        <v>134085.66117086957</v>
      </c>
      <c r="L43" s="227">
        <f t="shared" si="11"/>
        <v>136746.39773311993</v>
      </c>
      <c r="M43" s="227">
        <f t="shared" si="11"/>
        <v>139459.93211547454</v>
      </c>
      <c r="N43" s="227">
        <f t="shared" si="11"/>
        <v>142227.31198822666</v>
      </c>
      <c r="O43" s="227">
        <f t="shared" si="11"/>
        <v>145049.60581038886</v>
      </c>
      <c r="P43" s="227">
        <f t="shared" si="11"/>
        <v>147927.90324219444</v>
      </c>
      <c r="Q43" s="227">
        <f t="shared" si="11"/>
        <v>150863.31556578368</v>
      </c>
      <c r="R43" s="227">
        <f t="shared" si="11"/>
        <v>153856.97611423722</v>
      </c>
      <c r="S43" s="227">
        <f>S41</f>
        <v>156910.04070912302</v>
      </c>
      <c r="T43" s="227">
        <f>T41</f>
        <v>160023.68810672444</v>
      </c>
      <c r="U43" s="227">
        <f>U41</f>
        <v>163199.12045312332</v>
      </c>
      <c r="V43" s="227">
        <f>V41</f>
        <v>166437.56374831242</v>
      </c>
      <c r="W43" s="227">
        <f t="shared" ref="W43:AB43" si="12">W41</f>
        <v>169740.26831951714</v>
      </c>
      <c r="X43" s="227">
        <f t="shared" si="12"/>
        <v>173108.50930390862</v>
      </c>
      <c r="Y43" s="227">
        <f t="shared" si="12"/>
        <v>176543.58714089572</v>
      </c>
      <c r="Z43" s="227">
        <f t="shared" si="12"/>
        <v>180046.82807418442</v>
      </c>
      <c r="AA43" s="227">
        <f t="shared" si="12"/>
        <v>183619.58466379944</v>
      </c>
      <c r="AB43" s="227">
        <f t="shared" si="12"/>
        <v>713084.67901216424</v>
      </c>
    </row>
    <row r="44" spans="2:28" ht="14" x14ac:dyDescent="0.2">
      <c r="B44" s="216" t="s">
        <v>337</v>
      </c>
      <c r="C44" s="232"/>
      <c r="D44" s="227">
        <f t="shared" ref="D44:AB44" si="13">D43*IF(D35&gt;Time_Based_Flip_Target_Year,Tax_Equity_Post_Flip_Share,Tax_Equity_Pre_Flip_Share)</f>
        <v>9548.5682490981908</v>
      </c>
      <c r="E44" s="227">
        <f t="shared" si="13"/>
        <v>9846.6059112288949</v>
      </c>
      <c r="F44" s="227">
        <f t="shared" si="13"/>
        <v>10150.557637194433</v>
      </c>
      <c r="G44" s="227">
        <f t="shared" si="13"/>
        <v>10460.540780319549</v>
      </c>
      <c r="H44" s="227">
        <f t="shared" si="13"/>
        <v>10776.675022552377</v>
      </c>
      <c r="I44" s="227">
        <f t="shared" si="13"/>
        <v>8254.1602774617422</v>
      </c>
      <c r="J44" s="227">
        <f t="shared" si="13"/>
        <v>6573.8347571337163</v>
      </c>
      <c r="K44" s="227">
        <f t="shared" si="13"/>
        <v>6704.2830585434785</v>
      </c>
      <c r="L44" s="227">
        <f t="shared" si="13"/>
        <v>6837.3198866559969</v>
      </c>
      <c r="M44" s="227">
        <f t="shared" si="13"/>
        <v>6972.9966057737274</v>
      </c>
      <c r="N44" s="227">
        <f t="shared" si="13"/>
        <v>7111.3655994113333</v>
      </c>
      <c r="O44" s="227">
        <f t="shared" si="13"/>
        <v>7252.4802905194438</v>
      </c>
      <c r="P44" s="227">
        <f t="shared" si="13"/>
        <v>7396.3951621097222</v>
      </c>
      <c r="Q44" s="227">
        <f t="shared" si="13"/>
        <v>7543.1657782891843</v>
      </c>
      <c r="R44" s="227">
        <f t="shared" si="13"/>
        <v>7692.8488057118611</v>
      </c>
      <c r="S44" s="227">
        <f t="shared" si="13"/>
        <v>7845.5020354561511</v>
      </c>
      <c r="T44" s="227">
        <f t="shared" si="13"/>
        <v>8001.184405336222</v>
      </c>
      <c r="U44" s="227">
        <f t="shared" si="13"/>
        <v>8159.9560226561662</v>
      </c>
      <c r="V44" s="227">
        <f t="shared" si="13"/>
        <v>8321.8781874156211</v>
      </c>
      <c r="W44" s="227">
        <f t="shared" si="13"/>
        <v>8487.0134159758582</v>
      </c>
      <c r="X44" s="227">
        <f t="shared" si="13"/>
        <v>8655.4254651954307</v>
      </c>
      <c r="Y44" s="227">
        <f t="shared" si="13"/>
        <v>8827.1793570447862</v>
      </c>
      <c r="Z44" s="227">
        <f t="shared" si="13"/>
        <v>9002.3414037092207</v>
      </c>
      <c r="AA44" s="227">
        <f t="shared" si="13"/>
        <v>9180.9792331899716</v>
      </c>
      <c r="AB44" s="227">
        <f t="shared" si="13"/>
        <v>35654.233950608213</v>
      </c>
    </row>
    <row r="45" spans="2:28" ht="14" x14ac:dyDescent="0.2">
      <c r="B45" s="216" t="s">
        <v>338</v>
      </c>
      <c r="C45" s="232"/>
      <c r="D45" s="227">
        <f>D43-D44</f>
        <v>96.450184334325968</v>
      </c>
      <c r="E45" s="227">
        <f>E43-E44</f>
        <v>99.460665769989646</v>
      </c>
      <c r="F45" s="227">
        <f t="shared" ref="F45:R45" si="14">F43-F44</f>
        <v>102.53088522418693</v>
      </c>
      <c r="G45" s="227">
        <f t="shared" si="14"/>
        <v>105.66202808403614</v>
      </c>
      <c r="H45" s="227">
        <f t="shared" si="14"/>
        <v>108.85530325810578</v>
      </c>
      <c r="I45" s="227">
        <f t="shared" si="14"/>
        <v>156829.0452717731</v>
      </c>
      <c r="J45" s="227">
        <f t="shared" si="14"/>
        <v>124902.8603855406</v>
      </c>
      <c r="K45" s="227">
        <f t="shared" si="14"/>
        <v>127381.37811232609</v>
      </c>
      <c r="L45" s="227">
        <f t="shared" si="14"/>
        <v>129909.07784646393</v>
      </c>
      <c r="M45" s="227">
        <f t="shared" si="14"/>
        <v>132486.93550970082</v>
      </c>
      <c r="N45" s="227">
        <f t="shared" si="14"/>
        <v>135115.94638881533</v>
      </c>
      <c r="O45" s="227">
        <f t="shared" si="14"/>
        <v>137797.12551986941</v>
      </c>
      <c r="P45" s="227">
        <f t="shared" si="14"/>
        <v>140531.50808008472</v>
      </c>
      <c r="Q45" s="227">
        <f t="shared" si="14"/>
        <v>143320.14978749451</v>
      </c>
      <c r="R45" s="227">
        <f t="shared" si="14"/>
        <v>146164.12730852535</v>
      </c>
      <c r="S45" s="227">
        <f>S43-S44</f>
        <v>149064.53867366686</v>
      </c>
      <c r="T45" s="227">
        <f>T43-T44</f>
        <v>152022.50370138822</v>
      </c>
      <c r="U45" s="227">
        <f>U43-U44</f>
        <v>155039.16443046715</v>
      </c>
      <c r="V45" s="227">
        <f>V43-V44</f>
        <v>158115.68556089679</v>
      </c>
      <c r="W45" s="227">
        <f t="shared" ref="W45:AB45" si="15">W43-W44</f>
        <v>161253.2549035413</v>
      </c>
      <c r="X45" s="227">
        <f t="shared" si="15"/>
        <v>164453.08383871318</v>
      </c>
      <c r="Y45" s="227">
        <f t="shared" si="15"/>
        <v>167716.40778385094</v>
      </c>
      <c r="Z45" s="227">
        <f t="shared" si="15"/>
        <v>171044.48667047519</v>
      </c>
      <c r="AA45" s="227">
        <f t="shared" si="15"/>
        <v>174438.60543060946</v>
      </c>
      <c r="AB45" s="227">
        <f t="shared" si="15"/>
        <v>677430.44506155606</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64808.896400993239</v>
      </c>
      <c r="E48" s="227">
        <f t="shared" ref="E48:R48" si="16">SUM(E37,E44)</f>
        <v>65106.934063123939</v>
      </c>
      <c r="F48" s="227">
        <f t="shared" si="16"/>
        <v>65410.88578908948</v>
      </c>
      <c r="G48" s="227">
        <f t="shared" si="16"/>
        <v>65720.868932214595</v>
      </c>
      <c r="H48" s="227">
        <f t="shared" si="16"/>
        <v>66037.003174447425</v>
      </c>
      <c r="I48" s="227">
        <f t="shared" si="16"/>
        <v>8254.1602774617422</v>
      </c>
      <c r="J48" s="227">
        <f t="shared" si="16"/>
        <v>6573.8347571337163</v>
      </c>
      <c r="K48" s="227">
        <f t="shared" si="16"/>
        <v>6704.2830585434785</v>
      </c>
      <c r="L48" s="227">
        <f t="shared" si="16"/>
        <v>6837.3198866559969</v>
      </c>
      <c r="M48" s="227">
        <f t="shared" si="16"/>
        <v>6972.9966057737274</v>
      </c>
      <c r="N48" s="227">
        <f t="shared" si="16"/>
        <v>7111.3655994113333</v>
      </c>
      <c r="O48" s="227">
        <f t="shared" si="16"/>
        <v>7252.4802905194438</v>
      </c>
      <c r="P48" s="227">
        <f t="shared" si="16"/>
        <v>7396.3951621097222</v>
      </c>
      <c r="Q48" s="227">
        <f t="shared" si="16"/>
        <v>7543.1657782891843</v>
      </c>
      <c r="R48" s="227">
        <f t="shared" si="16"/>
        <v>7692.8488057118611</v>
      </c>
      <c r="S48" s="227">
        <f>SUM(S37,S44)</f>
        <v>7845.5020354561511</v>
      </c>
      <c r="T48" s="227">
        <f>SUM(T37,T44)</f>
        <v>8001.184405336222</v>
      </c>
      <c r="U48" s="227">
        <f>SUM(U37,U44)</f>
        <v>8159.9560226561662</v>
      </c>
      <c r="V48" s="227">
        <f>SUM(V37,V44)</f>
        <v>8321.8781874156211</v>
      </c>
      <c r="W48" s="227">
        <f t="shared" ref="W48:AB48" si="17">SUM(W37,W44)</f>
        <v>8487.0134159758582</v>
      </c>
      <c r="X48" s="227">
        <f t="shared" si="17"/>
        <v>8655.4254651954307</v>
      </c>
      <c r="Y48" s="227">
        <f t="shared" si="17"/>
        <v>8827.1793570447862</v>
      </c>
      <c r="Z48" s="227">
        <f t="shared" si="17"/>
        <v>9002.3414037092207</v>
      </c>
      <c r="AA48" s="227">
        <f t="shared" si="17"/>
        <v>9180.9792331899716</v>
      </c>
      <c r="AB48" s="227">
        <f t="shared" si="17"/>
        <v>35654.233950608213</v>
      </c>
    </row>
    <row r="49" spans="2:28" ht="15" thickBot="1" x14ac:dyDescent="0.25">
      <c r="B49" s="216" t="s">
        <v>340</v>
      </c>
      <c r="C49" s="232"/>
      <c r="D49" s="184">
        <f>SUM(D40,D45)</f>
        <v>86901.616085226982</v>
      </c>
      <c r="E49" s="184">
        <f t="shared" ref="E49:R49" si="18">SUM(E40,E45)</f>
        <v>89614.059858759923</v>
      </c>
      <c r="F49" s="184">
        <f t="shared" si="18"/>
        <v>92380.327586991829</v>
      </c>
      <c r="G49" s="184">
        <f t="shared" si="18"/>
        <v>95201.487303716276</v>
      </c>
      <c r="H49" s="184">
        <f t="shared" si="18"/>
        <v>98078.628235552547</v>
      </c>
      <c r="I49" s="184">
        <f t="shared" si="18"/>
        <v>156829.0452717731</v>
      </c>
      <c r="J49" s="184">
        <f t="shared" si="18"/>
        <v>124902.8603855406</v>
      </c>
      <c r="K49" s="184">
        <f t="shared" si="18"/>
        <v>127381.37811232609</v>
      </c>
      <c r="L49" s="184">
        <f t="shared" si="18"/>
        <v>129909.07784646393</v>
      </c>
      <c r="M49" s="184">
        <f t="shared" si="18"/>
        <v>132486.93550970082</v>
      </c>
      <c r="N49" s="184">
        <f t="shared" si="18"/>
        <v>135115.94638881533</v>
      </c>
      <c r="O49" s="184">
        <f t="shared" si="18"/>
        <v>137797.12551986941</v>
      </c>
      <c r="P49" s="184">
        <f t="shared" si="18"/>
        <v>140531.50808008472</v>
      </c>
      <c r="Q49" s="184">
        <f t="shared" si="18"/>
        <v>143320.14978749451</v>
      </c>
      <c r="R49" s="184">
        <f t="shared" si="18"/>
        <v>146164.12730852535</v>
      </c>
      <c r="S49" s="184">
        <f>SUM(S40,S45)</f>
        <v>149064.53867366686</v>
      </c>
      <c r="T49" s="184">
        <f>SUM(T40,T45)</f>
        <v>152022.50370138822</v>
      </c>
      <c r="U49" s="184">
        <f>SUM(U40,U45)</f>
        <v>155039.16443046715</v>
      </c>
      <c r="V49" s="184">
        <f>SUM(V40,V45)</f>
        <v>158115.68556089679</v>
      </c>
      <c r="W49" s="184">
        <f t="shared" ref="W49:AB49" si="19">SUM(W40,W45)</f>
        <v>161253.2549035413</v>
      </c>
      <c r="X49" s="184">
        <f t="shared" si="19"/>
        <v>164453.08383871318</v>
      </c>
      <c r="Y49" s="184">
        <f t="shared" si="19"/>
        <v>167716.40778385094</v>
      </c>
      <c r="Z49" s="184">
        <f t="shared" si="19"/>
        <v>171044.48667047519</v>
      </c>
      <c r="AA49" s="184">
        <f t="shared" si="19"/>
        <v>174438.60543060946</v>
      </c>
      <c r="AB49" s="184">
        <f t="shared" si="19"/>
        <v>677430.44506155606</v>
      </c>
    </row>
    <row r="50" spans="2:28" ht="15" thickTop="1" x14ac:dyDescent="0.2">
      <c r="B50" s="217" t="s">
        <v>341</v>
      </c>
      <c r="C50" s="191"/>
      <c r="D50" s="186">
        <f>D48+D49</f>
        <v>151710.51248622022</v>
      </c>
      <c r="E50" s="186">
        <f>E48+E49</f>
        <v>154720.99392188387</v>
      </c>
      <c r="F50" s="186">
        <f t="shared" ref="F50:R50" si="20">F48+F49</f>
        <v>157791.21337608132</v>
      </c>
      <c r="G50" s="186">
        <f t="shared" si="20"/>
        <v>160922.35623593087</v>
      </c>
      <c r="H50" s="186">
        <f t="shared" si="20"/>
        <v>164115.63140999997</v>
      </c>
      <c r="I50" s="186">
        <f t="shared" si="20"/>
        <v>165083.20554923484</v>
      </c>
      <c r="J50" s="186">
        <f t="shared" si="20"/>
        <v>131476.69514267432</v>
      </c>
      <c r="K50" s="186">
        <f t="shared" si="20"/>
        <v>134085.66117086957</v>
      </c>
      <c r="L50" s="186">
        <f t="shared" si="20"/>
        <v>136746.39773311993</v>
      </c>
      <c r="M50" s="186">
        <f t="shared" si="20"/>
        <v>139459.93211547454</v>
      </c>
      <c r="N50" s="186">
        <f t="shared" si="20"/>
        <v>142227.31198822666</v>
      </c>
      <c r="O50" s="186">
        <f t="shared" si="20"/>
        <v>145049.60581038886</v>
      </c>
      <c r="P50" s="186">
        <f t="shared" si="20"/>
        <v>147927.90324219444</v>
      </c>
      <c r="Q50" s="186">
        <f t="shared" si="20"/>
        <v>150863.31556578368</v>
      </c>
      <c r="R50" s="186">
        <f t="shared" si="20"/>
        <v>153856.97611423722</v>
      </c>
      <c r="S50" s="186">
        <f>S48+S49</f>
        <v>156910.04070912302</v>
      </c>
      <c r="T50" s="186">
        <f>T48+T49</f>
        <v>160023.68810672444</v>
      </c>
      <c r="U50" s="186">
        <f>U48+U49</f>
        <v>163199.12045312332</v>
      </c>
      <c r="V50" s="186">
        <f>V48+V49</f>
        <v>166437.56374831242</v>
      </c>
      <c r="W50" s="186">
        <f t="shared" ref="W50:AB50" si="21">W48+W49</f>
        <v>169740.26831951714</v>
      </c>
      <c r="X50" s="186">
        <f t="shared" si="21"/>
        <v>173108.50930390862</v>
      </c>
      <c r="Y50" s="186">
        <f t="shared" si="21"/>
        <v>176543.58714089572</v>
      </c>
      <c r="Z50" s="186">
        <f t="shared" si="21"/>
        <v>180046.82807418442</v>
      </c>
      <c r="AA50" s="186">
        <f t="shared" si="21"/>
        <v>183619.58466379944</v>
      </c>
      <c r="AB50" s="186">
        <f t="shared" si="21"/>
        <v>713084.67901216424</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601" t="s">
        <v>342</v>
      </c>
      <c r="C53" s="601"/>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-1578866.5186255726</v>
      </c>
      <c r="D56" s="227">
        <f t="shared" ref="D56:V56" si="22">D48</f>
        <v>64808.896400993239</v>
      </c>
      <c r="E56" s="227">
        <f t="shared" si="22"/>
        <v>65106.934063123939</v>
      </c>
      <c r="F56" s="227">
        <f t="shared" si="22"/>
        <v>65410.88578908948</v>
      </c>
      <c r="G56" s="227">
        <f t="shared" si="22"/>
        <v>65720.868932214595</v>
      </c>
      <c r="H56" s="227">
        <f t="shared" si="22"/>
        <v>66037.003174447425</v>
      </c>
      <c r="I56" s="227">
        <f t="shared" si="22"/>
        <v>8254.1602774617422</v>
      </c>
      <c r="J56" s="227">
        <f t="shared" si="22"/>
        <v>6573.8347571337163</v>
      </c>
      <c r="K56" s="227">
        <f t="shared" si="22"/>
        <v>6704.2830585434785</v>
      </c>
      <c r="L56" s="227">
        <f t="shared" si="22"/>
        <v>6837.3198866559969</v>
      </c>
      <c r="M56" s="227">
        <f t="shared" si="22"/>
        <v>6972.9966057737274</v>
      </c>
      <c r="N56" s="227">
        <f t="shared" si="22"/>
        <v>7111.3655994113333</v>
      </c>
      <c r="O56" s="227">
        <f t="shared" si="22"/>
        <v>7252.4802905194438</v>
      </c>
      <c r="P56" s="227">
        <f t="shared" si="22"/>
        <v>7396.3951621097222</v>
      </c>
      <c r="Q56" s="227">
        <f t="shared" si="22"/>
        <v>7543.1657782891843</v>
      </c>
      <c r="R56" s="227">
        <f t="shared" si="22"/>
        <v>7692.8488057118611</v>
      </c>
      <c r="S56" s="227">
        <f t="shared" si="22"/>
        <v>7845.5020354561511</v>
      </c>
      <c r="T56" s="227">
        <f t="shared" si="22"/>
        <v>8001.184405336222</v>
      </c>
      <c r="U56" s="227">
        <f t="shared" si="22"/>
        <v>8159.9560226561662</v>
      </c>
      <c r="V56" s="227">
        <f t="shared" si="22"/>
        <v>8321.8781874156211</v>
      </c>
      <c r="W56" s="227">
        <f t="shared" ref="W56:AB56" si="23">W48</f>
        <v>8487.0134159758582</v>
      </c>
      <c r="X56" s="227">
        <f t="shared" si="23"/>
        <v>8655.4254651954307</v>
      </c>
      <c r="Y56" s="227">
        <f t="shared" si="23"/>
        <v>8827.1793570447862</v>
      </c>
      <c r="Z56" s="227">
        <f t="shared" si="23"/>
        <v>9002.3414037092207</v>
      </c>
      <c r="AA56" s="227">
        <f t="shared" si="23"/>
        <v>9180.9792331899716</v>
      </c>
      <c r="AB56" s="227">
        <f t="shared" si="23"/>
        <v>35654.233950608213</v>
      </c>
    </row>
    <row r="57" spans="2:28" ht="15" thickBot="1" x14ac:dyDescent="0.25">
      <c r="B57" s="210" t="s">
        <v>345</v>
      </c>
      <c r="C57" s="227"/>
      <c r="D57" s="184">
        <f t="shared" ref="D57:AB57" si="24">IF(D54&gt;Time_Based_Flip_Target_Year,Tax_Equity_Post_Flip_Share,Tax_Equity_Pre_Flip_Share)*D31</f>
        <v>1044679.9181806752</v>
      </c>
      <c r="E57" s="184">
        <f t="shared" si="24"/>
        <v>163714.24572509874</v>
      </c>
      <c r="F57" s="184">
        <f t="shared" si="24"/>
        <v>83453.547596646473</v>
      </c>
      <c r="G57" s="184">
        <f t="shared" si="24"/>
        <v>35003.939902488688</v>
      </c>
      <c r="H57" s="184">
        <f t="shared" si="24"/>
        <v>34277.62148095874</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-1578866.5186255726</v>
      </c>
      <c r="D58" s="227">
        <f>D56+D57</f>
        <v>1109488.8145816685</v>
      </c>
      <c r="E58" s="227">
        <f t="shared" ref="E58:R58" si="25">E56+E57</f>
        <v>228821.17978822268</v>
      </c>
      <c r="F58" s="227">
        <f t="shared" si="25"/>
        <v>148864.43338573596</v>
      </c>
      <c r="G58" s="227">
        <f t="shared" si="25"/>
        <v>100724.80883470329</v>
      </c>
      <c r="H58" s="227">
        <f t="shared" si="25"/>
        <v>100314.62465540617</v>
      </c>
      <c r="I58" s="227">
        <f t="shared" si="25"/>
        <v>8254.1602774617422</v>
      </c>
      <c r="J58" s="227">
        <f t="shared" si="25"/>
        <v>6573.8347571337163</v>
      </c>
      <c r="K58" s="227">
        <f t="shared" si="25"/>
        <v>6704.2830585434785</v>
      </c>
      <c r="L58" s="227">
        <f>L56+L57</f>
        <v>6837.3198866559969</v>
      </c>
      <c r="M58" s="227">
        <f t="shared" si="25"/>
        <v>6972.9966057737274</v>
      </c>
      <c r="N58" s="227">
        <f t="shared" si="25"/>
        <v>7111.3655994113333</v>
      </c>
      <c r="O58" s="227">
        <f t="shared" si="25"/>
        <v>7252.4802905194438</v>
      </c>
      <c r="P58" s="227">
        <f t="shared" si="25"/>
        <v>7396.3951621097222</v>
      </c>
      <c r="Q58" s="227">
        <f t="shared" si="25"/>
        <v>7543.1657782891843</v>
      </c>
      <c r="R58" s="227">
        <f t="shared" si="25"/>
        <v>7692.8488057118611</v>
      </c>
      <c r="S58" s="227">
        <f>S56+S57</f>
        <v>7845.5020354561511</v>
      </c>
      <c r="T58" s="227">
        <f>T56+T57</f>
        <v>8001.184405336222</v>
      </c>
      <c r="U58" s="227">
        <f>U56+U57</f>
        <v>8159.9560226561662</v>
      </c>
      <c r="V58" s="227">
        <f>V56+V57</f>
        <v>8321.8781874156211</v>
      </c>
      <c r="W58" s="227">
        <f t="shared" ref="W58:AB58" si="26">W56+W57</f>
        <v>8487.0134159758582</v>
      </c>
      <c r="X58" s="227">
        <f t="shared" si="26"/>
        <v>8655.4254651954307</v>
      </c>
      <c r="Y58" s="227">
        <f t="shared" si="26"/>
        <v>8827.1793570447862</v>
      </c>
      <c r="Z58" s="227">
        <f t="shared" si="26"/>
        <v>9002.3414037092207</v>
      </c>
      <c r="AA58" s="227">
        <f t="shared" si="26"/>
        <v>9180.9792331899716</v>
      </c>
      <c r="AB58" s="227">
        <f t="shared" si="26"/>
        <v>35654.233950608213</v>
      </c>
    </row>
    <row r="59" spans="2:28" ht="14" x14ac:dyDescent="0.2">
      <c r="B59" s="210" t="s">
        <v>382</v>
      </c>
      <c r="C59" s="207">
        <v>0</v>
      </c>
      <c r="D59" s="207">
        <f>IFERROR(IRR($C58:D$58),0)</f>
        <v>-0.29728776847614979</v>
      </c>
      <c r="E59" s="207">
        <f>IFERROR(IRR($C58:E$58),0)</f>
        <v>-0.13059116335940646</v>
      </c>
      <c r="F59" s="207">
        <f>IFERROR(IRR($C58:F$58),0)</f>
        <v>-4.2926810989957764E-2</v>
      </c>
      <c r="G59" s="207">
        <f>IFERROR(IRR($C58:G$58),0)</f>
        <v>3.7592376094752744E-3</v>
      </c>
      <c r="H59" s="207">
        <f>IFERROR(IRR($C58:H$58),0)</f>
        <v>4.0156980821686616E-2</v>
      </c>
      <c r="I59" s="207">
        <f>IFERROR(IRR($C58:I$58),0)</f>
        <v>4.2695783857632064E-2</v>
      </c>
      <c r="J59" s="207">
        <f>IFERROR(IRR($C58:J$58),0)</f>
        <v>4.4596792088833048E-2</v>
      </c>
      <c r="K59" s="207">
        <f>IFERROR(IRR($C58:K$58),0)</f>
        <v>4.6415446955482498E-2</v>
      </c>
      <c r="L59" s="207">
        <f>IFERROR(IRR($C58:L$58),0)</f>
        <v>4.8148267762593289E-2</v>
      </c>
      <c r="M59" s="207">
        <f>IFERROR(IRR($C58:M$58),0)</f>
        <v>4.9793387819431212E-2</v>
      </c>
      <c r="N59" s="207">
        <f>IFERROR(IRR($C58:N$58),0)</f>
        <v>5.1350352615434192E-2</v>
      </c>
      <c r="O59" s="207">
        <f>IFERROR(IRR($C58:O$58),0)</f>
        <v>5.2819898769540741E-2</v>
      </c>
      <c r="P59" s="207">
        <f>IFERROR(IRR($C58:P$58),0)</f>
        <v>5.4203731572854297E-2</v>
      </c>
      <c r="Q59" s="207">
        <f>IFERROR(IRR($C58:Q$58),0)</f>
        <v>5.5504314064327875E-2</v>
      </c>
      <c r="R59" s="207">
        <f>IFERROR(IRR($C58:R$58),0)</f>
        <v>5.6724675951679071E-2</v>
      </c>
      <c r="S59" s="207">
        <f>IFERROR(IRR($C58:S$58),0)</f>
        <v>5.7868246794963607E-2</v>
      </c>
      <c r="T59" s="207">
        <f>IFERROR(IRR($C58:T$58),0)</f>
        <v>5.8938714892526445E-2</v>
      </c>
      <c r="U59" s="207">
        <f>IFERROR(IRR($C58:U$58),0)</f>
        <v>5.9939911232141929E-2</v>
      </c>
      <c r="V59" s="207">
        <f>IFERROR(IRR($C58:V$58),0)</f>
        <v>6.0875716567065918E-2</v>
      </c>
      <c r="W59" s="207">
        <f>IFERROR(IRR($C58:W$58),0)</f>
        <v>6.1749988977894965E-2</v>
      </c>
      <c r="X59" s="207">
        <f>IFERROR(IRR($C58:X$58),0)</f>
        <v>6.2566509017737193E-2</v>
      </c>
      <c r="Y59" s="207">
        <f>IFERROR(IRR($C58:Y$58),0)</f>
        <v>6.332893956439456E-2</v>
      </c>
      <c r="Z59" s="207">
        <f>IFERROR(IRR($C58:Z$58),0)</f>
        <v>6.4040797704598917E-2</v>
      </c>
      <c r="AA59" s="207">
        <f>IFERROR(IRR($C58:AA$58),0)</f>
        <v>6.4705436268251315E-2</v>
      </c>
      <c r="AB59" s="207">
        <f>IFERROR(IRR($C58:AB$58),0)</f>
        <v>6.6990017196546736E-2</v>
      </c>
    </row>
    <row r="60" spans="2:28" ht="14" x14ac:dyDescent="0.2">
      <c r="B60" s="210" t="s">
        <v>98</v>
      </c>
      <c r="C60" s="227">
        <f>C58</f>
        <v>-1578866.5186255726</v>
      </c>
      <c r="D60" s="227">
        <f>C60+D58</f>
        <v>-469377.70404390409</v>
      </c>
      <c r="E60" s="227">
        <f t="shared" ref="E60:R60" si="27">D60+E58</f>
        <v>-240556.5242556814</v>
      </c>
      <c r="F60" s="227">
        <f t="shared" si="27"/>
        <v>-91692.090869945445</v>
      </c>
      <c r="G60" s="227">
        <f t="shared" si="27"/>
        <v>9032.717964757845</v>
      </c>
      <c r="H60" s="227">
        <f t="shared" si="27"/>
        <v>109347.34262016401</v>
      </c>
      <c r="I60" s="227">
        <f t="shared" si="27"/>
        <v>117601.50289762576</v>
      </c>
      <c r="J60" s="227">
        <f t="shared" si="27"/>
        <v>124175.33765475948</v>
      </c>
      <c r="K60" s="227">
        <f t="shared" si="27"/>
        <v>130879.62071330295</v>
      </c>
      <c r="L60" s="227">
        <f t="shared" si="27"/>
        <v>137716.94059995894</v>
      </c>
      <c r="M60" s="227">
        <f t="shared" si="27"/>
        <v>144689.93720573265</v>
      </c>
      <c r="N60" s="227">
        <f t="shared" si="27"/>
        <v>151801.30280514399</v>
      </c>
      <c r="O60" s="227">
        <f t="shared" si="27"/>
        <v>159053.78309566344</v>
      </c>
      <c r="P60" s="227">
        <f t="shared" si="27"/>
        <v>166450.17825777316</v>
      </c>
      <c r="Q60" s="227">
        <f t="shared" si="27"/>
        <v>173993.34403606234</v>
      </c>
      <c r="R60" s="227">
        <f t="shared" si="27"/>
        <v>181686.1928417742</v>
      </c>
      <c r="S60" s="227">
        <f>R60+S58</f>
        <v>189531.69487723036</v>
      </c>
      <c r="T60" s="227">
        <f>S60+T58</f>
        <v>197532.87928256657</v>
      </c>
      <c r="U60" s="227">
        <f>T60+U58</f>
        <v>205692.83530522275</v>
      </c>
      <c r="V60" s="227">
        <f>U60+V58</f>
        <v>214014.71349263837</v>
      </c>
      <c r="W60" s="227">
        <f t="shared" ref="W60:AB60" si="28">V60+W58</f>
        <v>222501.72690861422</v>
      </c>
      <c r="X60" s="227">
        <f t="shared" si="28"/>
        <v>231157.15237380966</v>
      </c>
      <c r="Y60" s="227">
        <f t="shared" si="28"/>
        <v>239984.33173085444</v>
      </c>
      <c r="Z60" s="227">
        <f t="shared" si="28"/>
        <v>248986.67313456367</v>
      </c>
      <c r="AA60" s="227">
        <f t="shared" si="28"/>
        <v>258167.65236775365</v>
      </c>
      <c r="AB60" s="227">
        <f t="shared" si="28"/>
        <v>293821.88631836185</v>
      </c>
    </row>
    <row r="61" spans="2:28" ht="14" x14ac:dyDescent="0.2">
      <c r="B61" s="210" t="s">
        <v>347</v>
      </c>
      <c r="C61" s="227">
        <f>NPV(Investor_Discount_Rate,D58:AB58)+C58</f>
        <v>6470.8699140744284</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6.6990017196546736E-2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-1240104.3189035365</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-9.1302915241111782E-2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0">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4.2695783857632064E-2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-1926609.7660670837</v>
      </c>
      <c r="D69" s="227">
        <f t="shared" ref="D69:AB69" si="29">D49</f>
        <v>86901.616085226982</v>
      </c>
      <c r="E69" s="227">
        <f t="shared" si="29"/>
        <v>89614.059858759923</v>
      </c>
      <c r="F69" s="227">
        <f t="shared" si="29"/>
        <v>92380.327586991829</v>
      </c>
      <c r="G69" s="227">
        <f t="shared" si="29"/>
        <v>95201.487303716276</v>
      </c>
      <c r="H69" s="227">
        <f t="shared" si="29"/>
        <v>98078.628235552547</v>
      </c>
      <c r="I69" s="227">
        <f t="shared" si="29"/>
        <v>156829.0452717731</v>
      </c>
      <c r="J69" s="227">
        <f t="shared" si="29"/>
        <v>124902.8603855406</v>
      </c>
      <c r="K69" s="227">
        <f t="shared" si="29"/>
        <v>127381.37811232609</v>
      </c>
      <c r="L69" s="227">
        <f t="shared" si="29"/>
        <v>129909.07784646393</v>
      </c>
      <c r="M69" s="227">
        <f t="shared" si="29"/>
        <v>132486.93550970082</v>
      </c>
      <c r="N69" s="227">
        <f t="shared" si="29"/>
        <v>135115.94638881533</v>
      </c>
      <c r="O69" s="227">
        <f t="shared" si="29"/>
        <v>137797.12551986941</v>
      </c>
      <c r="P69" s="227">
        <f t="shared" si="29"/>
        <v>140531.50808008472</v>
      </c>
      <c r="Q69" s="227">
        <f t="shared" si="29"/>
        <v>143320.14978749451</v>
      </c>
      <c r="R69" s="227">
        <f t="shared" si="29"/>
        <v>146164.12730852535</v>
      </c>
      <c r="S69" s="227">
        <f t="shared" si="29"/>
        <v>149064.53867366686</v>
      </c>
      <c r="T69" s="227">
        <f t="shared" si="29"/>
        <v>152022.50370138822</v>
      </c>
      <c r="U69" s="227">
        <f t="shared" si="29"/>
        <v>155039.16443046715</v>
      </c>
      <c r="V69" s="227">
        <f t="shared" si="29"/>
        <v>158115.68556089679</v>
      </c>
      <c r="W69" s="227">
        <f t="shared" si="29"/>
        <v>161253.2549035413</v>
      </c>
      <c r="X69" s="227">
        <f t="shared" si="29"/>
        <v>164453.08383871318</v>
      </c>
      <c r="Y69" s="227">
        <f t="shared" si="29"/>
        <v>167716.40778385094</v>
      </c>
      <c r="Z69" s="227">
        <f t="shared" si="29"/>
        <v>171044.48667047519</v>
      </c>
      <c r="AA69" s="227">
        <f t="shared" si="29"/>
        <v>174438.60543060946</v>
      </c>
      <c r="AB69" s="227">
        <f t="shared" si="29"/>
        <v>677430.44506155606</v>
      </c>
    </row>
    <row r="70" spans="2:28" ht="15" thickBot="1" x14ac:dyDescent="0.25">
      <c r="B70" s="210" t="s">
        <v>345</v>
      </c>
      <c r="C70" s="227"/>
      <c r="D70" s="184">
        <f t="shared" ref="D70:AB70" si="30">D31-D57</f>
        <v>10552.322405865416</v>
      </c>
      <c r="E70" s="184">
        <f t="shared" si="30"/>
        <v>1653.6792497484712</v>
      </c>
      <c r="F70" s="184">
        <f t="shared" si="30"/>
        <v>842.96512723885826</v>
      </c>
      <c r="G70" s="184">
        <f t="shared" si="30"/>
        <v>353.57515053018869</v>
      </c>
      <c r="H70" s="184">
        <f t="shared" si="30"/>
        <v>346.23860081776365</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-1926609.7660670837</v>
      </c>
      <c r="D71" s="227">
        <f>D69+D70</f>
        <v>97453.938491092398</v>
      </c>
      <c r="E71" s="227">
        <f t="shared" ref="E71:R71" si="31">E69+E70</f>
        <v>91267.739108508395</v>
      </c>
      <c r="F71" s="227">
        <f t="shared" si="31"/>
        <v>93223.292714230687</v>
      </c>
      <c r="G71" s="227">
        <f t="shared" si="31"/>
        <v>95555.062454246465</v>
      </c>
      <c r="H71" s="227">
        <f t="shared" si="31"/>
        <v>98424.866836370318</v>
      </c>
      <c r="I71" s="227">
        <f t="shared" si="31"/>
        <v>156829.0452717731</v>
      </c>
      <c r="J71" s="227">
        <f t="shared" si="31"/>
        <v>124902.8603855406</v>
      </c>
      <c r="K71" s="227">
        <f t="shared" si="31"/>
        <v>127381.37811232609</v>
      </c>
      <c r="L71" s="227">
        <f t="shared" si="31"/>
        <v>129909.07784646393</v>
      </c>
      <c r="M71" s="227">
        <f t="shared" si="31"/>
        <v>132486.93550970082</v>
      </c>
      <c r="N71" s="227">
        <f t="shared" si="31"/>
        <v>135115.94638881533</v>
      </c>
      <c r="O71" s="227">
        <f t="shared" si="31"/>
        <v>137797.12551986941</v>
      </c>
      <c r="P71" s="227">
        <f t="shared" si="31"/>
        <v>140531.50808008472</v>
      </c>
      <c r="Q71" s="227">
        <f t="shared" si="31"/>
        <v>143320.14978749451</v>
      </c>
      <c r="R71" s="227">
        <f t="shared" si="31"/>
        <v>146164.12730852535</v>
      </c>
      <c r="S71" s="227">
        <f>S69+S70</f>
        <v>149064.53867366686</v>
      </c>
      <c r="T71" s="227">
        <f>T69+T70</f>
        <v>152022.50370138822</v>
      </c>
      <c r="U71" s="227">
        <f>U69+U70</f>
        <v>155039.16443046715</v>
      </c>
      <c r="V71" s="227">
        <f>V69+V70</f>
        <v>158115.68556089679</v>
      </c>
      <c r="W71" s="227">
        <f t="shared" ref="W71:AB71" si="32">W69+W70</f>
        <v>161253.2549035413</v>
      </c>
      <c r="X71" s="227">
        <f t="shared" si="32"/>
        <v>164453.08383871318</v>
      </c>
      <c r="Y71" s="227">
        <f t="shared" si="32"/>
        <v>167716.40778385094</v>
      </c>
      <c r="Z71" s="227">
        <f t="shared" si="32"/>
        <v>171044.48667047519</v>
      </c>
      <c r="AA71" s="227">
        <f t="shared" si="32"/>
        <v>174438.60543060946</v>
      </c>
      <c r="AB71" s="227">
        <f t="shared" si="32"/>
        <v>677430.44506155606</v>
      </c>
    </row>
    <row r="72" spans="2:28" ht="14" x14ac:dyDescent="0.2">
      <c r="B72" s="210" t="s">
        <v>382</v>
      </c>
      <c r="C72" s="207">
        <v>0</v>
      </c>
      <c r="D72" s="207">
        <f>IFERROR(IRR($C71:D$71),0)</f>
        <v>-0.94941687714475176</v>
      </c>
      <c r="E72" s="207">
        <f>IFERROR(IRR($C71:E$71),0)</f>
        <v>-0.75559234839072853</v>
      </c>
      <c r="F72" s="207">
        <f>IFERROR(IRR($C71:F$71),0)</f>
        <v>-0.57303629317788829</v>
      </c>
      <c r="G72" s="207">
        <f>IFERROR(IRR($C71:G$71),0)</f>
        <v>-0.43627039007911472</v>
      </c>
      <c r="H72" s="207">
        <f>IFERROR(IRR($C71:H$71),0)</f>
        <v>-0.3360267042581</v>
      </c>
      <c r="I72" s="207">
        <f>IFERROR(IRR($C71:I$71),0)</f>
        <v>-0.23481809551614052</v>
      </c>
      <c r="J72" s="207">
        <f>IFERROR(IRR($C71:J$71),0)</f>
        <v>-0.18077787478724827</v>
      </c>
      <c r="K72" s="207">
        <f>IFERROR(IRR($C71:K$71),0)</f>
        <v>-0.13896416812790557</v>
      </c>
      <c r="L72" s="207">
        <f>IFERROR(IRR($C71:L$71),0)</f>
        <v>-0.1061414187368267</v>
      </c>
      <c r="M72" s="207">
        <f>IFERROR(IRR($C71:M$71),0)</f>
        <v>-7.996596186256788E-2</v>
      </c>
      <c r="N72" s="207">
        <f>IFERROR(IRR($C71:N$71),0)</f>
        <v>-5.8780604591314067E-2</v>
      </c>
      <c r="O72" s="207">
        <f>IFERROR(IRR($C71:O$71),0)</f>
        <v>-4.140492462907619E-2</v>
      </c>
      <c r="P72" s="207">
        <f>IFERROR(IRR($C71:P$71),0)</f>
        <v>-2.6985029090332624E-2</v>
      </c>
      <c r="Q72" s="207">
        <f>IFERROR(IRR($C71:Q$71),0)</f>
        <v>-1.4892616172887507E-2</v>
      </c>
      <c r="R72" s="207">
        <f>IFERROR(IRR($C71:R$71),0)</f>
        <v>-4.6576453336554247E-3</v>
      </c>
      <c r="S72" s="207">
        <f>IFERROR(IRR($C71:S$71),0)</f>
        <v>4.077011216767179E-3</v>
      </c>
      <c r="T72" s="207">
        <f>IFERROR(IRR($C71:T$71),0)</f>
        <v>1.1586576186525033E-2</v>
      </c>
      <c r="U72" s="207">
        <f>IFERROR(IRR($C71:U$71),0)</f>
        <v>1.808592152098365E-2</v>
      </c>
      <c r="V72" s="207">
        <f>IFERROR(IRR($C71:V$71),0)</f>
        <v>2.3744798284019097E-2</v>
      </c>
      <c r="W72" s="207">
        <f>IFERROR(IRR($C71:W$71),0)</f>
        <v>2.8698766924908359E-2</v>
      </c>
      <c r="X72" s="207">
        <f>IFERROR(IRR($C71:X$71),0)</f>
        <v>3.3057157368930667E-2</v>
      </c>
      <c r="Y72" s="207">
        <f>IFERROR(IRR($C71:Y$71),0)</f>
        <v>3.6908945523515646E-2</v>
      </c>
      <c r="Z72" s="207">
        <f>IFERROR(IRR($C71:Z$71),0)</f>
        <v>4.0327146749997933E-2</v>
      </c>
      <c r="AA72" s="207">
        <f>IFERROR(IRR($C71:AA$71),0)</f>
        <v>4.3372139272320753E-2</v>
      </c>
      <c r="AB72" s="207">
        <f>IFERROR(IRR($C71:AB$71),0)</f>
        <v>5.2694236728636046E-2</v>
      </c>
    </row>
    <row r="73" spans="2:28" ht="14" x14ac:dyDescent="0.2">
      <c r="B73" s="210" t="s">
        <v>98</v>
      </c>
      <c r="C73" s="227">
        <f>C71</f>
        <v>-1926609.7660670837</v>
      </c>
      <c r="D73" s="227">
        <f>C73+D71</f>
        <v>-1829155.8275759914</v>
      </c>
      <c r="E73" s="227">
        <f t="shared" ref="E73:R73" si="33">D73+E71</f>
        <v>-1737888.0884674829</v>
      </c>
      <c r="F73" s="227">
        <f t="shared" si="33"/>
        <v>-1644664.7957532522</v>
      </c>
      <c r="G73" s="227">
        <f t="shared" si="33"/>
        <v>-1549109.7332990058</v>
      </c>
      <c r="H73" s="227">
        <f t="shared" si="33"/>
        <v>-1450684.8664626353</v>
      </c>
      <c r="I73" s="227">
        <f t="shared" si="33"/>
        <v>-1293855.8211908622</v>
      </c>
      <c r="J73" s="227">
        <f t="shared" si="33"/>
        <v>-1168952.9608053216</v>
      </c>
      <c r="K73" s="227">
        <f t="shared" si="33"/>
        <v>-1041571.5826929954</v>
      </c>
      <c r="L73" s="227">
        <f t="shared" si="33"/>
        <v>-911662.50484653155</v>
      </c>
      <c r="M73" s="227">
        <f t="shared" si="33"/>
        <v>-779175.56933683075</v>
      </c>
      <c r="N73" s="227">
        <f t="shared" si="33"/>
        <v>-644059.62294801546</v>
      </c>
      <c r="O73" s="227">
        <f t="shared" si="33"/>
        <v>-506262.49742814607</v>
      </c>
      <c r="P73" s="227">
        <f t="shared" si="33"/>
        <v>-365730.98934806138</v>
      </c>
      <c r="Q73" s="227">
        <f t="shared" si="33"/>
        <v>-222410.83956056688</v>
      </c>
      <c r="R73" s="227">
        <f t="shared" si="33"/>
        <v>-76246.712252041529</v>
      </c>
      <c r="S73" s="227">
        <f>R73+S71</f>
        <v>72817.82642162533</v>
      </c>
      <c r="T73" s="227">
        <f>S73+T71</f>
        <v>224840.33012301355</v>
      </c>
      <c r="U73" s="227">
        <f>T73+U71</f>
        <v>379879.4945534807</v>
      </c>
      <c r="V73" s="227">
        <f>U73+V71</f>
        <v>537995.18011437752</v>
      </c>
      <c r="W73" s="227">
        <f t="shared" ref="W73:AB73" si="34">V73+W71</f>
        <v>699248.43501791882</v>
      </c>
      <c r="X73" s="227">
        <f t="shared" si="34"/>
        <v>863701.51885663206</v>
      </c>
      <c r="Y73" s="227">
        <f t="shared" si="34"/>
        <v>1031417.926640483</v>
      </c>
      <c r="Z73" s="227">
        <f t="shared" si="34"/>
        <v>1202462.4133109581</v>
      </c>
      <c r="AA73" s="227">
        <f t="shared" si="34"/>
        <v>1376901.0187415676</v>
      </c>
      <c r="AB73" s="227">
        <f t="shared" si="34"/>
        <v>2054331.4638031237</v>
      </c>
    </row>
    <row r="74" spans="2:28" ht="14" x14ac:dyDescent="0.2">
      <c r="B74" s="210" t="s">
        <v>347</v>
      </c>
      <c r="C74" s="227">
        <f>NPV(Investor_Discount_Rate,D71:AB71)+C71</f>
        <v>-257000.90899314545</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5.2694236728636046E-2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-269592.57756706094</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5.2143813995261468E-2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601" t="s">
        <v>352</v>
      </c>
      <c r="C86" s="601"/>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-1578866.5186255726</v>
      </c>
      <c r="D88" s="223">
        <f t="shared" si="35"/>
        <v>-469377.70404390409</v>
      </c>
      <c r="E88" s="223">
        <f t="shared" si="35"/>
        <v>-240556.5242556814</v>
      </c>
      <c r="F88" s="223">
        <f t="shared" si="35"/>
        <v>-91692.090869945445</v>
      </c>
      <c r="G88" s="223">
        <f t="shared" si="35"/>
        <v>9032.717964757845</v>
      </c>
      <c r="H88" s="223">
        <f t="shared" si="35"/>
        <v>109347.34262016401</v>
      </c>
      <c r="I88" s="223">
        <f t="shared" si="35"/>
        <v>117601.50289762576</v>
      </c>
      <c r="J88" s="223">
        <f t="shared" si="35"/>
        <v>124175.33765475948</v>
      </c>
      <c r="K88" s="223">
        <f t="shared" si="35"/>
        <v>130879.62071330295</v>
      </c>
      <c r="L88" s="223">
        <f t="shared" si="35"/>
        <v>137716.94059995894</v>
      </c>
      <c r="M88" s="223">
        <f t="shared" si="35"/>
        <v>144689.93720573265</v>
      </c>
      <c r="N88" s="223">
        <f t="shared" si="35"/>
        <v>151801.30280514399</v>
      </c>
      <c r="O88" s="223">
        <f t="shared" si="35"/>
        <v>159053.78309566344</v>
      </c>
      <c r="P88" s="223">
        <f t="shared" si="35"/>
        <v>166450.17825777316</v>
      </c>
      <c r="Q88" s="223">
        <f t="shared" si="35"/>
        <v>173993.34403606234</v>
      </c>
      <c r="R88" s="223">
        <f t="shared" si="35"/>
        <v>181686.1928417742</v>
      </c>
      <c r="S88" s="223">
        <f t="shared" si="35"/>
        <v>189531.69487723036</v>
      </c>
      <c r="T88" s="223">
        <f t="shared" si="35"/>
        <v>197532.87928256657</v>
      </c>
      <c r="U88" s="223">
        <f t="shared" si="35"/>
        <v>205692.83530522275</v>
      </c>
      <c r="V88" s="223">
        <f t="shared" si="35"/>
        <v>214014.71349263837</v>
      </c>
      <c r="W88" s="223">
        <f t="shared" si="35"/>
        <v>222501.72690861422</v>
      </c>
      <c r="X88" s="223">
        <f t="shared" si="35"/>
        <v>231157.15237380966</v>
      </c>
      <c r="Y88" s="223">
        <f t="shared" si="35"/>
        <v>239984.33173085444</v>
      </c>
      <c r="Z88" s="223">
        <f t="shared" si="35"/>
        <v>248986.67313456367</v>
      </c>
      <c r="AA88" s="223">
        <f t="shared" si="35"/>
        <v>258167.65236775365</v>
      </c>
      <c r="AB88" s="223">
        <f t="shared" si="35"/>
        <v>293821.88631836185</v>
      </c>
    </row>
    <row r="89" spans="2:28" ht="14" x14ac:dyDescent="0.2">
      <c r="B89" s="222" t="s">
        <v>340</v>
      </c>
      <c r="C89" s="225">
        <f>C73</f>
        <v>-1926609.7660670837</v>
      </c>
      <c r="D89" s="225">
        <f t="shared" ref="D89:R89" si="36">D73</f>
        <v>-1829155.8275759914</v>
      </c>
      <c r="E89" s="225">
        <f t="shared" si="36"/>
        <v>-1737888.0884674829</v>
      </c>
      <c r="F89" s="225">
        <f t="shared" si="36"/>
        <v>-1644664.7957532522</v>
      </c>
      <c r="G89" s="225">
        <f t="shared" si="36"/>
        <v>-1549109.7332990058</v>
      </c>
      <c r="H89" s="225">
        <f t="shared" si="36"/>
        <v>-1450684.8664626353</v>
      </c>
      <c r="I89" s="225">
        <f t="shared" si="36"/>
        <v>-1293855.8211908622</v>
      </c>
      <c r="J89" s="225">
        <f t="shared" si="36"/>
        <v>-1168952.9608053216</v>
      </c>
      <c r="K89" s="225">
        <f t="shared" si="36"/>
        <v>-1041571.5826929954</v>
      </c>
      <c r="L89" s="225">
        <f t="shared" si="36"/>
        <v>-911662.50484653155</v>
      </c>
      <c r="M89" s="225">
        <f t="shared" si="36"/>
        <v>-779175.56933683075</v>
      </c>
      <c r="N89" s="225">
        <f t="shared" si="36"/>
        <v>-644059.62294801546</v>
      </c>
      <c r="O89" s="225">
        <f t="shared" si="36"/>
        <v>-506262.49742814607</v>
      </c>
      <c r="P89" s="225">
        <f t="shared" si="36"/>
        <v>-365730.98934806138</v>
      </c>
      <c r="Q89" s="225">
        <f t="shared" si="36"/>
        <v>-222410.83956056688</v>
      </c>
      <c r="R89" s="225">
        <f t="shared" si="36"/>
        <v>-76246.712252041529</v>
      </c>
      <c r="S89" s="225">
        <f>S73</f>
        <v>72817.82642162533</v>
      </c>
      <c r="T89" s="225">
        <f>T73</f>
        <v>224840.33012301355</v>
      </c>
      <c r="U89" s="225">
        <f>U73</f>
        <v>379879.4945534807</v>
      </c>
      <c r="V89" s="225">
        <f>V73</f>
        <v>537995.18011437752</v>
      </c>
      <c r="W89" s="225">
        <f t="shared" ref="W89:AB89" si="37">W73</f>
        <v>699248.43501791882</v>
      </c>
      <c r="X89" s="225">
        <f t="shared" si="37"/>
        <v>863701.51885663206</v>
      </c>
      <c r="Y89" s="225">
        <f t="shared" si="37"/>
        <v>1031417.926640483</v>
      </c>
      <c r="Z89" s="225">
        <f t="shared" si="37"/>
        <v>1202462.4133109581</v>
      </c>
      <c r="AA89" s="225">
        <f t="shared" si="37"/>
        <v>1376901.0187415676</v>
      </c>
      <c r="AB89" s="225">
        <f t="shared" si="37"/>
        <v>2054331.4638031237</v>
      </c>
    </row>
    <row r="91" spans="2:28" ht="16" x14ac:dyDescent="0.15">
      <c r="B91" s="602" t="s">
        <v>354</v>
      </c>
      <c r="C91" s="603"/>
    </row>
    <row r="92" spans="2:28" ht="14" x14ac:dyDescent="0.2">
      <c r="B92" s="221" t="s">
        <v>353</v>
      </c>
      <c r="C92" s="224">
        <f>-C56</f>
        <v>1578866.5186255726</v>
      </c>
    </row>
    <row r="93" spans="2:28" ht="14" x14ac:dyDescent="0.2">
      <c r="B93" s="222" t="s">
        <v>340</v>
      </c>
      <c r="C93" s="226">
        <f>-C69</f>
        <v>1926609.7660670837</v>
      </c>
    </row>
    <row r="95" spans="2:28" ht="16" x14ac:dyDescent="0.2">
      <c r="B95" s="601" t="s">
        <v>352</v>
      </c>
      <c r="C95" s="601"/>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-1578866.5186255726</v>
      </c>
      <c r="D97" s="259">
        <f t="shared" si="38"/>
        <v>1109488.8145816685</v>
      </c>
      <c r="E97" s="259">
        <f t="shared" si="38"/>
        <v>228821.17978822268</v>
      </c>
      <c r="F97" s="259">
        <f t="shared" si="38"/>
        <v>148864.43338573596</v>
      </c>
      <c r="G97" s="259">
        <f t="shared" si="38"/>
        <v>100724.80883470329</v>
      </c>
      <c r="H97" s="259">
        <f t="shared" si="38"/>
        <v>100314.62465540617</v>
      </c>
      <c r="I97" s="259">
        <f t="shared" si="38"/>
        <v>8254.1602774617422</v>
      </c>
      <c r="J97" s="259">
        <f t="shared" si="38"/>
        <v>6573.8347571337163</v>
      </c>
      <c r="K97" s="259">
        <f t="shared" si="38"/>
        <v>6704.2830585434785</v>
      </c>
      <c r="L97" s="259">
        <f t="shared" si="38"/>
        <v>6837.3198866559969</v>
      </c>
      <c r="M97" s="259">
        <f t="shared" si="38"/>
        <v>6972.9966057737274</v>
      </c>
      <c r="N97" s="259">
        <f t="shared" si="38"/>
        <v>7111.3655994113333</v>
      </c>
      <c r="O97" s="259">
        <f t="shared" si="38"/>
        <v>7252.4802905194438</v>
      </c>
      <c r="P97" s="259">
        <f t="shared" si="38"/>
        <v>7396.3951621097222</v>
      </c>
      <c r="Q97" s="259">
        <f t="shared" si="38"/>
        <v>7543.1657782891843</v>
      </c>
      <c r="R97" s="259">
        <f t="shared" si="38"/>
        <v>7692.8488057118611</v>
      </c>
      <c r="S97" s="259">
        <f t="shared" si="38"/>
        <v>7845.5020354561511</v>
      </c>
      <c r="T97" s="259">
        <f t="shared" si="38"/>
        <v>8001.184405336222</v>
      </c>
      <c r="U97" s="259">
        <f t="shared" si="38"/>
        <v>8159.9560226561662</v>
      </c>
      <c r="V97" s="259">
        <f t="shared" si="38"/>
        <v>8321.8781874156211</v>
      </c>
      <c r="W97" s="259">
        <f t="shared" si="38"/>
        <v>8487.0134159758582</v>
      </c>
      <c r="X97" s="259">
        <f t="shared" si="38"/>
        <v>8655.4254651954307</v>
      </c>
      <c r="Y97" s="259">
        <f t="shared" si="38"/>
        <v>8827.1793570447862</v>
      </c>
      <c r="Z97" s="259">
        <f t="shared" si="38"/>
        <v>9002.3414037092207</v>
      </c>
      <c r="AA97" s="259">
        <f t="shared" si="38"/>
        <v>9180.9792331899716</v>
      </c>
      <c r="AB97" s="259">
        <f t="shared" si="38"/>
        <v>35654.233950608213</v>
      </c>
    </row>
    <row r="98" spans="2:28" ht="14" x14ac:dyDescent="0.2">
      <c r="B98" s="222" t="s">
        <v>340</v>
      </c>
      <c r="C98" s="260">
        <f>C71</f>
        <v>-1926609.7660670837</v>
      </c>
      <c r="D98" s="260">
        <f t="shared" ref="D98:V98" si="39">D71</f>
        <v>97453.938491092398</v>
      </c>
      <c r="E98" s="260">
        <f t="shared" si="39"/>
        <v>91267.739108508395</v>
      </c>
      <c r="F98" s="260">
        <f t="shared" si="39"/>
        <v>93223.292714230687</v>
      </c>
      <c r="G98" s="260">
        <f t="shared" si="39"/>
        <v>95555.062454246465</v>
      </c>
      <c r="H98" s="260">
        <f t="shared" si="39"/>
        <v>98424.866836370318</v>
      </c>
      <c r="I98" s="260">
        <f t="shared" si="39"/>
        <v>156829.0452717731</v>
      </c>
      <c r="J98" s="260">
        <f t="shared" si="39"/>
        <v>124902.8603855406</v>
      </c>
      <c r="K98" s="260">
        <f t="shared" si="39"/>
        <v>127381.37811232609</v>
      </c>
      <c r="L98" s="260">
        <f t="shared" si="39"/>
        <v>129909.07784646393</v>
      </c>
      <c r="M98" s="260">
        <f t="shared" si="39"/>
        <v>132486.93550970082</v>
      </c>
      <c r="N98" s="260">
        <f t="shared" si="39"/>
        <v>135115.94638881533</v>
      </c>
      <c r="O98" s="260">
        <f t="shared" si="39"/>
        <v>137797.12551986941</v>
      </c>
      <c r="P98" s="260">
        <f t="shared" si="39"/>
        <v>140531.50808008472</v>
      </c>
      <c r="Q98" s="260">
        <f t="shared" si="39"/>
        <v>143320.14978749451</v>
      </c>
      <c r="R98" s="260">
        <f t="shared" si="39"/>
        <v>146164.12730852535</v>
      </c>
      <c r="S98" s="260">
        <f t="shared" si="39"/>
        <v>149064.53867366686</v>
      </c>
      <c r="T98" s="260">
        <f t="shared" si="39"/>
        <v>152022.50370138822</v>
      </c>
      <c r="U98" s="260">
        <f t="shared" si="39"/>
        <v>155039.16443046715</v>
      </c>
      <c r="V98" s="260">
        <f t="shared" si="39"/>
        <v>158115.68556089679</v>
      </c>
      <c r="W98" s="260">
        <f t="shared" ref="W98:AB98" si="40">W71</f>
        <v>161253.2549035413</v>
      </c>
      <c r="X98" s="260">
        <f t="shared" si="40"/>
        <v>164453.08383871318</v>
      </c>
      <c r="Y98" s="260">
        <f t="shared" si="40"/>
        <v>167716.40778385094</v>
      </c>
      <c r="Z98" s="260">
        <f t="shared" si="40"/>
        <v>171044.48667047519</v>
      </c>
      <c r="AA98" s="260">
        <f t="shared" si="40"/>
        <v>174438.60543060946</v>
      </c>
      <c r="AB98" s="260">
        <f t="shared" si="40"/>
        <v>677430.44506155606</v>
      </c>
    </row>
    <row r="113" spans="5:5" x14ac:dyDescent="0.15">
      <c r="E113" t="s">
        <v>349</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9"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50"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55" t="s">
        <v>0</v>
      </c>
      <c r="P4" s="556"/>
      <c r="Q4" s="556"/>
      <c r="R4" s="556"/>
      <c r="S4" s="556"/>
      <c r="T4" s="556"/>
      <c r="U4" s="556"/>
      <c r="V4" s="556"/>
      <c r="W4" s="556"/>
      <c r="X4" s="556"/>
      <c r="Y4" s="556"/>
      <c r="Z4" s="556"/>
      <c r="AA4" s="34"/>
    </row>
    <row r="5" spans="1:61" ht="25" customHeight="1" x14ac:dyDescent="0.15">
      <c r="I5" s="475" t="s">
        <v>464</v>
      </c>
      <c r="J5" s="475"/>
      <c r="K5" s="475"/>
      <c r="L5" s="475"/>
      <c r="M5" s="475"/>
      <c r="O5" s="557" t="s">
        <v>134</v>
      </c>
      <c r="P5" s="558"/>
      <c r="Q5" s="558"/>
      <c r="R5" s="558"/>
      <c r="S5" s="558"/>
      <c r="T5" s="558"/>
      <c r="U5" s="558"/>
      <c r="V5" s="558"/>
      <c r="W5" s="558"/>
      <c r="X5" s="558"/>
      <c r="Y5" s="558"/>
      <c r="Z5" s="559"/>
      <c r="AA5" s="34"/>
    </row>
    <row r="6" spans="1:61" ht="25" customHeight="1" x14ac:dyDescent="0.15">
      <c r="I6" s="475"/>
      <c r="J6" s="475"/>
      <c r="K6" s="475"/>
      <c r="L6" s="475"/>
      <c r="M6" s="475"/>
      <c r="O6" s="560"/>
      <c r="P6" s="561"/>
      <c r="Q6" s="561"/>
      <c r="R6" s="561"/>
      <c r="S6" s="561"/>
      <c r="T6" s="561"/>
      <c r="U6" s="561"/>
      <c r="V6" s="561"/>
      <c r="W6" s="561"/>
      <c r="X6" s="561"/>
      <c r="Y6" s="561"/>
      <c r="Z6" s="562"/>
      <c r="AA6" s="34"/>
    </row>
    <row r="7" spans="1:61" ht="25" customHeight="1" thickBot="1" x14ac:dyDescent="0.2">
      <c r="O7" s="560"/>
      <c r="P7" s="561"/>
      <c r="Q7" s="561"/>
      <c r="R7" s="561"/>
      <c r="S7" s="561"/>
      <c r="T7" s="561"/>
      <c r="U7" s="561"/>
      <c r="V7" s="561"/>
      <c r="W7" s="561"/>
      <c r="X7" s="561"/>
      <c r="Y7" s="561"/>
      <c r="Z7" s="562"/>
      <c r="AA7" s="34"/>
    </row>
    <row r="8" spans="1:61" ht="16" x14ac:dyDescent="0.2">
      <c r="A8" s="34"/>
      <c r="B8" s="34"/>
      <c r="C8" s="34"/>
      <c r="D8" s="34"/>
      <c r="E8" s="34"/>
      <c r="F8" s="34"/>
      <c r="G8" s="34"/>
      <c r="H8" s="34"/>
      <c r="I8" s="525" t="s">
        <v>214</v>
      </c>
      <c r="J8" s="526"/>
      <c r="K8" s="573"/>
      <c r="L8" s="574"/>
      <c r="M8" s="34"/>
      <c r="O8" s="560"/>
      <c r="P8" s="561"/>
      <c r="Q8" s="561"/>
      <c r="R8" s="561"/>
      <c r="S8" s="561"/>
      <c r="T8" s="561"/>
      <c r="U8" s="561"/>
      <c r="V8" s="561"/>
      <c r="W8" s="561"/>
      <c r="X8" s="561"/>
      <c r="Y8" s="561"/>
      <c r="Z8" s="562"/>
      <c r="AA8" s="34"/>
    </row>
    <row r="9" spans="1:61" ht="17" thickBot="1" x14ac:dyDescent="0.25">
      <c r="A9" s="34"/>
      <c r="B9" s="34"/>
      <c r="C9" s="34"/>
      <c r="D9" s="34"/>
      <c r="E9" s="34"/>
      <c r="F9" s="34"/>
      <c r="G9" s="34"/>
      <c r="H9" s="34"/>
      <c r="I9" s="586" t="s">
        <v>216</v>
      </c>
      <c r="J9" s="587"/>
      <c r="K9" s="575"/>
      <c r="L9" s="576"/>
      <c r="M9" s="34"/>
      <c r="O9" s="560"/>
      <c r="P9" s="561"/>
      <c r="Q9" s="561"/>
      <c r="R9" s="561"/>
      <c r="S9" s="561"/>
      <c r="T9" s="561"/>
      <c r="U9" s="561"/>
      <c r="V9" s="561"/>
      <c r="W9" s="561"/>
      <c r="X9" s="561"/>
      <c r="Y9" s="561"/>
      <c r="Z9" s="562"/>
      <c r="AA9" s="35"/>
    </row>
    <row r="10" spans="1:61" ht="14" x14ac:dyDescent="0.2">
      <c r="A10" s="34"/>
      <c r="B10" s="34"/>
      <c r="C10" s="34"/>
      <c r="D10" s="34"/>
      <c r="E10" s="34"/>
      <c r="F10" s="34"/>
      <c r="G10" s="34"/>
      <c r="H10" s="34"/>
      <c r="L10" s="34"/>
      <c r="M10" s="34"/>
      <c r="N10" s="34"/>
      <c r="O10" s="560"/>
      <c r="P10" s="561"/>
      <c r="Q10" s="561"/>
      <c r="R10" s="561"/>
      <c r="S10" s="561"/>
      <c r="T10" s="561"/>
      <c r="U10" s="561"/>
      <c r="V10" s="561"/>
      <c r="W10" s="561"/>
      <c r="X10" s="561"/>
      <c r="Y10" s="561"/>
      <c r="Z10" s="562"/>
      <c r="AA10" s="35"/>
    </row>
    <row r="11" spans="1:61" ht="14" x14ac:dyDescent="0.2">
      <c r="A11" s="34"/>
      <c r="B11" s="34"/>
      <c r="C11" s="34"/>
      <c r="D11" s="34"/>
      <c r="E11" s="34"/>
      <c r="F11" s="34"/>
      <c r="G11" s="34"/>
      <c r="H11" s="34"/>
      <c r="I11" s="34"/>
      <c r="J11" s="34"/>
      <c r="K11" s="34"/>
      <c r="L11" s="34"/>
      <c r="M11" s="34"/>
      <c r="N11" s="34"/>
      <c r="O11" s="563"/>
      <c r="P11" s="564"/>
      <c r="Q11" s="564"/>
      <c r="R11" s="564"/>
      <c r="S11" s="564"/>
      <c r="T11" s="564"/>
      <c r="U11" s="564"/>
      <c r="V11" s="564"/>
      <c r="W11" s="564"/>
      <c r="X11" s="564"/>
      <c r="Y11" s="564"/>
      <c r="Z11" s="565"/>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0" t="s">
        <v>278</v>
      </c>
      <c r="C13" s="341"/>
      <c r="D13" s="341"/>
      <c r="E13" s="341"/>
      <c r="F13" s="341"/>
      <c r="G13" s="341"/>
      <c r="H13" s="341"/>
      <c r="I13" s="341"/>
      <c r="J13" s="341"/>
      <c r="K13" s="341"/>
      <c r="L13" s="341"/>
      <c r="M13" s="341"/>
      <c r="N13" s="341"/>
      <c r="O13" s="341"/>
      <c r="P13" s="341"/>
      <c r="Q13" s="341"/>
      <c r="R13" s="341"/>
      <c r="S13" s="341"/>
      <c r="T13" s="341"/>
      <c r="U13" s="341"/>
      <c r="V13" s="341"/>
      <c r="W13" s="342"/>
      <c r="X13" s="342"/>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0" t="s">
        <v>279</v>
      </c>
      <c r="C14" s="341"/>
      <c r="D14" s="341"/>
      <c r="E14" s="341"/>
      <c r="F14" s="341"/>
      <c r="G14" s="341"/>
      <c r="H14" s="341"/>
      <c r="I14" s="341"/>
      <c r="J14" s="341"/>
      <c r="K14" s="341"/>
      <c r="L14" s="341"/>
      <c r="M14" s="341"/>
      <c r="N14" s="341"/>
      <c r="O14" s="341"/>
      <c r="P14" s="341"/>
      <c r="Q14" s="341"/>
      <c r="R14" s="341"/>
      <c r="S14" s="341"/>
      <c r="T14" s="341"/>
      <c r="U14" s="341"/>
      <c r="V14" s="341"/>
      <c r="W14" s="342"/>
      <c r="X14" s="342"/>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0"/>
      <c r="C15" s="341"/>
      <c r="D15" s="341"/>
      <c r="E15" s="341"/>
      <c r="F15" s="341"/>
      <c r="G15" s="341"/>
      <c r="H15" s="341"/>
      <c r="I15" s="341"/>
      <c r="J15" s="341"/>
      <c r="K15" s="341"/>
      <c r="L15" s="341"/>
      <c r="M15" s="341"/>
      <c r="N15" s="341"/>
      <c r="O15" s="341"/>
      <c r="P15" s="341"/>
      <c r="Q15" s="341"/>
      <c r="R15" s="341"/>
      <c r="S15" s="341"/>
      <c r="T15" s="341"/>
      <c r="U15" s="341"/>
      <c r="V15" s="341"/>
      <c r="W15" s="341"/>
      <c r="X15" s="341"/>
    </row>
    <row r="16" spans="1:61" ht="17" thickBot="1" x14ac:dyDescent="0.25">
      <c r="A16" s="34"/>
      <c r="B16" s="604" t="s">
        <v>388</v>
      </c>
      <c r="C16" s="604"/>
      <c r="D16" s="604"/>
      <c r="E16" s="341"/>
      <c r="F16" s="341"/>
      <c r="G16" s="341"/>
      <c r="H16" s="341"/>
      <c r="I16" s="341"/>
      <c r="J16" s="341"/>
      <c r="K16" s="341"/>
      <c r="L16" s="341"/>
      <c r="M16" s="341"/>
      <c r="N16" s="341"/>
      <c r="O16" s="341"/>
      <c r="P16" s="341"/>
      <c r="Q16" s="341"/>
      <c r="R16" s="341"/>
      <c r="S16" s="341"/>
      <c r="T16" s="341"/>
      <c r="U16" s="341"/>
      <c r="V16" s="341"/>
      <c r="W16" s="342"/>
      <c r="X16" s="342"/>
      <c r="Y16" s="2"/>
    </row>
    <row r="17" spans="1:28" ht="14" x14ac:dyDescent="0.2">
      <c r="A17" s="34"/>
      <c r="B17" s="343" t="s">
        <v>286</v>
      </c>
      <c r="C17" s="344">
        <v>0</v>
      </c>
      <c r="D17" s="345">
        <v>1</v>
      </c>
      <c r="E17" s="345">
        <v>2</v>
      </c>
      <c r="F17" s="345">
        <v>3</v>
      </c>
      <c r="G17" s="345">
        <v>4</v>
      </c>
      <c r="H17" s="345">
        <v>5</v>
      </c>
      <c r="I17" s="345">
        <v>6</v>
      </c>
      <c r="J17" s="345">
        <v>7</v>
      </c>
      <c r="K17" s="345">
        <v>8</v>
      </c>
      <c r="L17" s="345">
        <v>9</v>
      </c>
      <c r="M17" s="345">
        <v>10</v>
      </c>
      <c r="N17" s="345">
        <v>11</v>
      </c>
      <c r="O17" s="345">
        <v>12</v>
      </c>
      <c r="P17" s="345">
        <v>13</v>
      </c>
      <c r="Q17" s="345">
        <v>14</v>
      </c>
      <c r="R17" s="345">
        <v>15</v>
      </c>
      <c r="S17" s="345">
        <v>16</v>
      </c>
      <c r="T17" s="345">
        <v>17</v>
      </c>
      <c r="U17" s="345">
        <v>18</v>
      </c>
      <c r="V17" s="345">
        <v>19</v>
      </c>
      <c r="W17" s="345">
        <v>20</v>
      </c>
      <c r="X17" s="345">
        <v>21</v>
      </c>
      <c r="Y17" s="345">
        <v>22</v>
      </c>
      <c r="Z17" s="345">
        <v>23</v>
      </c>
      <c r="AA17" s="345">
        <v>24</v>
      </c>
      <c r="AB17" s="345">
        <v>25</v>
      </c>
    </row>
    <row r="18" spans="1:28" ht="14" x14ac:dyDescent="0.2">
      <c r="A18" s="34"/>
      <c r="B18" s="346" t="s">
        <v>276</v>
      </c>
      <c r="C18" s="347"/>
      <c r="D18" s="348">
        <f>Customer_Monthly_kWh_Usage*12</f>
        <v>96272250</v>
      </c>
      <c r="E18" s="349">
        <f>D18</f>
        <v>96272250</v>
      </c>
      <c r="F18" s="349">
        <f t="shared" ref="F18:V18" si="0">E18</f>
        <v>96272250</v>
      </c>
      <c r="G18" s="349">
        <f t="shared" si="0"/>
        <v>96272250</v>
      </c>
      <c r="H18" s="349">
        <f t="shared" si="0"/>
        <v>96272250</v>
      </c>
      <c r="I18" s="349">
        <f t="shared" si="0"/>
        <v>96272250</v>
      </c>
      <c r="J18" s="349">
        <f t="shared" si="0"/>
        <v>96272250</v>
      </c>
      <c r="K18" s="349">
        <f t="shared" si="0"/>
        <v>96272250</v>
      </c>
      <c r="L18" s="349">
        <f t="shared" si="0"/>
        <v>96272250</v>
      </c>
      <c r="M18" s="349">
        <f t="shared" si="0"/>
        <v>96272250</v>
      </c>
      <c r="N18" s="349">
        <f t="shared" si="0"/>
        <v>96272250</v>
      </c>
      <c r="O18" s="349">
        <f t="shared" si="0"/>
        <v>96272250</v>
      </c>
      <c r="P18" s="349">
        <f t="shared" si="0"/>
        <v>96272250</v>
      </c>
      <c r="Q18" s="349">
        <f t="shared" si="0"/>
        <v>96272250</v>
      </c>
      <c r="R18" s="349">
        <f t="shared" si="0"/>
        <v>96272250</v>
      </c>
      <c r="S18" s="349">
        <f t="shared" si="0"/>
        <v>96272250</v>
      </c>
      <c r="T18" s="349">
        <f t="shared" si="0"/>
        <v>96272250</v>
      </c>
      <c r="U18" s="349">
        <f t="shared" si="0"/>
        <v>96272250</v>
      </c>
      <c r="V18" s="349">
        <f t="shared" si="0"/>
        <v>96272250</v>
      </c>
      <c r="W18" s="349">
        <f t="shared" ref="W18:AB18" si="1">V18</f>
        <v>96272250</v>
      </c>
      <c r="X18" s="349">
        <f t="shared" si="1"/>
        <v>96272250</v>
      </c>
      <c r="Y18" s="349">
        <f t="shared" si="1"/>
        <v>96272250</v>
      </c>
      <c r="Z18" s="349">
        <f t="shared" si="1"/>
        <v>96272250</v>
      </c>
      <c r="AA18" s="349">
        <f t="shared" si="1"/>
        <v>96272250</v>
      </c>
      <c r="AB18" s="349">
        <f t="shared" si="1"/>
        <v>96272250</v>
      </c>
    </row>
    <row r="19" spans="1:28" ht="14" x14ac:dyDescent="0.2">
      <c r="A19" s="34"/>
      <c r="B19" s="346" t="s">
        <v>277</v>
      </c>
      <c r="C19" s="347"/>
      <c r="D19" s="348">
        <f>D18-D21</f>
        <v>93477310.739999995</v>
      </c>
      <c r="E19" s="348">
        <f>E18-E21</f>
        <v>93491285.436299995</v>
      </c>
      <c r="F19" s="348">
        <f t="shared" ref="F19:V19" si="2">F18-F21</f>
        <v>93505190.259118497</v>
      </c>
      <c r="G19" s="348">
        <f t="shared" si="2"/>
        <v>93519025.557822898</v>
      </c>
      <c r="H19" s="348">
        <f t="shared" si="2"/>
        <v>93532791.680033788</v>
      </c>
      <c r="I19" s="348">
        <f t="shared" si="2"/>
        <v>93546488.971633613</v>
      </c>
      <c r="J19" s="348">
        <f t="shared" si="2"/>
        <v>93560117.77677545</v>
      </c>
      <c r="K19" s="348">
        <f t="shared" si="2"/>
        <v>93573678.437891573</v>
      </c>
      <c r="L19" s="348">
        <f t="shared" si="2"/>
        <v>93587171.295702115</v>
      </c>
      <c r="M19" s="348">
        <f t="shared" si="2"/>
        <v>93600596.689223602</v>
      </c>
      <c r="N19" s="348">
        <f t="shared" si="2"/>
        <v>93613954.955777496</v>
      </c>
      <c r="O19" s="348">
        <f t="shared" si="2"/>
        <v>93627246.430998594</v>
      </c>
      <c r="P19" s="348">
        <f t="shared" si="2"/>
        <v>93640471.448843613</v>
      </c>
      <c r="Q19" s="348">
        <f t="shared" si="2"/>
        <v>93653630.34159939</v>
      </c>
      <c r="R19" s="348">
        <f t="shared" si="2"/>
        <v>93666723.439891398</v>
      </c>
      <c r="S19" s="348">
        <f t="shared" si="2"/>
        <v>93679751.072691932</v>
      </c>
      <c r="T19" s="348">
        <f t="shared" si="2"/>
        <v>93692713.567328483</v>
      </c>
      <c r="U19" s="348">
        <f t="shared" si="2"/>
        <v>93705611.249491841</v>
      </c>
      <c r="V19" s="348">
        <f t="shared" si="2"/>
        <v>93718444.443244368</v>
      </c>
      <c r="W19" s="348">
        <f t="shared" ref="W19:AB19" si="3">W18-W21</f>
        <v>93731213.471028149</v>
      </c>
      <c r="X19" s="348">
        <f t="shared" si="3"/>
        <v>93743918.653673008</v>
      </c>
      <c r="Y19" s="348">
        <f t="shared" si="3"/>
        <v>93756560.310404643</v>
      </c>
      <c r="Z19" s="348">
        <f t="shared" si="3"/>
        <v>93769138.758852631</v>
      </c>
      <c r="AA19" s="348">
        <f t="shared" si="3"/>
        <v>93781654.315058365</v>
      </c>
      <c r="AB19" s="348">
        <f t="shared" si="3"/>
        <v>93794107.293483064</v>
      </c>
    </row>
    <row r="20" spans="1:28" ht="14" x14ac:dyDescent="0.2">
      <c r="A20" s="34"/>
      <c r="B20" s="346"/>
      <c r="C20" s="347"/>
      <c r="D20" s="349"/>
      <c r="E20" s="349"/>
      <c r="F20" s="349"/>
      <c r="G20" s="349"/>
      <c r="H20" s="349"/>
      <c r="I20" s="349"/>
      <c r="J20" s="349"/>
      <c r="K20" s="349"/>
      <c r="L20" s="349"/>
      <c r="M20" s="349"/>
      <c r="N20" s="349"/>
      <c r="O20" s="349"/>
      <c r="P20" s="349"/>
      <c r="Q20" s="349"/>
      <c r="R20" s="349"/>
      <c r="S20" s="349"/>
      <c r="T20" s="349"/>
      <c r="U20" s="349"/>
      <c r="V20" s="349"/>
      <c r="W20" s="349"/>
      <c r="X20" s="349"/>
      <c r="Y20" s="349"/>
      <c r="Z20" s="349"/>
      <c r="AA20" s="349"/>
      <c r="AB20" s="349"/>
    </row>
    <row r="21" spans="1:28" ht="14" x14ac:dyDescent="0.2">
      <c r="A21" s="34"/>
      <c r="B21" s="350" t="s">
        <v>240</v>
      </c>
      <c r="C21" s="347"/>
      <c r="D21" s="349">
        <f>Unstructured!D21</f>
        <v>2794939.2600000035</v>
      </c>
      <c r="E21" s="349">
        <f>Unstructured!E21</f>
        <v>2780964.5637000035</v>
      </c>
      <c r="F21" s="349">
        <f>Unstructured!F21</f>
        <v>2767059.7408815036</v>
      </c>
      <c r="G21" s="349">
        <f>Unstructured!G21</f>
        <v>2753224.4421770959</v>
      </c>
      <c r="H21" s="349">
        <f>Unstructured!H21</f>
        <v>2739458.3199662105</v>
      </c>
      <c r="I21" s="349">
        <f>Unstructured!I21</f>
        <v>2725761.0283663794</v>
      </c>
      <c r="J21" s="349">
        <f>Unstructured!J21</f>
        <v>2712132.2232245477</v>
      </c>
      <c r="K21" s="349">
        <f>Unstructured!K21</f>
        <v>2698571.562108425</v>
      </c>
      <c r="L21" s="349">
        <f>Unstructured!L21</f>
        <v>2685078.704297883</v>
      </c>
      <c r="M21" s="349">
        <f>Unstructured!M21</f>
        <v>2671653.3107763934</v>
      </c>
      <c r="N21" s="349">
        <f>Unstructured!N21</f>
        <v>2658295.0442225114</v>
      </c>
      <c r="O21" s="349">
        <f>Unstructured!O21</f>
        <v>2645003.569001399</v>
      </c>
      <c r="P21" s="349">
        <f>Unstructured!P21</f>
        <v>2631778.5511563919</v>
      </c>
      <c r="Q21" s="349">
        <f>Unstructured!Q21</f>
        <v>2618619.6584006101</v>
      </c>
      <c r="R21" s="349">
        <f>Unstructured!R21</f>
        <v>2605526.5601086072</v>
      </c>
      <c r="S21" s="349">
        <f>Unstructured!S21</f>
        <v>2592498.927308064</v>
      </c>
      <c r="T21" s="349">
        <f>Unstructured!T21</f>
        <v>2579536.4326715237</v>
      </c>
      <c r="U21" s="349">
        <f>Unstructured!U21</f>
        <v>2566638.7505081659</v>
      </c>
      <c r="V21" s="349">
        <f>Unstructured!V21</f>
        <v>2553805.5567556252</v>
      </c>
      <c r="W21" s="349">
        <f>Unstructured!W21</f>
        <v>2541036.5289718471</v>
      </c>
      <c r="X21" s="349">
        <f>Unstructured!X21</f>
        <v>2528331.3463269877</v>
      </c>
      <c r="Y21" s="349">
        <f>Unstructured!Y21</f>
        <v>2515689.6895953529</v>
      </c>
      <c r="Z21" s="349">
        <f>Unstructured!Z21</f>
        <v>2503111.2411473761</v>
      </c>
      <c r="AA21" s="349">
        <f>Unstructured!AA21</f>
        <v>2490595.6849416392</v>
      </c>
      <c r="AB21" s="349">
        <f>Unstructured!AB21</f>
        <v>2478142.7065169308</v>
      </c>
    </row>
    <row r="22" spans="1:28" ht="14" x14ac:dyDescent="0.2">
      <c r="A22" s="34"/>
      <c r="B22" s="350" t="s">
        <v>387</v>
      </c>
      <c r="C22" s="347"/>
      <c r="D22" s="351">
        <f>Customer_Utility_Charge_kWh</f>
        <v>7.3648296020305801E-2</v>
      </c>
      <c r="E22" s="351">
        <f>D22*(1+Customer_Utility_Charge_Escalator)</f>
        <v>7.5489503420813439E-2</v>
      </c>
      <c r="F22" s="351">
        <f t="shared" ref="F22:V22" si="4">E22*(1+Customer_Utility_Charge_Escalator)</f>
        <v>7.7376741006333766E-2</v>
      </c>
      <c r="G22" s="351">
        <f t="shared" si="4"/>
        <v>7.9311159531492106E-2</v>
      </c>
      <c r="H22" s="351">
        <f t="shared" si="4"/>
        <v>8.1293938519779396E-2</v>
      </c>
      <c r="I22" s="351">
        <f t="shared" si="4"/>
        <v>8.3326286982773876E-2</v>
      </c>
      <c r="J22" s="351">
        <f t="shared" si="4"/>
        <v>8.5409444157343209E-2</v>
      </c>
      <c r="K22" s="351">
        <f t="shared" si="4"/>
        <v>8.7544680261276778E-2</v>
      </c>
      <c r="L22" s="351">
        <f t="shared" si="4"/>
        <v>8.9733297267808695E-2</v>
      </c>
      <c r="M22" s="351">
        <f t="shared" si="4"/>
        <v>9.1976629699503903E-2</v>
      </c>
      <c r="N22" s="351">
        <f t="shared" si="4"/>
        <v>9.4276045441991488E-2</v>
      </c>
      <c r="O22" s="351">
        <f t="shared" si="4"/>
        <v>9.6632946578041265E-2</v>
      </c>
      <c r="P22" s="351">
        <f t="shared" si="4"/>
        <v>9.9048770242492284E-2</v>
      </c>
      <c r="Q22" s="351">
        <f t="shared" si="4"/>
        <v>0.10152498949855458</v>
      </c>
      <c r="R22" s="351">
        <f t="shared" si="4"/>
        <v>0.10406311423601844</v>
      </c>
      <c r="S22" s="351">
        <f t="shared" si="4"/>
        <v>0.10666469209191889</v>
      </c>
      <c r="T22" s="351">
        <f t="shared" si="4"/>
        <v>0.10933130939421686</v>
      </c>
      <c r="U22" s="351">
        <f t="shared" si="4"/>
        <v>0.11206459212907227</v>
      </c>
      <c r="V22" s="351">
        <f t="shared" si="4"/>
        <v>0.11486620693229907</v>
      </c>
      <c r="W22" s="351">
        <f t="shared" ref="W22:AB22" si="5">V22*(1+Customer_Utility_Charge_Escalator)</f>
        <v>0.11773786210560654</v>
      </c>
      <c r="X22" s="351">
        <f t="shared" si="5"/>
        <v>0.12068130865824669</v>
      </c>
      <c r="Y22" s="351">
        <f t="shared" si="5"/>
        <v>0.12369834137470286</v>
      </c>
      <c r="Z22" s="351">
        <f t="shared" si="5"/>
        <v>0.12679079990907041</v>
      </c>
      <c r="AA22" s="351">
        <f t="shared" si="5"/>
        <v>0.12996056990679716</v>
      </c>
      <c r="AB22" s="351">
        <f t="shared" si="5"/>
        <v>0.13320958415446707</v>
      </c>
    </row>
    <row r="23" spans="1:28" ht="14" x14ac:dyDescent="0.2">
      <c r="A23" s="34"/>
      <c r="B23" s="350" t="s">
        <v>247</v>
      </c>
      <c r="C23" s="347"/>
      <c r="D23" s="351">
        <f>D22*Customer_Dem_Charge_Percent</f>
        <v>0</v>
      </c>
      <c r="E23" s="351">
        <f>E22*Customer_Dem_Charge_Percent</f>
        <v>0</v>
      </c>
      <c r="F23" s="351">
        <f t="shared" ref="F23:V23" si="6">F22*Customer_Dem_Charge_Percent</f>
        <v>0</v>
      </c>
      <c r="G23" s="351">
        <f t="shared" si="6"/>
        <v>0</v>
      </c>
      <c r="H23" s="351">
        <f t="shared" si="6"/>
        <v>0</v>
      </c>
      <c r="I23" s="351">
        <f t="shared" si="6"/>
        <v>0</v>
      </c>
      <c r="J23" s="351">
        <f t="shared" si="6"/>
        <v>0</v>
      </c>
      <c r="K23" s="351">
        <f t="shared" si="6"/>
        <v>0</v>
      </c>
      <c r="L23" s="351">
        <f t="shared" si="6"/>
        <v>0</v>
      </c>
      <c r="M23" s="351">
        <f t="shared" si="6"/>
        <v>0</v>
      </c>
      <c r="N23" s="351">
        <f t="shared" si="6"/>
        <v>0</v>
      </c>
      <c r="O23" s="351">
        <f t="shared" si="6"/>
        <v>0</v>
      </c>
      <c r="P23" s="351">
        <f t="shared" si="6"/>
        <v>0</v>
      </c>
      <c r="Q23" s="351">
        <f t="shared" si="6"/>
        <v>0</v>
      </c>
      <c r="R23" s="351">
        <f t="shared" si="6"/>
        <v>0</v>
      </c>
      <c r="S23" s="351">
        <f t="shared" si="6"/>
        <v>0</v>
      </c>
      <c r="T23" s="351">
        <f t="shared" si="6"/>
        <v>0</v>
      </c>
      <c r="U23" s="351">
        <f t="shared" si="6"/>
        <v>0</v>
      </c>
      <c r="V23" s="351">
        <f t="shared" si="6"/>
        <v>0</v>
      </c>
      <c r="W23" s="351">
        <f t="shared" ref="W23:AB23" si="7">W22*Customer_Dem_Charge_Percent</f>
        <v>0</v>
      </c>
      <c r="X23" s="351">
        <f t="shared" si="7"/>
        <v>0</v>
      </c>
      <c r="Y23" s="351">
        <f t="shared" si="7"/>
        <v>0</v>
      </c>
      <c r="Z23" s="351">
        <f t="shared" si="7"/>
        <v>0</v>
      </c>
      <c r="AA23" s="351">
        <f t="shared" si="7"/>
        <v>0</v>
      </c>
      <c r="AB23" s="351">
        <f t="shared" si="7"/>
        <v>0</v>
      </c>
    </row>
    <row r="24" spans="1:28" ht="14" x14ac:dyDescent="0.2">
      <c r="A24" s="34"/>
      <c r="B24" s="350" t="s">
        <v>118</v>
      </c>
      <c r="C24" s="347"/>
      <c r="D24" s="351">
        <f>Unstructured!D19</f>
        <v>7.3031580167629145E-2</v>
      </c>
      <c r="E24" s="351">
        <f>Unstructured!E19</f>
        <v>7.4857369671819871E-2</v>
      </c>
      <c r="F24" s="351">
        <f>Unstructured!F19</f>
        <v>7.6728803913615362E-2</v>
      </c>
      <c r="G24" s="351">
        <f>Unstructured!G19</f>
        <v>7.8647024011455735E-2</v>
      </c>
      <c r="H24" s="351">
        <f>Unstructured!H19</f>
        <v>8.0613199611742126E-2</v>
      </c>
      <c r="I24" s="351">
        <f>Unstructured!I19</f>
        <v>8.2628529602035677E-2</v>
      </c>
      <c r="J24" s="351">
        <f>Unstructured!J19</f>
        <v>8.4694242842086556E-2</v>
      </c>
      <c r="K24" s="351">
        <f>Unstructured!K19</f>
        <v>8.6811598913138707E-2</v>
      </c>
      <c r="L24" s="351">
        <f>Unstructured!L19</f>
        <v>8.898188888596717E-2</v>
      </c>
      <c r="M24" s="351">
        <f>Unstructured!M19</f>
        <v>9.1206436108116337E-2</v>
      </c>
      <c r="N24" s="351">
        <f>Unstructured!N19</f>
        <v>9.3486597010819239E-2</v>
      </c>
      <c r="O24" s="351">
        <f>Unstructured!O19</f>
        <v>9.5823761936089713E-2</v>
      </c>
      <c r="P24" s="351">
        <f>Unstructured!P19</f>
        <v>9.8219355984491941E-2</v>
      </c>
      <c r="Q24" s="351">
        <f>Unstructured!Q19</f>
        <v>0.10067483988410424</v>
      </c>
      <c r="R24" s="351">
        <f>Unstructured!R19</f>
        <v>0.10319171088120684</v>
      </c>
      <c r="S24" s="351">
        <f>Unstructured!S19</f>
        <v>0.105771503653237</v>
      </c>
      <c r="T24" s="351">
        <f>Unstructured!T19</f>
        <v>0.10841579124456791</v>
      </c>
      <c r="U24" s="351">
        <f>Unstructured!U19</f>
        <v>0.1111261860256821</v>
      </c>
      <c r="V24" s="351">
        <f>Unstructured!V19</f>
        <v>0.11390434067632414</v>
      </c>
      <c r="W24" s="351">
        <f>Unstructured!W19</f>
        <v>0.11675194919323223</v>
      </c>
      <c r="X24" s="351">
        <f>Unstructured!X19</f>
        <v>0.11967074792306302</v>
      </c>
      <c r="Y24" s="351">
        <f>Unstructured!Y19</f>
        <v>0.12266251662113958</v>
      </c>
      <c r="Z24" s="351">
        <f>Unstructured!Z19</f>
        <v>0.12572907953666806</v>
      </c>
      <c r="AA24" s="351">
        <f>Unstructured!AA19</f>
        <v>0.12887230652508475</v>
      </c>
      <c r="AB24" s="351">
        <f>Unstructured!AB19</f>
        <v>0.13209411418821185</v>
      </c>
    </row>
    <row r="25" spans="1:28" ht="14" x14ac:dyDescent="0.2">
      <c r="A25" s="34"/>
      <c r="B25" s="346" t="s">
        <v>401</v>
      </c>
      <c r="C25" s="347"/>
      <c r="D25" s="352">
        <f t="shared" ref="D25:V25" si="8">D21*(D22+D23)</f>
        <v>205842.5139792547</v>
      </c>
      <c r="E25" s="352">
        <f t="shared" si="8"/>
        <v>209933.63394459238</v>
      </c>
      <c r="F25" s="352">
        <f t="shared" si="8"/>
        <v>214106.06491924112</v>
      </c>
      <c r="G25" s="352">
        <f t="shared" si="8"/>
        <v>218361.42295951102</v>
      </c>
      <c r="H25" s="352">
        <f t="shared" si="8"/>
        <v>222701.35624083126</v>
      </c>
      <c r="I25" s="352">
        <f t="shared" si="8"/>
        <v>227127.54569611777</v>
      </c>
      <c r="J25" s="352">
        <f t="shared" si="8"/>
        <v>231641.70566682809</v>
      </c>
      <c r="K25" s="352">
        <f t="shared" si="8"/>
        <v>236245.58456695627</v>
      </c>
      <c r="L25" s="352">
        <f t="shared" si="8"/>
        <v>240940.96556022455</v>
      </c>
      <c r="M25" s="352">
        <f t="shared" si="8"/>
        <v>245729.66725073397</v>
      </c>
      <c r="N25" s="352">
        <f t="shared" si="8"/>
        <v>250613.54438734226</v>
      </c>
      <c r="O25" s="352">
        <f t="shared" si="8"/>
        <v>255594.48858204068</v>
      </c>
      <c r="P25" s="352">
        <f t="shared" si="8"/>
        <v>260674.42904260868</v>
      </c>
      <c r="Q25" s="352">
        <f t="shared" si="8"/>
        <v>265855.33331983053</v>
      </c>
      <c r="R25" s="352">
        <f t="shared" si="8"/>
        <v>271139.20806956216</v>
      </c>
      <c r="S25" s="352">
        <f t="shared" si="8"/>
        <v>276528.09982994467</v>
      </c>
      <c r="T25" s="352">
        <f t="shared" si="8"/>
        <v>282024.09581406479</v>
      </c>
      <c r="U25" s="352">
        <f t="shared" si="8"/>
        <v>287629.32471836929</v>
      </c>
      <c r="V25" s="352">
        <f t="shared" si="8"/>
        <v>293345.95754714689</v>
      </c>
      <c r="W25" s="352">
        <f t="shared" ref="W25:AB25" si="9">W21*(W22+W23)</f>
        <v>299176.20845339639</v>
      </c>
      <c r="X25" s="352">
        <f t="shared" si="9"/>
        <v>305122.33559640765</v>
      </c>
      <c r="Y25" s="352">
        <f t="shared" si="9"/>
        <v>311186.64201638621</v>
      </c>
      <c r="Z25" s="352">
        <f t="shared" si="9"/>
        <v>317371.47652646189</v>
      </c>
      <c r="AA25" s="352">
        <f t="shared" si="9"/>
        <v>323679.23462242528</v>
      </c>
      <c r="AB25" s="352">
        <f t="shared" si="9"/>
        <v>330112.35941054591</v>
      </c>
    </row>
    <row r="26" spans="1:28" ht="14" x14ac:dyDescent="0.2">
      <c r="A26" s="34"/>
      <c r="B26" s="346" t="s">
        <v>384</v>
      </c>
      <c r="C26" s="347"/>
      <c r="D26" s="353">
        <f>D21*D24</f>
        <v>204118.83063034434</v>
      </c>
      <c r="E26" s="353">
        <f t="shared" ref="E26:V26" si="10">E21*E24</f>
        <v>208175.69238912241</v>
      </c>
      <c r="F26" s="353">
        <f t="shared" si="10"/>
        <v>212313.18427535621</v>
      </c>
      <c r="G26" s="353">
        <f t="shared" si="10"/>
        <v>216532.90881282889</v>
      </c>
      <c r="H26" s="353">
        <f t="shared" si="10"/>
        <v>220836.50037548385</v>
      </c>
      <c r="I26" s="353">
        <f t="shared" si="10"/>
        <v>225225.62582044658</v>
      </c>
      <c r="J26" s="353">
        <f t="shared" si="10"/>
        <v>229701.98513362795</v>
      </c>
      <c r="K26" s="353">
        <f t="shared" si="10"/>
        <v>234267.31208815877</v>
      </c>
      <c r="L26" s="353">
        <f t="shared" si="10"/>
        <v>238923.37491591091</v>
      </c>
      <c r="M26" s="353">
        <f t="shared" si="10"/>
        <v>243671.97699236459</v>
      </c>
      <c r="N26" s="353">
        <f t="shared" si="10"/>
        <v>248514.95753508783</v>
      </c>
      <c r="O26" s="353">
        <f t="shared" si="10"/>
        <v>253454.1923160977</v>
      </c>
      <c r="P26" s="353">
        <f t="shared" si="10"/>
        <v>258491.59438838009</v>
      </c>
      <c r="Q26" s="353">
        <f t="shared" si="10"/>
        <v>263629.11482684914</v>
      </c>
      <c r="R26" s="353">
        <f t="shared" si="10"/>
        <v>268868.74348403275</v>
      </c>
      <c r="S26" s="353">
        <f t="shared" si="10"/>
        <v>274212.50976077787</v>
      </c>
      <c r="T26" s="353">
        <f t="shared" si="10"/>
        <v>279662.48339227331</v>
      </c>
      <c r="U26" s="353">
        <f t="shared" si="10"/>
        <v>285220.77524969471</v>
      </c>
      <c r="V26" s="353">
        <f t="shared" si="10"/>
        <v>290889.5381577824</v>
      </c>
      <c r="W26" s="353">
        <f t="shared" ref="W26:AB26" si="11">W21*W24</f>
        <v>296670.9677286683</v>
      </c>
      <c r="X26" s="353">
        <f t="shared" si="11"/>
        <v>302567.3032122755</v>
      </c>
      <c r="Y26" s="353">
        <f t="shared" si="11"/>
        <v>308580.82836361945</v>
      </c>
      <c r="Z26" s="353">
        <f t="shared" si="11"/>
        <v>314713.87232734635</v>
      </c>
      <c r="AA26" s="353">
        <f t="shared" si="11"/>
        <v>320968.8105398523</v>
      </c>
      <c r="AB26" s="353">
        <f t="shared" si="11"/>
        <v>327348.06564933184</v>
      </c>
    </row>
    <row r="27" spans="1:28" ht="14" x14ac:dyDescent="0.2">
      <c r="A27" s="34"/>
      <c r="B27" s="346" t="s">
        <v>402</v>
      </c>
      <c r="C27" s="347"/>
      <c r="D27" s="352">
        <f t="shared" ref="D27:V27" si="12">D25-D26</f>
        <v>1723.6833489103592</v>
      </c>
      <c r="E27" s="352">
        <f t="shared" si="12"/>
        <v>1757.9415554699663</v>
      </c>
      <c r="F27" s="352">
        <f t="shared" si="12"/>
        <v>1792.8806438849133</v>
      </c>
      <c r="G27" s="352">
        <f t="shared" si="12"/>
        <v>1828.5141466821369</v>
      </c>
      <c r="H27" s="352">
        <f t="shared" si="12"/>
        <v>1864.8558653474029</v>
      </c>
      <c r="I27" s="352">
        <f t="shared" si="12"/>
        <v>1901.9198756711849</v>
      </c>
      <c r="J27" s="352">
        <f t="shared" si="12"/>
        <v>1939.7205332001322</v>
      </c>
      <c r="K27" s="352">
        <f t="shared" si="12"/>
        <v>1978.2724787975021</v>
      </c>
      <c r="L27" s="352">
        <f t="shared" si="12"/>
        <v>2017.5906443136337</v>
      </c>
      <c r="M27" s="352">
        <f t="shared" si="12"/>
        <v>2057.6902583693736</v>
      </c>
      <c r="N27" s="352">
        <f t="shared" si="12"/>
        <v>2098.5868522544333</v>
      </c>
      <c r="O27" s="352">
        <f t="shared" si="12"/>
        <v>2140.2962659429759</v>
      </c>
      <c r="P27" s="352">
        <f t="shared" si="12"/>
        <v>2182.8346542285872</v>
      </c>
      <c r="Q27" s="352">
        <f t="shared" si="12"/>
        <v>2226.2184929813957</v>
      </c>
      <c r="R27" s="352">
        <f t="shared" si="12"/>
        <v>2270.4645855294075</v>
      </c>
      <c r="S27" s="352">
        <f t="shared" si="12"/>
        <v>2315.5900691667921</v>
      </c>
      <c r="T27" s="352">
        <f t="shared" si="12"/>
        <v>2361.6124217914767</v>
      </c>
      <c r="U27" s="352">
        <f t="shared" si="12"/>
        <v>2408.5494686745806</v>
      </c>
      <c r="V27" s="352">
        <f t="shared" si="12"/>
        <v>2456.4193893644842</v>
      </c>
      <c r="W27" s="352">
        <f t="shared" ref="W27:AB27" si="13">W25-W26</f>
        <v>2505.2407247280935</v>
      </c>
      <c r="X27" s="352">
        <f t="shared" si="13"/>
        <v>2555.0323841321515</v>
      </c>
      <c r="Y27" s="352">
        <f t="shared" si="13"/>
        <v>2605.8136527667521</v>
      </c>
      <c r="Z27" s="352">
        <f t="shared" si="13"/>
        <v>2657.6041991155362</v>
      </c>
      <c r="AA27" s="352">
        <f t="shared" si="13"/>
        <v>2710.4240825729794</v>
      </c>
      <c r="AB27" s="352">
        <f t="shared" si="13"/>
        <v>2764.2937612140668</v>
      </c>
    </row>
    <row r="28" spans="1:28" ht="14" x14ac:dyDescent="0.2">
      <c r="A28" s="34"/>
      <c r="B28" s="346" t="s">
        <v>451</v>
      </c>
      <c r="C28" s="347"/>
      <c r="D28" s="352">
        <f>NPV(Customer_Discount_Rate,D27:AB27)</f>
        <v>26587.057061834967</v>
      </c>
      <c r="E28" s="352"/>
      <c r="F28" s="352"/>
      <c r="G28" s="352"/>
      <c r="H28" s="352"/>
      <c r="I28" s="352"/>
      <c r="J28" s="352"/>
      <c r="K28" s="352"/>
      <c r="L28" s="352"/>
      <c r="M28" s="352"/>
      <c r="N28" s="352"/>
      <c r="O28" s="352"/>
      <c r="P28" s="352"/>
      <c r="Q28" s="352"/>
      <c r="R28" s="352"/>
      <c r="S28" s="352"/>
      <c r="T28" s="352"/>
      <c r="U28" s="352"/>
      <c r="V28" s="352"/>
      <c r="W28" s="352"/>
      <c r="X28" s="352"/>
      <c r="Y28" s="352"/>
      <c r="Z28" s="352"/>
      <c r="AA28" s="352"/>
      <c r="AB28" s="352"/>
    </row>
    <row r="29" spans="1:28" ht="14" x14ac:dyDescent="0.2">
      <c r="A29" s="34"/>
      <c r="B29" s="346"/>
      <c r="C29" s="347"/>
      <c r="D29" s="352"/>
      <c r="E29" s="352"/>
      <c r="F29" s="352"/>
      <c r="G29" s="352"/>
      <c r="H29" s="352"/>
      <c r="I29" s="352"/>
      <c r="J29" s="352"/>
      <c r="K29" s="352"/>
      <c r="L29" s="352"/>
      <c r="M29" s="352"/>
      <c r="N29" s="352"/>
      <c r="O29" s="352"/>
      <c r="P29" s="352"/>
      <c r="Q29" s="352"/>
      <c r="R29" s="352"/>
      <c r="S29" s="352"/>
      <c r="T29" s="352"/>
      <c r="U29" s="352"/>
      <c r="V29" s="352"/>
      <c r="W29" s="352"/>
      <c r="X29" s="352"/>
      <c r="Y29" s="352"/>
      <c r="Z29" s="352"/>
      <c r="AA29" s="352"/>
      <c r="AB29" s="352"/>
    </row>
    <row r="30" spans="1:28" ht="14" x14ac:dyDescent="0.2">
      <c r="A30" s="34"/>
      <c r="B30" s="392" t="s">
        <v>140</v>
      </c>
      <c r="C30" s="347"/>
      <c r="D30" s="352"/>
      <c r="E30" s="352"/>
      <c r="F30" s="352"/>
      <c r="G30" s="352"/>
      <c r="H30" s="352"/>
      <c r="I30" s="352"/>
      <c r="J30" s="352"/>
      <c r="K30" s="352"/>
      <c r="L30" s="352"/>
      <c r="M30" s="352"/>
      <c r="N30" s="352"/>
      <c r="O30" s="352"/>
      <c r="P30" s="352"/>
      <c r="Q30" s="352"/>
      <c r="R30" s="352"/>
      <c r="S30" s="352"/>
      <c r="T30" s="352"/>
      <c r="U30" s="352"/>
      <c r="V30" s="352"/>
      <c r="W30" s="352"/>
      <c r="X30" s="352"/>
      <c r="Y30" s="352"/>
      <c r="Z30" s="352"/>
      <c r="AA30" s="352"/>
      <c r="AB30" s="352"/>
    </row>
    <row r="31" spans="1:28" ht="14" x14ac:dyDescent="0.2">
      <c r="A31" s="34"/>
      <c r="B31" s="350" t="s">
        <v>394</v>
      </c>
      <c r="C31" s="347"/>
      <c r="D31" s="354"/>
      <c r="E31" s="354"/>
      <c r="F31" s="354"/>
      <c r="G31" s="354"/>
      <c r="H31" s="354"/>
      <c r="I31" s="354"/>
      <c r="J31" s="352">
        <f>NPV(Customer_Discount_Rate,Unstructured!K87:$AB$87)</f>
        <v>1857106.2063050687</v>
      </c>
      <c r="K31" s="352">
        <f>NPV(Customer_Discount_Rate,Unstructured!L87:$AB$87)</f>
        <v>1834446.9175125037</v>
      </c>
      <c r="L31" s="352">
        <f>NPV(Customer_Discount_Rate,Unstructured!M87:$AB$87)</f>
        <v>1807767.3348301339</v>
      </c>
      <c r="M31" s="352">
        <f>NPV(Customer_Discount_Rate,Unstructured!N87:$AB$87)</f>
        <v>1776773.4428044676</v>
      </c>
      <c r="N31" s="352">
        <f>NPV(Customer_Discount_Rate,Unstructured!O87:$AB$87)</f>
        <v>1741152.5373845086</v>
      </c>
      <c r="O31" s="352">
        <f>NPV(Customer_Discount_Rate,Unstructured!P87:$AB$87)</f>
        <v>1700572.0838171907</v>
      </c>
      <c r="P31" s="352">
        <f>NPV(Customer_Discount_Rate,Unstructured!Q87:$AB$87)</f>
        <v>1654678.5056040278</v>
      </c>
      <c r="Q31" s="352">
        <f>NPV(Customer_Discount_Rate,Unstructured!R87:$AB$87)</f>
        <v>1603095.9003744856</v>
      </c>
      <c r="R31" s="352">
        <f>NPV(Customer_Discount_Rate,Unstructured!S87:$AB$87)</f>
        <v>1545424.6782827175</v>
      </c>
      <c r="S31" s="352">
        <f>NPV(Customer_Discount_Rate,Unstructured!T87:$AB$87)</f>
        <v>1481240.1182705578</v>
      </c>
      <c r="T31" s="352">
        <f>NPV(Customer_Discount_Rate,Unstructured!U87:$AB$87)</f>
        <v>1410090.837260067</v>
      </c>
      <c r="U31" s="352">
        <f>NPV(Customer_Discount_Rate,Unstructured!V87:$AB$87)</f>
        <v>1331497.1670425478</v>
      </c>
      <c r="V31" s="352">
        <f>NPV(Customer_Discount_Rate,Unstructured!W87:$AB$87)</f>
        <v>1244949.4333167884</v>
      </c>
      <c r="W31" s="352">
        <f>NPV(Customer_Discount_Rate,Unstructured!X87:$AB$87)</f>
        <v>1149906.1309962787</v>
      </c>
      <c r="X31" s="352">
        <f>NPV(Customer_Discount_Rate,Unstructured!Y87:$AB$87)</f>
        <v>1045791.9895521468</v>
      </c>
      <c r="Y31" s="352">
        <f>NPV(Customer_Discount_Rate,Unstructured!Z87:$AB$87)</f>
        <v>931995.92178437999</v>
      </c>
      <c r="Z31" s="352">
        <f>NPV(Customer_Discount_Rate,Unstructured!AA87:$AB$87)</f>
        <v>807868.84901725838</v>
      </c>
      <c r="AA31" s="352">
        <f>NPV(Customer_Discount_Rate,Unstructured!AB87:$AB$87)</f>
        <v>672721.39529449458</v>
      </c>
      <c r="AB31" s="352">
        <f>NPV(Customer_Discount_Rate,Unstructured!$AB87:AC$87)</f>
        <v>672721.39529449458</v>
      </c>
    </row>
    <row r="32" spans="1:28" ht="14" x14ac:dyDescent="0.2">
      <c r="A32" s="34"/>
      <c r="B32" s="350" t="s">
        <v>395</v>
      </c>
      <c r="C32" s="347"/>
      <c r="D32" s="354"/>
      <c r="E32" s="354"/>
      <c r="F32" s="354"/>
      <c r="G32" s="354"/>
      <c r="H32" s="354"/>
      <c r="I32" s="354"/>
      <c r="J32" s="352">
        <v>0</v>
      </c>
      <c r="K32" s="352">
        <v>0</v>
      </c>
      <c r="L32" s="352">
        <v>0</v>
      </c>
      <c r="M32" s="352">
        <v>0</v>
      </c>
      <c r="N32" s="352">
        <v>0</v>
      </c>
      <c r="O32" s="352">
        <v>0</v>
      </c>
      <c r="P32" s="352">
        <v>0</v>
      </c>
      <c r="Q32" s="352">
        <v>0</v>
      </c>
      <c r="R32" s="352">
        <v>0</v>
      </c>
      <c r="S32" s="352">
        <v>0</v>
      </c>
      <c r="T32" s="352">
        <v>0</v>
      </c>
      <c r="U32" s="352">
        <v>0</v>
      </c>
      <c r="V32" s="352">
        <v>0</v>
      </c>
      <c r="W32" s="352">
        <v>0</v>
      </c>
      <c r="X32" s="352">
        <v>0</v>
      </c>
      <c r="Y32" s="352">
        <v>0</v>
      </c>
      <c r="Z32" s="352">
        <v>0</v>
      </c>
      <c r="AA32" s="352">
        <v>0</v>
      </c>
      <c r="AB32" s="352">
        <v>0</v>
      </c>
    </row>
    <row r="33" spans="1:28" ht="14" x14ac:dyDescent="0.2">
      <c r="A33" s="34"/>
      <c r="B33" s="350" t="s">
        <v>393</v>
      </c>
      <c r="C33" s="347"/>
      <c r="D33" s="354"/>
      <c r="E33" s="354"/>
      <c r="F33" s="354"/>
      <c r="G33" s="354"/>
      <c r="H33" s="354"/>
      <c r="I33" s="354"/>
      <c r="J33" s="353">
        <f t="shared" ref="J33:V33" si="14">NPV(Customer_Discount_Rate,J32:W32)</f>
        <v>0</v>
      </c>
      <c r="K33" s="353">
        <f>NPV(Customer_Discount_Rate,K32:AB32)</f>
        <v>0</v>
      </c>
      <c r="L33" s="353">
        <f t="shared" si="14"/>
        <v>0</v>
      </c>
      <c r="M33" s="353">
        <f t="shared" si="14"/>
        <v>0</v>
      </c>
      <c r="N33" s="353">
        <f t="shared" si="14"/>
        <v>0</v>
      </c>
      <c r="O33" s="353">
        <f t="shared" si="14"/>
        <v>0</v>
      </c>
      <c r="P33" s="353">
        <f t="shared" si="14"/>
        <v>0</v>
      </c>
      <c r="Q33" s="353">
        <f t="shared" si="14"/>
        <v>0</v>
      </c>
      <c r="R33" s="353">
        <f t="shared" si="14"/>
        <v>0</v>
      </c>
      <c r="S33" s="353">
        <f t="shared" si="14"/>
        <v>0</v>
      </c>
      <c r="T33" s="353">
        <f t="shared" si="14"/>
        <v>0</v>
      </c>
      <c r="U33" s="353">
        <f t="shared" si="14"/>
        <v>0</v>
      </c>
      <c r="V33" s="353">
        <f t="shared" si="14"/>
        <v>0</v>
      </c>
      <c r="W33" s="353">
        <f t="shared" ref="W33:AB33" si="15">NPV(Customer_Discount_Rate,W32:AJ32)</f>
        <v>0</v>
      </c>
      <c r="X33" s="353">
        <f t="shared" si="15"/>
        <v>0</v>
      </c>
      <c r="Y33" s="353">
        <f t="shared" si="15"/>
        <v>0</v>
      </c>
      <c r="Z33" s="353">
        <f t="shared" si="15"/>
        <v>0</v>
      </c>
      <c r="AA33" s="353">
        <f t="shared" si="15"/>
        <v>0</v>
      </c>
      <c r="AB33" s="353">
        <f t="shared" si="15"/>
        <v>0</v>
      </c>
    </row>
    <row r="34" spans="1:28" ht="14" x14ac:dyDescent="0.2">
      <c r="A34" s="34"/>
      <c r="B34" s="356" t="s">
        <v>210</v>
      </c>
      <c r="C34" s="347"/>
      <c r="D34" s="354"/>
      <c r="E34" s="354"/>
      <c r="F34" s="354"/>
      <c r="G34" s="354"/>
      <c r="H34" s="354"/>
      <c r="I34" s="354"/>
      <c r="J34" s="352">
        <f>SUM(J31+J33)</f>
        <v>1857106.2063050687</v>
      </c>
      <c r="K34" s="352">
        <f t="shared" ref="K34:V34" si="16">SUM(K31+K33)</f>
        <v>1834446.9175125037</v>
      </c>
      <c r="L34" s="352">
        <f t="shared" si="16"/>
        <v>1807767.3348301339</v>
      </c>
      <c r="M34" s="352">
        <f t="shared" si="16"/>
        <v>1776773.4428044676</v>
      </c>
      <c r="N34" s="352">
        <f t="shared" si="16"/>
        <v>1741152.5373845086</v>
      </c>
      <c r="O34" s="352">
        <f t="shared" si="16"/>
        <v>1700572.0838171907</v>
      </c>
      <c r="P34" s="352">
        <f t="shared" si="16"/>
        <v>1654678.5056040278</v>
      </c>
      <c r="Q34" s="352">
        <f t="shared" si="16"/>
        <v>1603095.9003744856</v>
      </c>
      <c r="R34" s="352">
        <f t="shared" si="16"/>
        <v>1545424.6782827175</v>
      </c>
      <c r="S34" s="352">
        <f t="shared" si="16"/>
        <v>1481240.1182705578</v>
      </c>
      <c r="T34" s="352">
        <f t="shared" si="16"/>
        <v>1410090.837260067</v>
      </c>
      <c r="U34" s="352">
        <f t="shared" si="16"/>
        <v>1331497.1670425478</v>
      </c>
      <c r="V34" s="352">
        <f t="shared" si="16"/>
        <v>1244949.4333167884</v>
      </c>
      <c r="W34" s="352">
        <f t="shared" ref="W34:AB34" si="17">SUM(W31+W33)</f>
        <v>1149906.1309962787</v>
      </c>
      <c r="X34" s="352">
        <f t="shared" si="17"/>
        <v>1045791.9895521468</v>
      </c>
      <c r="Y34" s="352">
        <f t="shared" si="17"/>
        <v>931995.92178437999</v>
      </c>
      <c r="Z34" s="352">
        <f t="shared" si="17"/>
        <v>807868.84901725838</v>
      </c>
      <c r="AA34" s="352">
        <f t="shared" si="17"/>
        <v>672721.39529449458</v>
      </c>
      <c r="AB34" s="352">
        <f t="shared" si="17"/>
        <v>672721.39529449458</v>
      </c>
    </row>
    <row r="35" spans="1:28" ht="14" x14ac:dyDescent="0.2">
      <c r="A35" s="34"/>
      <c r="B35" s="355"/>
      <c r="C35" s="347"/>
      <c r="D35" s="352"/>
      <c r="E35" s="352"/>
      <c r="F35" s="352"/>
      <c r="G35" s="352"/>
      <c r="H35" s="352"/>
      <c r="I35" s="352"/>
      <c r="J35" s="352"/>
      <c r="K35" s="352"/>
      <c r="L35" s="352"/>
      <c r="M35" s="352"/>
      <c r="N35" s="352"/>
      <c r="O35" s="352"/>
      <c r="P35" s="352"/>
      <c r="Q35" s="352"/>
      <c r="R35" s="352"/>
      <c r="S35" s="352"/>
      <c r="T35" s="352"/>
      <c r="U35" s="352"/>
      <c r="V35" s="352"/>
      <c r="W35" s="352"/>
      <c r="X35" s="352"/>
      <c r="Y35" s="352"/>
      <c r="Z35" s="352"/>
      <c r="AA35" s="352"/>
      <c r="AB35" s="352"/>
    </row>
    <row r="36" spans="1:28" ht="14" x14ac:dyDescent="0.2">
      <c r="A36" s="34"/>
      <c r="B36" s="356" t="s">
        <v>391</v>
      </c>
      <c r="C36" s="347"/>
      <c r="D36" s="352"/>
      <c r="E36" s="352"/>
      <c r="F36" s="352"/>
      <c r="G36" s="352"/>
      <c r="H36" s="352"/>
      <c r="I36" s="352"/>
      <c r="J36" s="352"/>
      <c r="K36" s="352"/>
      <c r="L36" s="352"/>
      <c r="M36" s="352"/>
      <c r="N36" s="352"/>
      <c r="O36" s="352"/>
      <c r="P36" s="352"/>
      <c r="Q36" s="352"/>
      <c r="R36" s="352"/>
      <c r="S36" s="352"/>
      <c r="T36" s="352"/>
      <c r="U36" s="352"/>
      <c r="V36" s="352"/>
      <c r="W36" s="352"/>
      <c r="X36" s="352"/>
      <c r="Y36" s="352"/>
      <c r="Z36" s="352"/>
      <c r="AA36" s="352"/>
      <c r="AB36" s="352"/>
    </row>
    <row r="37" spans="1:28" ht="14" x14ac:dyDescent="0.2">
      <c r="A37" s="34"/>
      <c r="B37" s="356" t="s">
        <v>472</v>
      </c>
      <c r="C37" s="347"/>
      <c r="D37" s="352"/>
      <c r="E37" s="352"/>
      <c r="F37" s="352"/>
      <c r="G37" s="352"/>
      <c r="H37" s="352"/>
      <c r="I37" s="352"/>
      <c r="J37" s="352"/>
      <c r="K37" s="352"/>
      <c r="L37" s="352"/>
      <c r="M37" s="352"/>
      <c r="N37" s="352"/>
      <c r="O37" s="352"/>
      <c r="P37" s="352"/>
      <c r="Q37" s="352"/>
      <c r="R37" s="352"/>
      <c r="S37" s="352"/>
      <c r="T37" s="352"/>
      <c r="U37" s="352"/>
      <c r="V37" s="352"/>
      <c r="W37" s="352"/>
      <c r="X37" s="352"/>
      <c r="Y37" s="352"/>
      <c r="Z37" s="352"/>
      <c r="AA37" s="352"/>
      <c r="AB37" s="352"/>
    </row>
    <row r="38" spans="1:28" ht="14" x14ac:dyDescent="0.2">
      <c r="A38" s="34"/>
      <c r="B38" s="350" t="s">
        <v>396</v>
      </c>
      <c r="C38" s="347"/>
      <c r="D38" s="349">
        <f>SUM(D21:AB21)</f>
        <v>65837453.403131463</v>
      </c>
      <c r="E38" s="352"/>
      <c r="F38" s="352"/>
      <c r="G38" s="352"/>
      <c r="H38" s="352"/>
      <c r="I38" s="352"/>
      <c r="J38" s="352"/>
      <c r="K38" s="352"/>
      <c r="L38" s="352"/>
      <c r="M38" s="352"/>
      <c r="N38" s="352"/>
      <c r="O38" s="352"/>
      <c r="P38" s="352"/>
      <c r="Q38" s="352"/>
      <c r="R38" s="352"/>
      <c r="S38" s="352"/>
      <c r="T38" s="352"/>
      <c r="U38" s="352"/>
      <c r="V38" s="352"/>
      <c r="W38" s="352"/>
      <c r="X38" s="352"/>
      <c r="Y38" s="352"/>
      <c r="Z38" s="352"/>
      <c r="AA38" s="352"/>
      <c r="AB38" s="352"/>
    </row>
    <row r="39" spans="1:28" ht="14" x14ac:dyDescent="0.2">
      <c r="A39" s="34"/>
      <c r="B39" s="350" t="s">
        <v>473</v>
      </c>
      <c r="C39" s="347"/>
      <c r="D39" s="352">
        <f>SUM(D25:AB25)</f>
        <v>6582683.1987208249</v>
      </c>
      <c r="E39" s="352"/>
      <c r="F39" s="352"/>
      <c r="G39" s="352"/>
      <c r="H39" s="352"/>
      <c r="I39" s="352"/>
      <c r="J39" s="352"/>
      <c r="K39" s="352"/>
      <c r="L39" s="352"/>
      <c r="M39" s="352"/>
      <c r="N39" s="352"/>
      <c r="O39" s="352"/>
      <c r="P39" s="352"/>
      <c r="Q39" s="352"/>
      <c r="R39" s="352"/>
      <c r="S39" s="352"/>
      <c r="T39" s="352"/>
      <c r="U39" s="352"/>
      <c r="V39" s="352"/>
      <c r="W39" s="352"/>
      <c r="X39" s="352"/>
      <c r="Y39" s="352"/>
      <c r="Z39" s="352"/>
      <c r="AA39" s="352"/>
      <c r="AB39" s="352"/>
    </row>
    <row r="40" spans="1:28" ht="14" x14ac:dyDescent="0.2">
      <c r="A40" s="34"/>
      <c r="B40" s="356" t="s">
        <v>398</v>
      </c>
      <c r="C40" s="347"/>
      <c r="D40" s="351">
        <f>D39/D38</f>
        <v>9.99838672133046E-2</v>
      </c>
      <c r="E40" s="352"/>
      <c r="F40" s="352"/>
      <c r="G40" s="352"/>
      <c r="H40" s="352"/>
      <c r="I40" s="352"/>
      <c r="J40" s="352"/>
      <c r="K40" s="352"/>
      <c r="L40" s="352"/>
      <c r="M40" s="352"/>
      <c r="N40" s="352"/>
      <c r="O40" s="352"/>
      <c r="P40" s="352"/>
      <c r="Q40" s="352"/>
      <c r="R40" s="352"/>
      <c r="S40" s="352"/>
      <c r="T40" s="352"/>
      <c r="U40" s="352"/>
      <c r="V40" s="352"/>
      <c r="W40" s="352"/>
      <c r="X40" s="352"/>
      <c r="Y40" s="352"/>
      <c r="Z40" s="352"/>
      <c r="AA40" s="352"/>
      <c r="AB40" s="352"/>
    </row>
    <row r="41" spans="1:28" ht="14" x14ac:dyDescent="0.2">
      <c r="A41" s="34"/>
      <c r="B41" s="356"/>
      <c r="C41" s="347"/>
      <c r="D41" s="352"/>
      <c r="E41" s="352"/>
      <c r="F41" s="352"/>
      <c r="G41" s="352"/>
      <c r="H41" s="352"/>
      <c r="I41" s="352"/>
      <c r="J41" s="352"/>
      <c r="K41" s="352"/>
      <c r="L41" s="352"/>
      <c r="M41" s="352"/>
      <c r="N41" s="352"/>
      <c r="O41" s="352"/>
      <c r="P41" s="352"/>
      <c r="Q41" s="352"/>
      <c r="R41" s="352"/>
      <c r="S41" s="352"/>
      <c r="T41" s="352"/>
      <c r="U41" s="352"/>
      <c r="V41" s="352"/>
      <c r="W41" s="352"/>
      <c r="X41" s="352"/>
      <c r="Y41" s="352"/>
      <c r="Z41" s="352"/>
      <c r="AA41" s="352"/>
      <c r="AB41" s="352"/>
    </row>
    <row r="42" spans="1:28" ht="14" x14ac:dyDescent="0.2">
      <c r="A42" s="34"/>
      <c r="B42" s="356" t="s">
        <v>400</v>
      </c>
      <c r="C42" s="347"/>
      <c r="D42" s="352"/>
      <c r="E42" s="352"/>
      <c r="F42" s="352"/>
      <c r="G42" s="352"/>
      <c r="H42" s="352"/>
      <c r="I42" s="352"/>
      <c r="J42" s="352"/>
      <c r="K42" s="352"/>
      <c r="L42" s="352"/>
      <c r="M42" s="352"/>
      <c r="N42" s="352"/>
      <c r="O42" s="352"/>
      <c r="P42" s="352"/>
      <c r="Q42" s="352"/>
      <c r="R42" s="352"/>
      <c r="S42" s="352"/>
      <c r="T42" s="352"/>
      <c r="U42" s="352"/>
      <c r="V42" s="352"/>
      <c r="W42" s="352"/>
      <c r="X42" s="352"/>
      <c r="Y42" s="352"/>
      <c r="Z42" s="352"/>
      <c r="AA42" s="352"/>
      <c r="AB42" s="352"/>
    </row>
    <row r="43" spans="1:28" ht="14" x14ac:dyDescent="0.2">
      <c r="A43" s="34"/>
      <c r="B43" s="350" t="s">
        <v>385</v>
      </c>
      <c r="C43" s="347"/>
      <c r="D43" s="349">
        <f>SUM(D21:AB21)</f>
        <v>65837453.403131463</v>
      </c>
      <c r="E43" s="352"/>
      <c r="F43" s="352"/>
      <c r="G43" s="352"/>
      <c r="H43" s="352"/>
      <c r="I43" s="352"/>
      <c r="J43" s="352"/>
      <c r="K43" s="352"/>
      <c r="L43" s="352"/>
      <c r="M43" s="352"/>
      <c r="N43" s="352"/>
      <c r="O43" s="352"/>
      <c r="P43" s="352"/>
      <c r="Q43" s="352"/>
      <c r="R43" s="352"/>
      <c r="S43" s="352"/>
      <c r="T43" s="352"/>
      <c r="U43" s="352"/>
      <c r="V43" s="352"/>
      <c r="W43" s="352"/>
      <c r="X43" s="352"/>
      <c r="Y43" s="352"/>
      <c r="Z43" s="352"/>
      <c r="AA43" s="352"/>
      <c r="AB43" s="352"/>
    </row>
    <row r="44" spans="1:28" ht="14" x14ac:dyDescent="0.2">
      <c r="A44" s="34"/>
      <c r="B44" s="350" t="s">
        <v>386</v>
      </c>
      <c r="C44" s="347"/>
      <c r="D44" s="352">
        <f>SUM(D26:AB26)</f>
        <v>6527561.1483657137</v>
      </c>
      <c r="E44" s="352"/>
      <c r="F44" s="352"/>
      <c r="G44" s="352"/>
      <c r="H44" s="352"/>
      <c r="I44" s="352"/>
      <c r="J44" s="352"/>
      <c r="K44" s="352"/>
      <c r="L44" s="352"/>
      <c r="M44" s="352"/>
      <c r="N44" s="352"/>
      <c r="O44" s="352"/>
      <c r="P44" s="352"/>
      <c r="Q44" s="352"/>
      <c r="R44" s="352"/>
      <c r="S44" s="352"/>
      <c r="T44" s="352"/>
      <c r="U44" s="352"/>
      <c r="V44" s="352"/>
      <c r="W44" s="352"/>
      <c r="X44" s="352"/>
      <c r="Y44" s="352"/>
      <c r="Z44" s="352"/>
      <c r="AA44" s="352"/>
      <c r="AB44" s="352"/>
    </row>
    <row r="45" spans="1:28" ht="14" x14ac:dyDescent="0.2">
      <c r="A45" s="34"/>
      <c r="B45" s="356" t="s">
        <v>397</v>
      </c>
      <c r="C45" s="347"/>
      <c r="D45" s="357">
        <f>D44/D43</f>
        <v>9.9146622643445675E-2</v>
      </c>
      <c r="E45" s="352"/>
      <c r="F45" s="352"/>
      <c r="G45" s="352"/>
      <c r="H45" s="352"/>
      <c r="I45" s="352"/>
      <c r="J45" s="352"/>
      <c r="K45" s="352"/>
      <c r="L45" s="352"/>
      <c r="M45" s="352"/>
      <c r="N45" s="352"/>
      <c r="O45" s="352"/>
      <c r="P45" s="352"/>
      <c r="Q45" s="352"/>
      <c r="R45" s="352"/>
      <c r="S45" s="352"/>
      <c r="T45" s="352"/>
      <c r="U45" s="352"/>
      <c r="V45" s="352"/>
      <c r="W45" s="352"/>
      <c r="X45" s="352"/>
      <c r="Y45" s="352"/>
      <c r="Z45" s="352"/>
      <c r="AA45" s="352"/>
      <c r="AB45" s="352"/>
    </row>
    <row r="46" spans="1:28" ht="14" x14ac:dyDescent="0.2">
      <c r="A46" s="34"/>
      <c r="B46" s="356"/>
      <c r="C46" s="347"/>
      <c r="D46" s="352"/>
      <c r="E46" s="352"/>
      <c r="F46" s="352"/>
      <c r="G46" s="352"/>
      <c r="H46" s="352"/>
      <c r="I46" s="352"/>
      <c r="J46" s="352"/>
      <c r="K46" s="352"/>
      <c r="L46" s="352"/>
      <c r="M46" s="352"/>
      <c r="N46" s="352"/>
      <c r="O46" s="352"/>
      <c r="P46" s="352"/>
      <c r="Q46" s="352"/>
      <c r="R46" s="352"/>
      <c r="S46" s="352"/>
      <c r="T46" s="352"/>
      <c r="U46" s="352"/>
      <c r="V46" s="352"/>
      <c r="W46" s="352"/>
      <c r="X46" s="352"/>
      <c r="Y46" s="352"/>
      <c r="Z46" s="352"/>
      <c r="AA46" s="352"/>
      <c r="AB46" s="352"/>
    </row>
    <row r="47" spans="1:28" ht="14" x14ac:dyDescent="0.2">
      <c r="A47" s="34"/>
      <c r="B47" s="607" t="s">
        <v>404</v>
      </c>
      <c r="C47" s="347"/>
      <c r="D47" s="352"/>
      <c r="E47" s="352"/>
      <c r="F47" s="352"/>
      <c r="G47" s="352"/>
      <c r="H47" s="352"/>
      <c r="I47" s="352"/>
      <c r="J47" s="352"/>
      <c r="K47" s="352"/>
      <c r="L47" s="352"/>
      <c r="M47" s="352"/>
      <c r="N47" s="352"/>
      <c r="O47" s="352"/>
      <c r="P47" s="352"/>
      <c r="Q47" s="352"/>
      <c r="R47" s="352"/>
      <c r="S47" s="352"/>
      <c r="T47" s="352"/>
      <c r="U47" s="352"/>
      <c r="V47" s="352"/>
      <c r="W47" s="352"/>
      <c r="X47" s="352"/>
      <c r="Y47" s="352"/>
      <c r="Z47" s="352"/>
      <c r="AA47" s="352"/>
      <c r="AB47" s="352"/>
    </row>
    <row r="48" spans="1:28" ht="14" x14ac:dyDescent="0.2">
      <c r="A48" s="34"/>
      <c r="B48" s="607"/>
      <c r="C48" s="347"/>
      <c r="D48" s="352"/>
      <c r="E48" s="352"/>
      <c r="F48" s="352"/>
      <c r="G48" s="352"/>
      <c r="H48" s="352"/>
      <c r="I48" s="352"/>
      <c r="J48" s="352"/>
      <c r="K48" s="352"/>
      <c r="L48" s="352"/>
      <c r="M48" s="352"/>
      <c r="N48" s="352"/>
      <c r="O48" s="352"/>
      <c r="P48" s="352"/>
      <c r="Q48" s="352"/>
      <c r="R48" s="352"/>
      <c r="S48" s="352"/>
      <c r="T48" s="352"/>
      <c r="U48" s="352"/>
      <c r="V48" s="352"/>
      <c r="W48" s="352"/>
      <c r="X48" s="352"/>
      <c r="Y48" s="352"/>
      <c r="Z48" s="352"/>
      <c r="AA48" s="352"/>
      <c r="AB48" s="352"/>
    </row>
    <row r="49" spans="1:28" ht="14" x14ac:dyDescent="0.2">
      <c r="A49" s="34"/>
      <c r="B49" s="350" t="s">
        <v>295</v>
      </c>
      <c r="C49" s="352">
        <f>-Unstructured!C80</f>
        <v>3505476.2846926562</v>
      </c>
      <c r="D49" s="358"/>
      <c r="E49" s="354"/>
      <c r="F49" s="354"/>
      <c r="G49" s="354"/>
      <c r="H49" s="354"/>
      <c r="I49" s="354"/>
      <c r="J49" s="354"/>
      <c r="K49" s="354"/>
      <c r="L49" s="354"/>
      <c r="M49" s="354"/>
      <c r="N49" s="354"/>
      <c r="O49" s="354"/>
      <c r="P49" s="354"/>
      <c r="Q49" s="354"/>
      <c r="R49" s="354"/>
      <c r="S49" s="354"/>
      <c r="T49" s="354"/>
      <c r="U49" s="354"/>
      <c r="V49" s="354"/>
      <c r="W49" s="354"/>
      <c r="X49" s="354"/>
      <c r="Y49" s="354"/>
      <c r="Z49" s="354"/>
      <c r="AA49" s="354"/>
      <c r="AB49" s="354"/>
    </row>
    <row r="50" spans="1:28" ht="14" x14ac:dyDescent="0.2">
      <c r="A50" s="34"/>
      <c r="B50" s="350" t="s">
        <v>296</v>
      </c>
      <c r="C50" s="359"/>
      <c r="D50" s="354"/>
      <c r="E50" s="354"/>
      <c r="F50" s="354"/>
      <c r="G50" s="354"/>
      <c r="H50" s="354"/>
      <c r="I50" s="354"/>
      <c r="J50" s="352">
        <f t="shared" ref="J50:V50" si="18">J31</f>
        <v>1857106.2063050687</v>
      </c>
      <c r="K50" s="352">
        <f t="shared" si="18"/>
        <v>1834446.9175125037</v>
      </c>
      <c r="L50" s="352">
        <f t="shared" si="18"/>
        <v>1807767.3348301339</v>
      </c>
      <c r="M50" s="352">
        <f t="shared" si="18"/>
        <v>1776773.4428044676</v>
      </c>
      <c r="N50" s="352">
        <f t="shared" si="18"/>
        <v>1741152.5373845086</v>
      </c>
      <c r="O50" s="352">
        <f t="shared" si="18"/>
        <v>1700572.0838171907</v>
      </c>
      <c r="P50" s="352">
        <f t="shared" si="18"/>
        <v>1654678.5056040278</v>
      </c>
      <c r="Q50" s="352">
        <f t="shared" si="18"/>
        <v>1603095.9003744856</v>
      </c>
      <c r="R50" s="352">
        <f t="shared" si="18"/>
        <v>1545424.6782827175</v>
      </c>
      <c r="S50" s="352">
        <f t="shared" si="18"/>
        <v>1481240.1182705578</v>
      </c>
      <c r="T50" s="352">
        <f t="shared" si="18"/>
        <v>1410090.837260067</v>
      </c>
      <c r="U50" s="352">
        <f t="shared" si="18"/>
        <v>1331497.1670425478</v>
      </c>
      <c r="V50" s="352">
        <f t="shared" si="18"/>
        <v>1244949.4333167884</v>
      </c>
      <c r="W50" s="352">
        <f t="shared" ref="W50:AB50" si="19">W31</f>
        <v>1149906.1309962787</v>
      </c>
      <c r="X50" s="352">
        <f t="shared" si="19"/>
        <v>1045791.9895521468</v>
      </c>
      <c r="Y50" s="352">
        <f t="shared" si="19"/>
        <v>931995.92178437999</v>
      </c>
      <c r="Z50" s="352">
        <f t="shared" si="19"/>
        <v>807868.84901725838</v>
      </c>
      <c r="AA50" s="352">
        <f t="shared" si="19"/>
        <v>672721.39529449458</v>
      </c>
      <c r="AB50" s="352">
        <f t="shared" si="19"/>
        <v>672721.39529449458</v>
      </c>
    </row>
    <row r="51" spans="1:28" ht="14" x14ac:dyDescent="0.2">
      <c r="A51" s="34"/>
      <c r="B51" s="350" t="s">
        <v>389</v>
      </c>
      <c r="C51" s="352">
        <v>0</v>
      </c>
      <c r="D51" s="352">
        <v>0</v>
      </c>
      <c r="E51" s="352">
        <f>SUM($D$26:E26)</f>
        <v>412294.52301946678</v>
      </c>
      <c r="F51" s="352">
        <f>SUM($D$26:F26)</f>
        <v>624607.70729482302</v>
      </c>
      <c r="G51" s="352">
        <f>SUM($D$26:G26)</f>
        <v>841140.61610765196</v>
      </c>
      <c r="H51" s="352">
        <f>SUM($D$26:H26)</f>
        <v>1061977.1164831358</v>
      </c>
      <c r="I51" s="352">
        <f>SUM($D$26:I26)</f>
        <v>1287202.7423035824</v>
      </c>
      <c r="J51" s="352">
        <f>SUM($D$26:J26)</f>
        <v>1516904.7274372103</v>
      </c>
      <c r="K51" s="352">
        <f>SUM($D$26:K26)</f>
        <v>1751172.0395253689</v>
      </c>
      <c r="L51" s="352">
        <f>SUM($D$26:L26)</f>
        <v>1990095.4144412798</v>
      </c>
      <c r="M51" s="352">
        <f>SUM($D$26:M26)</f>
        <v>2233767.3914336446</v>
      </c>
      <c r="N51" s="352">
        <f>SUM($D$26:N26)</f>
        <v>2482282.3489687322</v>
      </c>
      <c r="O51" s="352">
        <f>SUM($D$26:O26)</f>
        <v>2735736.5412848298</v>
      </c>
      <c r="P51" s="352">
        <f>SUM($D$26:P26)</f>
        <v>2994228.13567321</v>
      </c>
      <c r="Q51" s="352">
        <f>SUM($D$26:Q26)</f>
        <v>3257857.2505000592</v>
      </c>
      <c r="R51" s="352">
        <f>SUM($D$26:R26)</f>
        <v>3526725.993984092</v>
      </c>
      <c r="S51" s="352">
        <f>SUM($D$26:S26)</f>
        <v>3800938.50374487</v>
      </c>
      <c r="T51" s="352">
        <f>SUM($D$26:T26)</f>
        <v>4080600.9871371435</v>
      </c>
      <c r="U51" s="352">
        <f>SUM($D$26:U26)</f>
        <v>4365821.762386838</v>
      </c>
      <c r="V51" s="352">
        <f>SUM($D$26:V26)</f>
        <v>4656711.3005446205</v>
      </c>
      <c r="W51" s="352">
        <f>SUM($D$26:W26)</f>
        <v>4953382.2682732884</v>
      </c>
      <c r="X51" s="352">
        <f>SUM($D$26:X26)</f>
        <v>5255949.5714855641</v>
      </c>
      <c r="Y51" s="352">
        <f>SUM($D$26:Y26)</f>
        <v>5564530.3998491839</v>
      </c>
      <c r="Z51" s="352">
        <f>SUM($D$26:Z26)</f>
        <v>5879244.2721765302</v>
      </c>
      <c r="AA51" s="352">
        <f>SUM($D$26:AA26)</f>
        <v>6200213.0827163821</v>
      </c>
      <c r="AB51" s="352">
        <f>SUM($D$26:AB26)</f>
        <v>6527561.1483657137</v>
      </c>
    </row>
    <row r="52" spans="1:28" ht="14" x14ac:dyDescent="0.2">
      <c r="A52" s="34"/>
      <c r="B52" s="350" t="s">
        <v>181</v>
      </c>
      <c r="C52" s="352">
        <f>NPV(Customer_Discount_Rate,Unstructured!D38:$AB$38)</f>
        <v>588707.22073885403</v>
      </c>
      <c r="D52" s="352">
        <f>NPV(Customer_Discount_Rate,Unstructured!E38:$AB$38)</f>
        <v>585909.65398318507</v>
      </c>
      <c r="E52" s="352">
        <f>NPV(Customer_Discount_Rate,Unstructured!F38:$AB$38)</f>
        <v>582181.8332221763</v>
      </c>
      <c r="F52" s="352">
        <f>NPV(Customer_Discount_Rate,Unstructured!G38:$AB$38)</f>
        <v>577452.69521550683</v>
      </c>
      <c r="G52" s="352">
        <f>NPV(Customer_Discount_Rate,Unstructured!H38:$AB$38)</f>
        <v>571646.60796843737</v>
      </c>
      <c r="H52" s="352">
        <f>NPV(Customer_Discount_Rate,Unstructured!I38:$AB$38)</f>
        <v>564683.09050734364</v>
      </c>
      <c r="I52" s="352">
        <f>NPV(Customer_Discount_Rate,Unstructured!J38:$AB$38)</f>
        <v>556476.51571980014</v>
      </c>
      <c r="J52" s="352">
        <f>NPV(Customer_Discount_Rate,Unstructured!K38:$AB$38)</f>
        <v>546935.7952406446</v>
      </c>
      <c r="K52" s="352">
        <f>NPV(Customer_Discount_Rate,Unstructured!L38:$AB$38)</f>
        <v>535964.0453042927</v>
      </c>
      <c r="L52" s="352">
        <f>NPV(Customer_Discount_Rate,Unstructured!M38:$AB$38)</f>
        <v>523458.23241874389</v>
      </c>
      <c r="M52" s="352">
        <f>NPV(Customer_Discount_Rate,Unstructured!N38:$AB$38)</f>
        <v>509308.7976479861</v>
      </c>
      <c r="N52" s="352">
        <f>NPV(Customer_Discount_Rate,Unstructured!O38:$AB$38)</f>
        <v>493399.25821666518</v>
      </c>
      <c r="O52" s="352">
        <f>NPV(Customer_Discount_Rate,Unstructured!P38:$AB$38)</f>
        <v>475605.78507366101</v>
      </c>
      <c r="P52" s="352">
        <f>NPV(Customer_Discount_Rate,Unstructured!Q38:$AB$38)</f>
        <v>455796.75496935647</v>
      </c>
      <c r="Q52" s="352">
        <f>NPV(Customer_Discount_Rate,Unstructured!R38:$AB$38)</f>
        <v>433832.27551461908</v>
      </c>
      <c r="R52" s="352">
        <f>NPV(Customer_Discount_Rate,Unstructured!S38:$AB$38)</f>
        <v>409563.68159753963</v>
      </c>
      <c r="S52" s="352">
        <f>NPV(Customer_Discount_Rate,Unstructured!T38:$AB$38)</f>
        <v>382833.00143647613</v>
      </c>
      <c r="T52" s="352">
        <f>NPV(Customer_Discount_Rate,Unstructured!U38:$AB$38)</f>
        <v>353472.39044461068</v>
      </c>
      <c r="U52" s="352">
        <f>NPV(Customer_Discount_Rate,Unstructured!V38:$AB$38)</f>
        <v>321303.53097167209</v>
      </c>
      <c r="V52" s="352">
        <f>NPV(Customer_Discount_Rate,Unstructured!W38:$AB$38)</f>
        <v>286136.9958723649</v>
      </c>
      <c r="W52" s="352">
        <f>NPV(Customer_Discount_Rate,Unstructured!X38:$AB$38)</f>
        <v>247771.57372794714</v>
      </c>
      <c r="X52" s="352">
        <f>NPV(Customer_Discount_Rate,Unstructured!Y38:$AB$38)</f>
        <v>205993.55341692912</v>
      </c>
      <c r="Y52" s="352">
        <f>NPV(Customer_Discount_Rate,Unstructured!Z38:$AB$38)</f>
        <v>160575.96559255614</v>
      </c>
      <c r="Z52" s="352">
        <f>NPV(Customer_Discount_Rate,Unstructured!AA38:$AB$38)</f>
        <v>111277.77847813295</v>
      </c>
      <c r="AA52" s="352">
        <f>NPV(Customer_Discount_Rate,Unstructured!AB38:$AB$38)</f>
        <v>57843.045235844889</v>
      </c>
      <c r="AB52" s="352">
        <f>NPV(Customer_Discount_Rate,Unstructured!$AB38:AC$38)</f>
        <v>57843.045235844889</v>
      </c>
    </row>
    <row r="53" spans="1:28" ht="14" x14ac:dyDescent="0.2">
      <c r="A53" s="34"/>
      <c r="B53" s="355" t="s">
        <v>182</v>
      </c>
      <c r="C53" s="339">
        <f>SUM(C49:C52)</f>
        <v>4094183.5054315105</v>
      </c>
      <c r="D53" s="352">
        <f>SUM(D49:D52)</f>
        <v>585909.65398318507</v>
      </c>
      <c r="E53" s="352">
        <f t="shared" ref="E53:V53" si="20">SUM(E49:E52)</f>
        <v>994476.35624164308</v>
      </c>
      <c r="F53" s="352">
        <f t="shared" si="20"/>
        <v>1202060.4025103298</v>
      </c>
      <c r="G53" s="352">
        <f t="shared" si="20"/>
        <v>1412787.2240760894</v>
      </c>
      <c r="H53" s="352">
        <f t="shared" si="20"/>
        <v>1626660.2069904795</v>
      </c>
      <c r="I53" s="352">
        <f t="shared" si="20"/>
        <v>1843679.2580233826</v>
      </c>
      <c r="J53" s="352">
        <f t="shared" si="20"/>
        <v>3920946.7289829236</v>
      </c>
      <c r="K53" s="352">
        <f t="shared" si="20"/>
        <v>4121583.0023421654</v>
      </c>
      <c r="L53" s="352">
        <f t="shared" si="20"/>
        <v>4321320.9816901572</v>
      </c>
      <c r="M53" s="352">
        <f t="shared" si="20"/>
        <v>4519849.6318860985</v>
      </c>
      <c r="N53" s="352">
        <f t="shared" si="20"/>
        <v>4716834.1445699064</v>
      </c>
      <c r="O53" s="352">
        <f t="shared" si="20"/>
        <v>4911914.410175682</v>
      </c>
      <c r="P53" s="352">
        <f t="shared" si="20"/>
        <v>5104703.3962465944</v>
      </c>
      <c r="Q53" s="352">
        <f t="shared" si="20"/>
        <v>5294785.4263891643</v>
      </c>
      <c r="R53" s="352">
        <f t="shared" si="20"/>
        <v>5481714.3538643485</v>
      </c>
      <c r="S53" s="352">
        <f t="shared" si="20"/>
        <v>5665011.6234519035</v>
      </c>
      <c r="T53" s="352">
        <f t="shared" si="20"/>
        <v>5844164.2148418203</v>
      </c>
      <c r="U53" s="352">
        <f t="shared" si="20"/>
        <v>6018622.4604010582</v>
      </c>
      <c r="V53" s="352">
        <f t="shared" si="20"/>
        <v>6187797.7297337744</v>
      </c>
      <c r="W53" s="352">
        <f t="shared" ref="W53:AB53" si="21">SUM(W49:W52)</f>
        <v>6351059.9729975136</v>
      </c>
      <c r="X53" s="352">
        <f t="shared" si="21"/>
        <v>6507735.1144546401</v>
      </c>
      <c r="Y53" s="352">
        <f t="shared" si="21"/>
        <v>6657102.28722612</v>
      </c>
      <c r="Z53" s="352">
        <f t="shared" si="21"/>
        <v>6798390.8996719215</v>
      </c>
      <c r="AA53" s="352">
        <f t="shared" si="21"/>
        <v>6930777.5232467223</v>
      </c>
      <c r="AB53" s="352">
        <f t="shared" si="21"/>
        <v>7258125.5888960538</v>
      </c>
    </row>
    <row r="54" spans="1:28" ht="14" x14ac:dyDescent="0.2">
      <c r="A54" s="34"/>
      <c r="B54" s="361"/>
      <c r="C54" s="608" t="s">
        <v>403</v>
      </c>
      <c r="D54" s="608"/>
      <c r="E54" s="362"/>
      <c r="F54" s="362"/>
      <c r="G54" s="362"/>
      <c r="H54" s="362"/>
      <c r="I54" s="362"/>
      <c r="J54" s="362"/>
      <c r="K54" s="362"/>
      <c r="L54" s="362"/>
      <c r="M54" s="362"/>
      <c r="N54" s="362"/>
      <c r="O54" s="362"/>
      <c r="P54" s="362"/>
      <c r="Q54" s="362"/>
      <c r="R54" s="362"/>
      <c r="S54" s="362"/>
      <c r="T54" s="362"/>
      <c r="U54" s="362"/>
      <c r="V54" s="362"/>
      <c r="W54" s="362"/>
      <c r="X54" s="362"/>
      <c r="Y54" s="362"/>
      <c r="Z54" s="362"/>
      <c r="AA54" s="362"/>
      <c r="AB54" s="362"/>
    </row>
    <row r="55" spans="1:28" ht="14" customHeight="1" x14ac:dyDescent="0.2">
      <c r="A55" s="34"/>
      <c r="B55" s="363" t="s">
        <v>390</v>
      </c>
      <c r="C55" s="608"/>
      <c r="D55" s="608"/>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row>
    <row r="56" spans="1:28" ht="15" x14ac:dyDescent="0.2">
      <c r="A56" s="34"/>
      <c r="B56" s="350" t="s">
        <v>405</v>
      </c>
      <c r="C56" s="351">
        <f>$C$53/$D$43</f>
        <v>6.2186237374071592E-2</v>
      </c>
      <c r="D56" s="364" t="s">
        <v>399</v>
      </c>
      <c r="E56" s="365"/>
      <c r="F56" s="362"/>
      <c r="G56" s="362"/>
      <c r="H56" s="362"/>
      <c r="I56" s="362"/>
      <c r="J56" s="362"/>
      <c r="K56" s="362"/>
      <c r="L56" s="362"/>
      <c r="M56" s="362"/>
      <c r="N56" s="362"/>
      <c r="O56" s="362"/>
      <c r="P56" s="362"/>
      <c r="Q56" s="362"/>
      <c r="R56" s="362"/>
      <c r="S56" s="362"/>
      <c r="T56" s="362"/>
      <c r="U56" s="362"/>
      <c r="V56" s="362"/>
      <c r="W56" s="362"/>
      <c r="X56" s="362"/>
      <c r="Y56" s="362"/>
      <c r="Z56" s="362"/>
      <c r="AA56" s="362"/>
      <c r="AB56" s="362"/>
    </row>
    <row r="57" spans="1:28" ht="15" x14ac:dyDescent="0.2">
      <c r="A57" s="34"/>
      <c r="B57" s="350" t="s">
        <v>124</v>
      </c>
      <c r="C57" s="351">
        <f>$J$53/$D$43</f>
        <v>5.955495734281286E-2</v>
      </c>
      <c r="D57" s="364" t="s">
        <v>399</v>
      </c>
      <c r="E57" s="365"/>
      <c r="F57" s="362"/>
      <c r="G57" s="362"/>
      <c r="H57" s="362"/>
      <c r="I57" s="362"/>
      <c r="J57" s="362"/>
      <c r="K57" s="362"/>
      <c r="L57" s="362"/>
      <c r="M57" s="362"/>
      <c r="N57" s="362"/>
      <c r="O57" s="362"/>
      <c r="P57" s="362"/>
      <c r="Q57" s="362"/>
      <c r="R57" s="362"/>
      <c r="S57" s="362"/>
      <c r="T57" s="362"/>
      <c r="U57" s="362"/>
      <c r="V57" s="362"/>
      <c r="W57" s="362"/>
      <c r="X57" s="362"/>
      <c r="Y57" s="362"/>
      <c r="Z57" s="362"/>
      <c r="AA57" s="362"/>
      <c r="AB57" s="362"/>
    </row>
    <row r="58" spans="1:28" ht="15" x14ac:dyDescent="0.2">
      <c r="A58" s="34"/>
      <c r="B58" s="350" t="s">
        <v>191</v>
      </c>
      <c r="C58" s="351">
        <f>$M$53/$D$43</f>
        <v>6.8651647326187712E-2</v>
      </c>
      <c r="D58" s="364" t="s">
        <v>399</v>
      </c>
      <c r="E58" s="365"/>
      <c r="F58" s="362"/>
      <c r="G58" s="362"/>
      <c r="H58" s="362"/>
      <c r="I58" s="362"/>
      <c r="J58" s="362"/>
      <c r="K58" s="362"/>
      <c r="L58" s="362"/>
      <c r="M58" s="362"/>
      <c r="N58" s="362"/>
      <c r="O58" s="362"/>
      <c r="P58" s="362"/>
      <c r="Q58" s="362"/>
      <c r="R58" s="362"/>
      <c r="S58" s="362"/>
      <c r="T58" s="362"/>
      <c r="U58" s="362"/>
      <c r="V58" s="362"/>
      <c r="W58" s="362"/>
      <c r="X58" s="362"/>
      <c r="Y58" s="362"/>
      <c r="Z58" s="362"/>
      <c r="AA58" s="362"/>
      <c r="AB58" s="362"/>
    </row>
    <row r="59" spans="1:28" ht="15" x14ac:dyDescent="0.2">
      <c r="A59" s="34"/>
      <c r="B59" s="350" t="s">
        <v>174</v>
      </c>
      <c r="C59" s="351">
        <f>$R$53/$D$43</f>
        <v>8.326133637489111E-2</v>
      </c>
      <c r="D59" s="364" t="s">
        <v>399</v>
      </c>
      <c r="E59" s="365"/>
      <c r="F59" s="362"/>
      <c r="G59" s="362"/>
      <c r="H59" s="362"/>
      <c r="I59" s="362"/>
      <c r="J59" s="362"/>
      <c r="K59" s="362"/>
      <c r="L59" s="362"/>
      <c r="M59" s="362"/>
      <c r="N59" s="362"/>
      <c r="O59" s="362"/>
      <c r="P59" s="362"/>
      <c r="Q59" s="362"/>
      <c r="R59" s="362"/>
      <c r="S59" s="362"/>
      <c r="T59" s="362"/>
      <c r="U59" s="362"/>
      <c r="V59" s="362"/>
      <c r="W59" s="362"/>
      <c r="X59" s="362"/>
      <c r="Y59" s="362"/>
      <c r="Z59" s="362"/>
      <c r="AA59" s="362"/>
      <c r="AB59" s="362"/>
    </row>
    <row r="60" spans="1:28" ht="15" x14ac:dyDescent="0.2">
      <c r="A60" s="34"/>
      <c r="B60" s="350" t="s">
        <v>91</v>
      </c>
      <c r="C60" s="351">
        <f>$W$53/$D$43</f>
        <v>9.646575990886419E-2</v>
      </c>
      <c r="D60" s="364" t="s">
        <v>399</v>
      </c>
      <c r="E60" s="365"/>
      <c r="F60" s="362"/>
      <c r="G60" s="362"/>
      <c r="H60" s="362"/>
      <c r="I60" s="362"/>
      <c r="J60" s="362"/>
      <c r="K60" s="362"/>
      <c r="L60" s="362"/>
      <c r="M60" s="362"/>
      <c r="N60" s="362"/>
      <c r="O60" s="362"/>
      <c r="P60" s="362"/>
      <c r="Q60" s="362"/>
      <c r="R60" s="362"/>
      <c r="S60" s="362"/>
      <c r="T60" s="362"/>
      <c r="U60" s="362"/>
      <c r="V60" s="362"/>
      <c r="W60" s="362"/>
      <c r="X60" s="362"/>
      <c r="Y60" s="362"/>
      <c r="Z60" s="362"/>
      <c r="AA60" s="362"/>
      <c r="AB60" s="362"/>
    </row>
    <row r="61" spans="1:28" ht="16" thickBot="1" x14ac:dyDescent="0.25">
      <c r="A61" s="34"/>
      <c r="B61" s="366" t="s">
        <v>449</v>
      </c>
      <c r="C61" s="367">
        <f>$AB$53/$D$43</f>
        <v>0.11024310956339073</v>
      </c>
      <c r="D61" s="368" t="s">
        <v>399</v>
      </c>
      <c r="E61" s="369"/>
      <c r="F61" s="370"/>
      <c r="G61" s="370"/>
      <c r="H61" s="370"/>
      <c r="I61" s="370"/>
      <c r="J61" s="370"/>
      <c r="K61" s="370"/>
      <c r="L61" s="370"/>
      <c r="M61" s="370"/>
      <c r="N61" s="370"/>
      <c r="O61" s="370"/>
      <c r="P61" s="370"/>
      <c r="Q61" s="370"/>
      <c r="R61" s="370"/>
      <c r="S61" s="370"/>
      <c r="T61" s="370"/>
      <c r="U61" s="370"/>
      <c r="V61" s="370"/>
      <c r="W61" s="370"/>
      <c r="X61" s="370"/>
      <c r="Y61" s="370"/>
      <c r="Z61" s="370"/>
      <c r="AA61" s="370"/>
      <c r="AB61" s="370"/>
    </row>
    <row r="62" spans="1:28" ht="14" x14ac:dyDescent="0.2">
      <c r="A62" s="34"/>
      <c r="B62" s="371"/>
      <c r="C62" s="372"/>
      <c r="D62" s="360"/>
      <c r="E62" s="341"/>
      <c r="F62" s="341"/>
      <c r="G62" s="341"/>
      <c r="H62" s="341"/>
      <c r="I62" s="341"/>
      <c r="J62" s="341"/>
      <c r="K62" s="341"/>
      <c r="L62" s="341"/>
      <c r="M62" s="341"/>
      <c r="N62" s="341"/>
      <c r="O62" s="341"/>
      <c r="P62" s="341"/>
      <c r="Q62" s="341"/>
      <c r="R62" s="341"/>
      <c r="S62" s="341"/>
      <c r="T62" s="341"/>
      <c r="U62" s="341"/>
      <c r="V62" s="341"/>
      <c r="W62" s="341"/>
      <c r="X62" s="341"/>
      <c r="Y62" s="341"/>
      <c r="Z62" s="341"/>
      <c r="AA62" s="341"/>
      <c r="AB62" s="341"/>
    </row>
    <row r="63" spans="1:28" ht="15" thickBot="1" x14ac:dyDescent="0.25">
      <c r="A63" s="34"/>
      <c r="B63" s="342"/>
      <c r="C63" s="372"/>
      <c r="D63" s="360"/>
      <c r="E63" s="360"/>
      <c r="F63" s="360"/>
      <c r="G63" s="360"/>
      <c r="H63" s="360"/>
      <c r="I63" s="360"/>
      <c r="J63" s="360"/>
      <c r="K63" s="360"/>
      <c r="L63" s="360"/>
      <c r="M63" s="360"/>
      <c r="N63" s="360"/>
      <c r="O63" s="360"/>
      <c r="P63" s="360"/>
      <c r="Q63" s="360"/>
      <c r="R63" s="360"/>
      <c r="S63" s="360"/>
      <c r="T63" s="360"/>
      <c r="U63" s="360"/>
      <c r="V63" s="360"/>
      <c r="W63" s="360"/>
      <c r="X63" s="360"/>
      <c r="Y63" s="360"/>
      <c r="Z63" s="360"/>
      <c r="AA63" s="360"/>
      <c r="AB63" s="360"/>
    </row>
    <row r="64" spans="1:28" ht="17" customHeight="1" thickBot="1" x14ac:dyDescent="0.25">
      <c r="A64" s="34"/>
      <c r="B64" s="604" t="s">
        <v>266</v>
      </c>
      <c r="C64" s="604"/>
      <c r="D64" s="604">
        <v>1</v>
      </c>
      <c r="E64" s="609" t="s">
        <v>474</v>
      </c>
      <c r="F64" s="610"/>
      <c r="G64" s="610"/>
      <c r="H64" s="610"/>
      <c r="I64" s="610"/>
      <c r="J64" s="610"/>
      <c r="K64" s="610"/>
      <c r="L64" s="610"/>
      <c r="M64" s="610"/>
      <c r="N64" s="610"/>
      <c r="O64" s="611"/>
      <c r="P64" s="341"/>
      <c r="Q64" s="341"/>
      <c r="R64" s="341"/>
      <c r="S64" s="341"/>
      <c r="T64" s="341"/>
      <c r="U64" s="341"/>
      <c r="V64" s="341"/>
      <c r="W64" s="341"/>
      <c r="X64" s="341"/>
      <c r="Y64" s="341"/>
      <c r="Z64" s="341"/>
      <c r="AA64" s="341"/>
      <c r="AB64" s="341"/>
    </row>
    <row r="65" spans="1:28" ht="14" x14ac:dyDescent="0.2">
      <c r="A65" s="34"/>
      <c r="B65" s="343" t="s">
        <v>286</v>
      </c>
      <c r="C65" s="344">
        <v>0</v>
      </c>
      <c r="D65" s="345">
        <v>1</v>
      </c>
      <c r="E65" s="345">
        <v>2</v>
      </c>
      <c r="F65" s="345">
        <v>3</v>
      </c>
      <c r="G65" s="345">
        <v>4</v>
      </c>
      <c r="H65" s="345">
        <v>5</v>
      </c>
      <c r="I65" s="345">
        <v>6</v>
      </c>
      <c r="J65" s="345">
        <v>7</v>
      </c>
      <c r="K65" s="345">
        <v>8</v>
      </c>
      <c r="L65" s="345">
        <v>9</v>
      </c>
      <c r="M65" s="345">
        <v>10</v>
      </c>
      <c r="N65" s="345">
        <v>11</v>
      </c>
      <c r="O65" s="345">
        <v>12</v>
      </c>
      <c r="P65" s="345">
        <v>13</v>
      </c>
      <c r="Q65" s="345">
        <v>14</v>
      </c>
      <c r="R65" s="345">
        <v>15</v>
      </c>
      <c r="S65" s="345">
        <v>16</v>
      </c>
      <c r="T65" s="345">
        <v>17</v>
      </c>
      <c r="U65" s="345">
        <v>18</v>
      </c>
      <c r="V65" s="345">
        <v>19</v>
      </c>
      <c r="W65" s="345">
        <v>20</v>
      </c>
      <c r="X65" s="345">
        <v>21</v>
      </c>
      <c r="Y65" s="345">
        <v>22</v>
      </c>
      <c r="Z65" s="345">
        <v>23</v>
      </c>
      <c r="AA65" s="345">
        <v>24</v>
      </c>
      <c r="AB65" s="345">
        <v>25</v>
      </c>
    </row>
    <row r="66" spans="1:28" ht="14" x14ac:dyDescent="0.2">
      <c r="A66" s="34"/>
      <c r="B66" s="346" t="s">
        <v>267</v>
      </c>
      <c r="C66" s="373"/>
      <c r="D66" s="352">
        <f t="shared" ref="D66:V66" si="22">D25</f>
        <v>205842.5139792547</v>
      </c>
      <c r="E66" s="352">
        <f t="shared" si="22"/>
        <v>209933.63394459238</v>
      </c>
      <c r="F66" s="352">
        <f t="shared" si="22"/>
        <v>214106.06491924112</v>
      </c>
      <c r="G66" s="352">
        <f t="shared" si="22"/>
        <v>218361.42295951102</v>
      </c>
      <c r="H66" s="352">
        <f t="shared" si="22"/>
        <v>222701.35624083126</v>
      </c>
      <c r="I66" s="352">
        <f t="shared" si="22"/>
        <v>227127.54569611777</v>
      </c>
      <c r="J66" s="352">
        <f t="shared" si="22"/>
        <v>231641.70566682809</v>
      </c>
      <c r="K66" s="352">
        <f t="shared" si="22"/>
        <v>236245.58456695627</v>
      </c>
      <c r="L66" s="352">
        <f t="shared" si="22"/>
        <v>240940.96556022455</v>
      </c>
      <c r="M66" s="352">
        <f t="shared" si="22"/>
        <v>245729.66725073397</v>
      </c>
      <c r="N66" s="352">
        <f t="shared" si="22"/>
        <v>250613.54438734226</v>
      </c>
      <c r="O66" s="352">
        <f t="shared" si="22"/>
        <v>255594.48858204068</v>
      </c>
      <c r="P66" s="352">
        <f t="shared" si="22"/>
        <v>260674.42904260868</v>
      </c>
      <c r="Q66" s="352">
        <f t="shared" si="22"/>
        <v>265855.33331983053</v>
      </c>
      <c r="R66" s="352">
        <f t="shared" si="22"/>
        <v>271139.20806956216</v>
      </c>
      <c r="S66" s="352">
        <f t="shared" si="22"/>
        <v>276528.09982994467</v>
      </c>
      <c r="T66" s="352">
        <f t="shared" si="22"/>
        <v>282024.09581406479</v>
      </c>
      <c r="U66" s="352">
        <f t="shared" si="22"/>
        <v>287629.32471836929</v>
      </c>
      <c r="V66" s="352">
        <f t="shared" si="22"/>
        <v>293345.95754714689</v>
      </c>
      <c r="W66" s="352">
        <f t="shared" ref="W66:AB66" si="23">W25</f>
        <v>299176.20845339639</v>
      </c>
      <c r="X66" s="352">
        <f t="shared" si="23"/>
        <v>305122.33559640765</v>
      </c>
      <c r="Y66" s="352">
        <f t="shared" si="23"/>
        <v>311186.64201638621</v>
      </c>
      <c r="Z66" s="352">
        <f t="shared" si="23"/>
        <v>317371.47652646189</v>
      </c>
      <c r="AA66" s="352">
        <f t="shared" si="23"/>
        <v>323679.23462242528</v>
      </c>
      <c r="AB66" s="352">
        <f t="shared" si="23"/>
        <v>330112.35941054591</v>
      </c>
    </row>
    <row r="67" spans="1:28" ht="14" x14ac:dyDescent="0.2">
      <c r="A67" s="34"/>
      <c r="B67" s="346" t="s">
        <v>297</v>
      </c>
      <c r="C67" s="373"/>
      <c r="D67" s="352">
        <f>D66*(Taxpayer_Marginal_Rate+IF(Tax_Efficient_Status?="State &amp; Federal",State_Income_Tax_Rate,0))</f>
        <v>48372.99078512485</v>
      </c>
      <c r="E67" s="352">
        <f t="shared" ref="E67:V67" si="24">E66*(Taxpayer_Marginal_Rate+IF(Tax_Efficient_Status?="State &amp; Federal",State_Income_Tax_Rate,0))</f>
        <v>49334.403976979207</v>
      </c>
      <c r="F67" s="352">
        <f t="shared" si="24"/>
        <v>50314.925256021663</v>
      </c>
      <c r="G67" s="352">
        <f t="shared" si="24"/>
        <v>51314.934395485085</v>
      </c>
      <c r="H67" s="352">
        <f t="shared" si="24"/>
        <v>52334.818716595342</v>
      </c>
      <c r="I67" s="352">
        <f t="shared" si="24"/>
        <v>53374.97323858767</v>
      </c>
      <c r="J67" s="352">
        <f t="shared" si="24"/>
        <v>54435.800831704597</v>
      </c>
      <c r="K67" s="352">
        <f t="shared" si="24"/>
        <v>55517.712373234717</v>
      </c>
      <c r="L67" s="352">
        <f t="shared" si="24"/>
        <v>56621.126906652768</v>
      </c>
      <c r="M67" s="352">
        <f t="shared" si="24"/>
        <v>57746.471803922483</v>
      </c>
      <c r="N67" s="352">
        <f t="shared" si="24"/>
        <v>58894.182931025425</v>
      </c>
      <c r="O67" s="352">
        <f t="shared" si="24"/>
        <v>60064.704816779558</v>
      </c>
      <c r="P67" s="352">
        <f t="shared" si="24"/>
        <v>61258.490825013039</v>
      </c>
      <c r="Q67" s="352">
        <f t="shared" si="24"/>
        <v>62476.003330160172</v>
      </c>
      <c r="R67" s="352">
        <f t="shared" si="24"/>
        <v>63717.713896347101</v>
      </c>
      <c r="S67" s="352">
        <f t="shared" si="24"/>
        <v>64984.103460036989</v>
      </c>
      <c r="T67" s="352">
        <f t="shared" si="24"/>
        <v>66275.662516305223</v>
      </c>
      <c r="U67" s="352">
        <f t="shared" si="24"/>
        <v>67592.891308816776</v>
      </c>
      <c r="V67" s="352">
        <f t="shared" si="24"/>
        <v>68936.300023579519</v>
      </c>
      <c r="W67" s="352">
        <f t="shared" ref="W67:AB67" si="25">W66*(Taxpayer_Marginal_Rate+IF(Tax_Efficient_Status?="State &amp; Federal",State_Income_Tax_Rate,0))</f>
        <v>70306.408986548151</v>
      </c>
      <c r="X67" s="352">
        <f t="shared" si="25"/>
        <v>71703.748865155794</v>
      </c>
      <c r="Y67" s="352">
        <f t="shared" si="25"/>
        <v>73128.860873850761</v>
      </c>
      <c r="Z67" s="352">
        <f t="shared" si="25"/>
        <v>74582.296983718537</v>
      </c>
      <c r="AA67" s="352">
        <f t="shared" si="25"/>
        <v>76064.620136269936</v>
      </c>
      <c r="AB67" s="352">
        <f t="shared" si="25"/>
        <v>77576.404461478276</v>
      </c>
    </row>
    <row r="68" spans="1:28" ht="14" x14ac:dyDescent="0.2">
      <c r="B68" s="346" t="s">
        <v>299</v>
      </c>
      <c r="C68" s="352">
        <f>Unstructured!C87</f>
        <v>-3505476.2846926562</v>
      </c>
      <c r="D68" s="352">
        <f>Unstructured!D87</f>
        <v>1206942.753072761</v>
      </c>
      <c r="E68" s="352">
        <f>Unstructured!E87</f>
        <v>320088.91889673111</v>
      </c>
      <c r="F68" s="352">
        <f>Unstructured!F87</f>
        <v>242087.72609996665</v>
      </c>
      <c r="G68" s="352">
        <f>Unstructured!G87</f>
        <v>196279.87128894974</v>
      </c>
      <c r="H68" s="352">
        <f>Unstructured!H87</f>
        <v>198739.49149177648</v>
      </c>
      <c r="I68" s="352">
        <f>Unstructured!I87</f>
        <v>165083.20554923484</v>
      </c>
      <c r="J68" s="352">
        <f>Unstructured!J87</f>
        <v>131476.69514267432</v>
      </c>
      <c r="K68" s="352">
        <f>Unstructured!K87</f>
        <v>134085.66117086957</v>
      </c>
      <c r="L68" s="352">
        <f>Unstructured!L87</f>
        <v>136746.39773311993</v>
      </c>
      <c r="M68" s="352">
        <f>Unstructured!M87</f>
        <v>139459.93211547454</v>
      </c>
      <c r="N68" s="352">
        <f>Unstructured!N87</f>
        <v>142227.31198822666</v>
      </c>
      <c r="O68" s="352">
        <f>Unstructured!O87</f>
        <v>145049.60581038886</v>
      </c>
      <c r="P68" s="352">
        <f>Unstructured!P87</f>
        <v>147927.90324219444</v>
      </c>
      <c r="Q68" s="352">
        <f>Unstructured!Q87</f>
        <v>150863.31556578368</v>
      </c>
      <c r="R68" s="352">
        <f>Unstructured!R87</f>
        <v>153856.97611423722</v>
      </c>
      <c r="S68" s="352">
        <f>Unstructured!S87</f>
        <v>156910.04070912302</v>
      </c>
      <c r="T68" s="352">
        <f>Unstructured!T87</f>
        <v>160023.68810672444</v>
      </c>
      <c r="U68" s="352">
        <f>Unstructured!U87</f>
        <v>163199.12045312332</v>
      </c>
      <c r="V68" s="352">
        <f>Unstructured!V87</f>
        <v>166437.56374831242</v>
      </c>
      <c r="W68" s="352">
        <f>Unstructured!W87</f>
        <v>169740.26831951714</v>
      </c>
      <c r="X68" s="352">
        <f>Unstructured!X87</f>
        <v>173108.50930390862</v>
      </c>
      <c r="Y68" s="352">
        <f>Unstructured!Y87</f>
        <v>176543.58714089572</v>
      </c>
      <c r="Z68" s="352">
        <f>Unstructured!Z87</f>
        <v>180046.82807418442</v>
      </c>
      <c r="AA68" s="352">
        <f>Unstructured!AA87</f>
        <v>183619.58466379944</v>
      </c>
      <c r="AB68" s="352">
        <f>Unstructured!AB87</f>
        <v>713084.67901216424</v>
      </c>
    </row>
    <row r="69" spans="1:28" ht="14" x14ac:dyDescent="0.2">
      <c r="A69" s="34"/>
      <c r="B69" s="346" t="s">
        <v>243</v>
      </c>
      <c r="C69" s="352">
        <f t="shared" ref="C69:V69" si="26">C68+C67</f>
        <v>-3505476.2846926562</v>
      </c>
      <c r="D69" s="352">
        <f t="shared" si="26"/>
        <v>1255315.7438578859</v>
      </c>
      <c r="E69" s="352">
        <f t="shared" si="26"/>
        <v>369423.32287371031</v>
      </c>
      <c r="F69" s="352">
        <f t="shared" si="26"/>
        <v>292402.65135598829</v>
      </c>
      <c r="G69" s="352">
        <f t="shared" si="26"/>
        <v>247594.80568443483</v>
      </c>
      <c r="H69" s="352">
        <f t="shared" si="26"/>
        <v>251074.31020837184</v>
      </c>
      <c r="I69" s="352">
        <f t="shared" si="26"/>
        <v>218458.17878782252</v>
      </c>
      <c r="J69" s="352">
        <f t="shared" si="26"/>
        <v>185912.49597437892</v>
      </c>
      <c r="K69" s="352">
        <f t="shared" si="26"/>
        <v>189603.37354410428</v>
      </c>
      <c r="L69" s="352">
        <f t="shared" si="26"/>
        <v>193367.52463977269</v>
      </c>
      <c r="M69" s="352">
        <f t="shared" si="26"/>
        <v>197206.40391939704</v>
      </c>
      <c r="N69" s="352">
        <f t="shared" si="26"/>
        <v>201121.49491925209</v>
      </c>
      <c r="O69" s="352">
        <f t="shared" si="26"/>
        <v>205114.31062716842</v>
      </c>
      <c r="P69" s="352">
        <f t="shared" si="26"/>
        <v>209186.39406720747</v>
      </c>
      <c r="Q69" s="352">
        <f t="shared" si="26"/>
        <v>213339.31889594384</v>
      </c>
      <c r="R69" s="352">
        <f t="shared" si="26"/>
        <v>217574.69001058431</v>
      </c>
      <c r="S69" s="352">
        <f t="shared" si="26"/>
        <v>221894.14416915999</v>
      </c>
      <c r="T69" s="352">
        <f t="shared" si="26"/>
        <v>226299.35062302966</v>
      </c>
      <c r="U69" s="352">
        <f t="shared" si="26"/>
        <v>230792.01176194008</v>
      </c>
      <c r="V69" s="352">
        <f t="shared" si="26"/>
        <v>235373.86377189192</v>
      </c>
      <c r="W69" s="352">
        <f t="shared" ref="W69:AB69" si="27">W68+W67</f>
        <v>240046.67730606528</v>
      </c>
      <c r="X69" s="352">
        <f t="shared" si="27"/>
        <v>244812.25816906441</v>
      </c>
      <c r="Y69" s="352">
        <f t="shared" si="27"/>
        <v>249672.44801474648</v>
      </c>
      <c r="Z69" s="352">
        <f t="shared" si="27"/>
        <v>254629.12505790294</v>
      </c>
      <c r="AA69" s="352">
        <f t="shared" si="27"/>
        <v>259684.20480006939</v>
      </c>
      <c r="AB69" s="352">
        <f t="shared" si="27"/>
        <v>790661.08347364247</v>
      </c>
    </row>
    <row r="70" spans="1:28" ht="14" x14ac:dyDescent="0.2">
      <c r="A70" s="34"/>
      <c r="B70" s="346" t="s">
        <v>244</v>
      </c>
      <c r="C70" s="352">
        <f>NPV(Customer_Discount_Rate,C68:AB68)</f>
        <v>-128142.85153302066</v>
      </c>
      <c r="D70" s="352"/>
      <c r="E70" s="352"/>
      <c r="F70" s="352"/>
      <c r="G70" s="352"/>
      <c r="H70" s="352"/>
      <c r="I70" s="352"/>
      <c r="J70" s="352"/>
      <c r="K70" s="352"/>
      <c r="L70" s="352"/>
      <c r="M70" s="352"/>
      <c r="N70" s="352"/>
      <c r="O70" s="352"/>
      <c r="P70" s="352"/>
      <c r="Q70" s="352"/>
      <c r="R70" s="352"/>
      <c r="S70" s="352"/>
      <c r="T70" s="352"/>
      <c r="U70" s="352"/>
      <c r="V70" s="352"/>
      <c r="W70" s="352"/>
      <c r="X70" s="352"/>
      <c r="Y70" s="352"/>
      <c r="Z70" s="352"/>
      <c r="AA70" s="352"/>
      <c r="AB70" s="352"/>
    </row>
    <row r="71" spans="1:28" ht="15" thickBot="1" x14ac:dyDescent="0.25">
      <c r="A71" s="34"/>
      <c r="B71" s="374" t="s">
        <v>114</v>
      </c>
      <c r="C71" s="375">
        <f>IRR(C69:AB69)</f>
        <v>8.2834737538786563E-2</v>
      </c>
      <c r="D71" s="376"/>
      <c r="E71" s="376"/>
      <c r="F71" s="376"/>
      <c r="G71" s="376"/>
      <c r="H71" s="376"/>
      <c r="I71" s="376"/>
      <c r="J71" s="376"/>
      <c r="K71" s="376"/>
      <c r="L71" s="376"/>
      <c r="M71" s="376"/>
      <c r="N71" s="376"/>
      <c r="O71" s="376"/>
      <c r="P71" s="376"/>
      <c r="Q71" s="376"/>
      <c r="R71" s="376"/>
      <c r="S71" s="376"/>
      <c r="T71" s="376"/>
      <c r="U71" s="376"/>
      <c r="V71" s="376"/>
      <c r="W71" s="376"/>
      <c r="X71" s="376"/>
      <c r="Y71" s="376"/>
      <c r="Z71" s="376"/>
      <c r="AA71" s="376"/>
      <c r="AB71" s="376"/>
    </row>
    <row r="72" spans="1:28" ht="14" x14ac:dyDescent="0.2">
      <c r="A72" s="34"/>
      <c r="B72" s="342"/>
      <c r="C72" s="372"/>
      <c r="D72" s="360"/>
      <c r="E72" s="360"/>
      <c r="F72" s="360"/>
      <c r="G72" s="360"/>
      <c r="H72" s="360"/>
      <c r="I72" s="360"/>
      <c r="J72" s="360"/>
      <c r="K72" s="360"/>
      <c r="L72" s="360"/>
      <c r="M72" s="360"/>
      <c r="N72" s="360"/>
      <c r="O72" s="360"/>
      <c r="P72" s="360"/>
      <c r="Q72" s="360"/>
      <c r="R72" s="360"/>
      <c r="S72" s="360"/>
      <c r="T72" s="360"/>
      <c r="U72" s="360"/>
      <c r="V72" s="360"/>
      <c r="W72" s="360"/>
      <c r="X72" s="360"/>
      <c r="Y72" s="360"/>
      <c r="Z72" s="360"/>
      <c r="AA72" s="360"/>
      <c r="AB72" s="360"/>
    </row>
    <row r="73" spans="1:28" ht="14" x14ac:dyDescent="0.2">
      <c r="A73" s="34"/>
      <c r="B73" s="342"/>
      <c r="C73" s="372"/>
      <c r="D73" s="360"/>
      <c r="E73" s="360"/>
      <c r="F73" s="360"/>
      <c r="G73" s="360"/>
      <c r="H73" s="360"/>
      <c r="I73" s="360"/>
      <c r="J73" s="360"/>
      <c r="K73" s="360"/>
      <c r="L73" s="360"/>
      <c r="M73" s="360"/>
      <c r="N73" s="360"/>
      <c r="O73" s="360"/>
      <c r="P73" s="360"/>
      <c r="Q73" s="360"/>
      <c r="R73" s="360"/>
      <c r="S73" s="360"/>
      <c r="T73" s="360"/>
      <c r="U73" s="360"/>
      <c r="V73" s="360"/>
      <c r="W73" s="360"/>
      <c r="X73" s="360"/>
      <c r="Y73" s="360"/>
      <c r="Z73" s="360"/>
      <c r="AA73" s="360"/>
      <c r="AB73" s="360"/>
    </row>
    <row r="74" spans="1:28" ht="15" thickBot="1" x14ac:dyDescent="0.25">
      <c r="A74" s="34"/>
      <c r="B74" s="377"/>
      <c r="C74" s="377"/>
      <c r="D74" s="377"/>
      <c r="E74" s="377"/>
      <c r="F74" s="377"/>
      <c r="G74" s="377"/>
      <c r="H74" s="377"/>
      <c r="I74" s="377"/>
      <c r="J74" s="377"/>
      <c r="K74" s="377"/>
      <c r="L74" s="377"/>
      <c r="M74" s="377"/>
      <c r="N74" s="377"/>
      <c r="O74" s="377"/>
      <c r="P74" s="377"/>
      <c r="Q74" s="377"/>
      <c r="R74" s="377"/>
      <c r="S74" s="377"/>
      <c r="T74" s="377"/>
      <c r="U74" s="377"/>
      <c r="V74" s="377"/>
      <c r="W74" s="377"/>
      <c r="X74" s="377"/>
      <c r="Y74" s="377"/>
      <c r="Z74" s="377"/>
      <c r="AA74" s="377"/>
      <c r="AB74" s="377"/>
    </row>
    <row r="75" spans="1:28" ht="15" thickTop="1" x14ac:dyDescent="0.2">
      <c r="A75" s="34"/>
      <c r="B75" s="341"/>
      <c r="C75" s="341"/>
      <c r="D75" s="341"/>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row>
    <row r="76" spans="1:28" ht="19" x14ac:dyDescent="0.25">
      <c r="A76" s="34"/>
      <c r="B76" s="340" t="s">
        <v>363</v>
      </c>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c r="AA76" s="341"/>
      <c r="AB76" s="341"/>
    </row>
    <row r="77" spans="1:28" ht="19" x14ac:dyDescent="0.25">
      <c r="A77" s="34"/>
      <c r="B77" s="340"/>
      <c r="C77" s="341"/>
      <c r="D77" s="341"/>
      <c r="E77" s="341"/>
      <c r="F77" s="341"/>
      <c r="G77" s="341"/>
      <c r="H77" s="341"/>
      <c r="I77" s="341"/>
      <c r="J77" s="341"/>
      <c r="K77" s="341"/>
      <c r="L77" s="341"/>
      <c r="M77" s="341"/>
      <c r="N77" s="341"/>
      <c r="O77" s="341"/>
      <c r="P77" s="341"/>
      <c r="Q77" s="341"/>
      <c r="R77" s="341"/>
      <c r="S77" s="341"/>
      <c r="T77" s="341"/>
      <c r="U77" s="341"/>
      <c r="V77" s="341"/>
      <c r="W77" s="341"/>
      <c r="X77" s="341"/>
      <c r="Y77" s="341"/>
      <c r="Z77" s="341"/>
      <c r="AA77" s="341"/>
      <c r="AB77" s="341"/>
    </row>
    <row r="78" spans="1:28" ht="16" x14ac:dyDescent="0.2">
      <c r="A78" s="34"/>
      <c r="B78" s="604" t="s">
        <v>266</v>
      </c>
      <c r="C78" s="604"/>
      <c r="D78" s="604">
        <v>1</v>
      </c>
      <c r="E78" s="341"/>
      <c r="F78" s="341"/>
      <c r="G78" s="341"/>
      <c r="H78" s="341"/>
      <c r="I78" s="341"/>
      <c r="J78" s="341"/>
      <c r="K78" s="341"/>
      <c r="L78" s="341"/>
      <c r="M78" s="341"/>
      <c r="N78" s="341"/>
      <c r="O78" s="341"/>
      <c r="P78" s="341"/>
      <c r="Q78" s="341"/>
      <c r="R78" s="341"/>
      <c r="S78" s="341"/>
      <c r="T78" s="341"/>
      <c r="U78" s="341"/>
      <c r="V78" s="341"/>
      <c r="W78" s="341"/>
      <c r="X78" s="341"/>
      <c r="Y78" s="341"/>
      <c r="Z78" s="341"/>
      <c r="AA78" s="341"/>
      <c r="AB78" s="341"/>
    </row>
    <row r="79" spans="1:28" ht="14" x14ac:dyDescent="0.2">
      <c r="B79" s="378" t="s">
        <v>286</v>
      </c>
      <c r="C79" s="379">
        <v>0</v>
      </c>
      <c r="D79" s="380">
        <v>1</v>
      </c>
      <c r="E79" s="380">
        <v>2</v>
      </c>
      <c r="F79" s="380">
        <v>3</v>
      </c>
      <c r="G79" s="380">
        <v>4</v>
      </c>
      <c r="H79" s="380">
        <v>5</v>
      </c>
      <c r="I79" s="380">
        <v>6</v>
      </c>
      <c r="J79" s="380">
        <v>7</v>
      </c>
      <c r="K79" s="380">
        <v>8</v>
      </c>
      <c r="L79" s="380">
        <v>9</v>
      </c>
      <c r="M79" s="380">
        <v>10</v>
      </c>
      <c r="N79" s="380">
        <v>11</v>
      </c>
      <c r="O79" s="380">
        <v>12</v>
      </c>
      <c r="P79" s="380">
        <v>13</v>
      </c>
      <c r="Q79" s="380">
        <v>14</v>
      </c>
      <c r="R79" s="380">
        <v>15</v>
      </c>
      <c r="S79" s="380">
        <v>16</v>
      </c>
      <c r="T79" s="380">
        <v>17</v>
      </c>
      <c r="U79" s="380">
        <v>18</v>
      </c>
      <c r="V79" s="380">
        <v>19</v>
      </c>
      <c r="W79" s="380">
        <v>20</v>
      </c>
      <c r="X79" s="380">
        <v>21</v>
      </c>
      <c r="Y79" s="380">
        <v>22</v>
      </c>
      <c r="Z79" s="380">
        <v>23</v>
      </c>
      <c r="AA79" s="380">
        <v>24</v>
      </c>
      <c r="AB79" s="380">
        <v>25</v>
      </c>
    </row>
    <row r="80" spans="1:28" ht="14" x14ac:dyDescent="0.2">
      <c r="B80" s="381" t="s">
        <v>298</v>
      </c>
      <c r="C80" s="382"/>
      <c r="D80" s="352">
        <f t="shared" ref="D80:V80" si="28">D27</f>
        <v>1723.6833489103592</v>
      </c>
      <c r="E80" s="352">
        <f t="shared" si="28"/>
        <v>1757.9415554699663</v>
      </c>
      <c r="F80" s="352">
        <f t="shared" si="28"/>
        <v>1792.8806438849133</v>
      </c>
      <c r="G80" s="352">
        <f t="shared" si="28"/>
        <v>1828.5141466821369</v>
      </c>
      <c r="H80" s="352">
        <f t="shared" si="28"/>
        <v>1864.8558653474029</v>
      </c>
      <c r="I80" s="352">
        <f t="shared" si="28"/>
        <v>1901.9198756711849</v>
      </c>
      <c r="J80" s="352">
        <f t="shared" si="28"/>
        <v>1939.7205332001322</v>
      </c>
      <c r="K80" s="352">
        <f t="shared" si="28"/>
        <v>1978.2724787975021</v>
      </c>
      <c r="L80" s="352">
        <f t="shared" si="28"/>
        <v>2017.5906443136337</v>
      </c>
      <c r="M80" s="352">
        <f t="shared" si="28"/>
        <v>2057.6902583693736</v>
      </c>
      <c r="N80" s="352">
        <f t="shared" si="28"/>
        <v>2098.5868522544333</v>
      </c>
      <c r="O80" s="352">
        <f t="shared" si="28"/>
        <v>2140.2962659429759</v>
      </c>
      <c r="P80" s="352">
        <f t="shared" si="28"/>
        <v>2182.8346542285872</v>
      </c>
      <c r="Q80" s="352">
        <f t="shared" si="28"/>
        <v>2226.2184929813957</v>
      </c>
      <c r="R80" s="352">
        <f t="shared" si="28"/>
        <v>2270.4645855294075</v>
      </c>
      <c r="S80" s="352">
        <f t="shared" si="28"/>
        <v>2315.5900691667921</v>
      </c>
      <c r="T80" s="352">
        <f t="shared" si="28"/>
        <v>2361.6124217914767</v>
      </c>
      <c r="U80" s="352">
        <f t="shared" si="28"/>
        <v>2408.5494686745806</v>
      </c>
      <c r="V80" s="352">
        <f t="shared" si="28"/>
        <v>2456.4193893644842</v>
      </c>
      <c r="W80" s="352">
        <f t="shared" ref="W80:AB80" si="29">W27</f>
        <v>2505.2407247280935</v>
      </c>
      <c r="X80" s="352">
        <f t="shared" si="29"/>
        <v>2555.0323841321515</v>
      </c>
      <c r="Y80" s="352">
        <f t="shared" si="29"/>
        <v>2605.8136527667521</v>
      </c>
      <c r="Z80" s="352">
        <f t="shared" si="29"/>
        <v>2657.6041991155362</v>
      </c>
      <c r="AA80" s="352">
        <f t="shared" si="29"/>
        <v>2710.4240825729794</v>
      </c>
      <c r="AB80" s="352">
        <f t="shared" si="29"/>
        <v>2764.2937612140668</v>
      </c>
    </row>
    <row r="81" spans="1:28" ht="14" x14ac:dyDescent="0.2">
      <c r="B81" s="381" t="s">
        <v>450</v>
      </c>
      <c r="C81" s="382"/>
      <c r="D81" s="352">
        <f>D28</f>
        <v>26587.057061834967</v>
      </c>
      <c r="E81" s="362"/>
      <c r="F81" s="362"/>
      <c r="G81" s="362"/>
      <c r="H81" s="362"/>
      <c r="I81" s="362"/>
      <c r="J81" s="362"/>
      <c r="K81" s="362"/>
      <c r="L81" s="362"/>
      <c r="M81" s="362"/>
      <c r="N81" s="362"/>
      <c r="O81" s="362"/>
      <c r="P81" s="362"/>
      <c r="Q81" s="362"/>
      <c r="R81" s="362"/>
      <c r="S81" s="362"/>
      <c r="T81" s="362"/>
      <c r="U81" s="362"/>
      <c r="V81" s="362"/>
      <c r="W81" s="362"/>
      <c r="X81" s="362"/>
      <c r="Y81" s="362"/>
      <c r="Z81" s="362"/>
      <c r="AA81" s="362"/>
      <c r="AB81" s="362"/>
    </row>
    <row r="82" spans="1:28" ht="14" x14ac:dyDescent="0.2">
      <c r="B82" s="383"/>
      <c r="C82" s="382"/>
      <c r="D82" s="362"/>
      <c r="E82" s="362"/>
      <c r="F82" s="362"/>
      <c r="G82" s="362"/>
      <c r="H82" s="362"/>
      <c r="I82" s="362"/>
      <c r="J82" s="362"/>
      <c r="K82" s="362"/>
      <c r="L82" s="362"/>
      <c r="M82" s="362"/>
      <c r="N82" s="362"/>
      <c r="O82" s="362"/>
      <c r="P82" s="362"/>
      <c r="Q82" s="362"/>
      <c r="R82" s="362"/>
      <c r="S82" s="362"/>
      <c r="T82" s="362"/>
      <c r="U82" s="362"/>
      <c r="V82" s="362"/>
      <c r="W82" s="362"/>
      <c r="X82" s="362"/>
      <c r="Y82" s="362"/>
      <c r="Z82" s="362"/>
      <c r="AA82" s="362"/>
      <c r="AB82" s="362"/>
    </row>
    <row r="83" spans="1:28" ht="14" x14ac:dyDescent="0.2">
      <c r="B83" s="605" t="s">
        <v>207</v>
      </c>
      <c r="C83" s="606"/>
      <c r="D83" s="352"/>
      <c r="E83" s="362"/>
      <c r="F83" s="362"/>
      <c r="G83" s="362"/>
      <c r="H83" s="362"/>
      <c r="I83" s="362"/>
      <c r="J83" s="362"/>
      <c r="K83" s="362"/>
      <c r="L83" s="362"/>
      <c r="M83" s="362"/>
      <c r="N83" s="362"/>
      <c r="O83" s="362"/>
      <c r="P83" s="362"/>
      <c r="Q83" s="362"/>
      <c r="R83" s="362"/>
      <c r="S83" s="362"/>
      <c r="T83" s="362"/>
      <c r="U83" s="362"/>
      <c r="V83" s="362"/>
      <c r="W83" s="362"/>
      <c r="X83" s="362"/>
      <c r="Y83" s="362"/>
      <c r="Z83" s="362"/>
      <c r="AA83" s="362"/>
      <c r="AB83" s="362"/>
    </row>
    <row r="84" spans="1:28" ht="14" x14ac:dyDescent="0.2">
      <c r="B84" s="384" t="s">
        <v>208</v>
      </c>
      <c r="C84" s="385">
        <f t="shared" ref="C84:C89" si="30">C56</f>
        <v>6.2186237374071592E-2</v>
      </c>
      <c r="D84" s="362"/>
      <c r="E84" s="362"/>
      <c r="F84" s="362"/>
      <c r="G84" s="362"/>
      <c r="H84" s="362"/>
      <c r="I84" s="362"/>
      <c r="J84" s="362"/>
      <c r="K84" s="362"/>
      <c r="L84" s="362"/>
      <c r="M84" s="362"/>
      <c r="N84" s="362"/>
      <c r="O84" s="362"/>
      <c r="P84" s="362"/>
      <c r="Q84" s="362"/>
      <c r="R84" s="362"/>
      <c r="S84" s="362"/>
      <c r="T84" s="362"/>
      <c r="U84" s="362"/>
      <c r="V84" s="362"/>
      <c r="W84" s="362"/>
      <c r="X84" s="362"/>
      <c r="Y84" s="362"/>
      <c r="Z84" s="362"/>
      <c r="AA84" s="362"/>
      <c r="AB84" s="362"/>
    </row>
    <row r="85" spans="1:28" ht="14" x14ac:dyDescent="0.2">
      <c r="B85" s="384" t="s">
        <v>209</v>
      </c>
      <c r="C85" s="385">
        <f t="shared" si="30"/>
        <v>5.955495734281286E-2</v>
      </c>
      <c r="D85" s="362"/>
      <c r="E85" s="362"/>
      <c r="F85" s="362"/>
      <c r="G85" s="362"/>
      <c r="H85" s="362"/>
      <c r="I85" s="362"/>
      <c r="J85" s="362"/>
      <c r="K85" s="362"/>
      <c r="L85" s="362"/>
      <c r="M85" s="362"/>
      <c r="N85" s="362"/>
      <c r="O85" s="362"/>
      <c r="P85" s="362"/>
      <c r="Q85" s="362"/>
      <c r="R85" s="362"/>
      <c r="S85" s="362"/>
      <c r="T85" s="362"/>
      <c r="U85" s="362"/>
      <c r="V85" s="362"/>
      <c r="W85" s="362"/>
      <c r="X85" s="362"/>
      <c r="Y85" s="362"/>
      <c r="Z85" s="362"/>
      <c r="AA85" s="362"/>
      <c r="AB85" s="362"/>
    </row>
    <row r="86" spans="1:28" ht="14" x14ac:dyDescent="0.2">
      <c r="B86" s="384" t="s">
        <v>89</v>
      </c>
      <c r="C86" s="385">
        <f t="shared" si="30"/>
        <v>6.8651647326187712E-2</v>
      </c>
      <c r="D86" s="362"/>
      <c r="E86" s="362"/>
      <c r="F86" s="362"/>
      <c r="G86" s="362"/>
      <c r="H86" s="362"/>
      <c r="I86" s="362"/>
      <c r="J86" s="362"/>
      <c r="K86" s="362"/>
      <c r="L86" s="362"/>
      <c r="M86" s="362"/>
      <c r="N86" s="362"/>
      <c r="O86" s="362"/>
      <c r="P86" s="362"/>
      <c r="Q86" s="362"/>
      <c r="R86" s="362"/>
      <c r="S86" s="362"/>
      <c r="T86" s="362"/>
      <c r="U86" s="362"/>
      <c r="V86" s="362"/>
      <c r="W86" s="362"/>
      <c r="X86" s="362"/>
      <c r="Y86" s="362"/>
      <c r="Z86" s="362"/>
      <c r="AA86" s="362"/>
      <c r="AB86" s="362"/>
    </row>
    <row r="87" spans="1:28" ht="14" x14ac:dyDescent="0.2">
      <c r="B87" s="384" t="s">
        <v>90</v>
      </c>
      <c r="C87" s="385">
        <f t="shared" si="30"/>
        <v>8.326133637489111E-2</v>
      </c>
      <c r="D87" s="362"/>
      <c r="E87" s="362"/>
      <c r="F87" s="362"/>
      <c r="G87" s="362"/>
      <c r="H87" s="362"/>
      <c r="I87" s="362"/>
      <c r="J87" s="362"/>
      <c r="K87" s="362"/>
      <c r="L87" s="362"/>
      <c r="M87" s="362"/>
      <c r="N87" s="362"/>
      <c r="O87" s="362"/>
      <c r="P87" s="362"/>
      <c r="Q87" s="362"/>
      <c r="R87" s="362"/>
      <c r="S87" s="362"/>
      <c r="T87" s="362"/>
      <c r="U87" s="362"/>
      <c r="V87" s="362"/>
      <c r="W87" s="362"/>
      <c r="X87" s="362"/>
      <c r="Y87" s="362"/>
      <c r="Z87" s="362"/>
      <c r="AA87" s="362"/>
      <c r="AB87" s="362"/>
    </row>
    <row r="88" spans="1:28" ht="14" x14ac:dyDescent="0.2">
      <c r="B88" s="384" t="s">
        <v>91</v>
      </c>
      <c r="C88" s="385">
        <f t="shared" si="30"/>
        <v>9.646575990886419E-2</v>
      </c>
      <c r="D88" s="362"/>
      <c r="E88" s="362"/>
      <c r="F88" s="362"/>
      <c r="G88" s="362"/>
      <c r="H88" s="362"/>
      <c r="I88" s="362"/>
      <c r="J88" s="362"/>
      <c r="K88" s="362"/>
      <c r="L88" s="362"/>
      <c r="M88" s="362"/>
      <c r="N88" s="362"/>
      <c r="O88" s="362"/>
      <c r="P88" s="362"/>
      <c r="Q88" s="362"/>
      <c r="R88" s="362"/>
      <c r="S88" s="362"/>
      <c r="T88" s="362"/>
      <c r="U88" s="362"/>
      <c r="V88" s="362"/>
      <c r="W88" s="362"/>
      <c r="X88" s="362"/>
      <c r="Y88" s="362"/>
      <c r="Z88" s="362"/>
      <c r="AA88" s="362"/>
      <c r="AB88" s="362"/>
    </row>
    <row r="89" spans="1:28" ht="14" x14ac:dyDescent="0.2">
      <c r="B89" s="386" t="s">
        <v>449</v>
      </c>
      <c r="C89" s="387">
        <f t="shared" si="30"/>
        <v>0.11024310956339073</v>
      </c>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row>
    <row r="90" spans="1:28" ht="14" x14ac:dyDescent="0.2">
      <c r="B90" s="383"/>
      <c r="C90" s="382"/>
      <c r="D90" s="362"/>
      <c r="E90" s="362"/>
      <c r="F90" s="362"/>
      <c r="G90" s="362"/>
      <c r="H90" s="362"/>
      <c r="I90" s="362"/>
      <c r="J90" s="362"/>
      <c r="K90" s="362"/>
      <c r="L90" s="362"/>
      <c r="M90" s="362"/>
      <c r="N90" s="362"/>
      <c r="O90" s="362"/>
      <c r="P90" s="362"/>
      <c r="Q90" s="362"/>
      <c r="R90" s="362"/>
      <c r="S90" s="362"/>
      <c r="T90" s="362"/>
      <c r="U90" s="362"/>
      <c r="V90" s="362"/>
      <c r="W90" s="362"/>
      <c r="X90" s="362"/>
      <c r="Y90" s="362"/>
      <c r="Z90" s="362"/>
      <c r="AA90" s="362"/>
      <c r="AB90" s="362"/>
    </row>
    <row r="91" spans="1:28" ht="14" x14ac:dyDescent="0.2">
      <c r="B91" s="384" t="s">
        <v>139</v>
      </c>
      <c r="C91" s="382"/>
      <c r="D91" s="388">
        <f t="shared" ref="D91:V91" si="31">D22+D23</f>
        <v>7.3648296020305801E-2</v>
      </c>
      <c r="E91" s="388">
        <f t="shared" si="31"/>
        <v>7.5489503420813439E-2</v>
      </c>
      <c r="F91" s="388">
        <f t="shared" si="31"/>
        <v>7.7376741006333766E-2</v>
      </c>
      <c r="G91" s="388">
        <f t="shared" si="31"/>
        <v>7.9311159531492106E-2</v>
      </c>
      <c r="H91" s="388">
        <f t="shared" si="31"/>
        <v>8.1293938519779396E-2</v>
      </c>
      <c r="I91" s="388">
        <f t="shared" si="31"/>
        <v>8.3326286982773876E-2</v>
      </c>
      <c r="J91" s="388">
        <f t="shared" si="31"/>
        <v>8.5409444157343209E-2</v>
      </c>
      <c r="K91" s="388">
        <f t="shared" si="31"/>
        <v>8.7544680261276778E-2</v>
      </c>
      <c r="L91" s="388">
        <f t="shared" si="31"/>
        <v>8.9733297267808695E-2</v>
      </c>
      <c r="M91" s="388">
        <f t="shared" si="31"/>
        <v>9.1976629699503903E-2</v>
      </c>
      <c r="N91" s="388">
        <f t="shared" si="31"/>
        <v>9.4276045441991488E-2</v>
      </c>
      <c r="O91" s="388">
        <f t="shared" si="31"/>
        <v>9.6632946578041265E-2</v>
      </c>
      <c r="P91" s="388">
        <f t="shared" si="31"/>
        <v>9.9048770242492284E-2</v>
      </c>
      <c r="Q91" s="388">
        <f t="shared" si="31"/>
        <v>0.10152498949855458</v>
      </c>
      <c r="R91" s="388">
        <f t="shared" si="31"/>
        <v>0.10406311423601844</v>
      </c>
      <c r="S91" s="388">
        <f t="shared" si="31"/>
        <v>0.10666469209191889</v>
      </c>
      <c r="T91" s="388">
        <f t="shared" si="31"/>
        <v>0.10933130939421686</v>
      </c>
      <c r="U91" s="388">
        <f t="shared" si="31"/>
        <v>0.11206459212907227</v>
      </c>
      <c r="V91" s="388">
        <f t="shared" si="31"/>
        <v>0.11486620693229907</v>
      </c>
      <c r="W91" s="388">
        <f t="shared" ref="W91:AB91" si="32">W22+W23</f>
        <v>0.11773786210560654</v>
      </c>
      <c r="X91" s="388">
        <f t="shared" si="32"/>
        <v>0.12068130865824669</v>
      </c>
      <c r="Y91" s="388">
        <f t="shared" si="32"/>
        <v>0.12369834137470286</v>
      </c>
      <c r="Z91" s="388">
        <f t="shared" si="32"/>
        <v>0.12679079990907041</v>
      </c>
      <c r="AA91" s="388">
        <f t="shared" si="32"/>
        <v>0.12996056990679716</v>
      </c>
      <c r="AB91" s="388">
        <f t="shared" si="32"/>
        <v>0.13320958415446707</v>
      </c>
    </row>
    <row r="92" spans="1:28" ht="14" x14ac:dyDescent="0.2">
      <c r="B92" s="384" t="s">
        <v>115</v>
      </c>
      <c r="C92" s="382"/>
      <c r="D92" s="388">
        <f t="shared" ref="D92:V92" si="33">D24</f>
        <v>7.3031580167629145E-2</v>
      </c>
      <c r="E92" s="388">
        <f t="shared" si="33"/>
        <v>7.4857369671819871E-2</v>
      </c>
      <c r="F92" s="388">
        <f t="shared" si="33"/>
        <v>7.6728803913615362E-2</v>
      </c>
      <c r="G92" s="388">
        <f t="shared" si="33"/>
        <v>7.8647024011455735E-2</v>
      </c>
      <c r="H92" s="388">
        <f t="shared" si="33"/>
        <v>8.0613199611742126E-2</v>
      </c>
      <c r="I92" s="388">
        <f t="shared" si="33"/>
        <v>8.2628529602035677E-2</v>
      </c>
      <c r="J92" s="388">
        <f t="shared" si="33"/>
        <v>8.4694242842086556E-2</v>
      </c>
      <c r="K92" s="388">
        <f t="shared" si="33"/>
        <v>8.6811598913138707E-2</v>
      </c>
      <c r="L92" s="388">
        <f t="shared" si="33"/>
        <v>8.898188888596717E-2</v>
      </c>
      <c r="M92" s="388">
        <f t="shared" si="33"/>
        <v>9.1206436108116337E-2</v>
      </c>
      <c r="N92" s="388">
        <f t="shared" si="33"/>
        <v>9.3486597010819239E-2</v>
      </c>
      <c r="O92" s="388">
        <f t="shared" si="33"/>
        <v>9.5823761936089713E-2</v>
      </c>
      <c r="P92" s="388">
        <f t="shared" si="33"/>
        <v>9.8219355984491941E-2</v>
      </c>
      <c r="Q92" s="388">
        <f t="shared" si="33"/>
        <v>0.10067483988410424</v>
      </c>
      <c r="R92" s="388">
        <f t="shared" si="33"/>
        <v>0.10319171088120684</v>
      </c>
      <c r="S92" s="388">
        <f t="shared" si="33"/>
        <v>0.105771503653237</v>
      </c>
      <c r="T92" s="388">
        <f t="shared" si="33"/>
        <v>0.10841579124456791</v>
      </c>
      <c r="U92" s="388">
        <f t="shared" si="33"/>
        <v>0.1111261860256821</v>
      </c>
      <c r="V92" s="388">
        <f t="shared" si="33"/>
        <v>0.11390434067632414</v>
      </c>
      <c r="W92" s="388">
        <f t="shared" ref="W92:AB92" si="34">W24</f>
        <v>0.11675194919323223</v>
      </c>
      <c r="X92" s="388">
        <f t="shared" si="34"/>
        <v>0.11967074792306302</v>
      </c>
      <c r="Y92" s="388">
        <f t="shared" si="34"/>
        <v>0.12266251662113958</v>
      </c>
      <c r="Z92" s="388">
        <f t="shared" si="34"/>
        <v>0.12572907953666806</v>
      </c>
      <c r="AA92" s="388">
        <f t="shared" si="34"/>
        <v>0.12887230652508475</v>
      </c>
      <c r="AB92" s="388">
        <f t="shared" si="34"/>
        <v>0.13209411418821185</v>
      </c>
    </row>
    <row r="93" spans="1:28" ht="14" x14ac:dyDescent="0.2">
      <c r="B93" s="383"/>
      <c r="C93" s="382"/>
      <c r="D93" s="362"/>
      <c r="E93" s="362"/>
      <c r="F93" s="362"/>
      <c r="G93" s="362"/>
      <c r="H93" s="362"/>
      <c r="I93" s="362"/>
      <c r="J93" s="362"/>
      <c r="K93" s="362"/>
      <c r="L93" s="362"/>
      <c r="M93" s="362"/>
      <c r="N93" s="362"/>
      <c r="O93" s="362"/>
      <c r="P93" s="362"/>
      <c r="Q93" s="362"/>
      <c r="R93" s="362"/>
      <c r="S93" s="362"/>
      <c r="T93" s="362"/>
      <c r="U93" s="362"/>
      <c r="V93" s="362"/>
      <c r="W93" s="362"/>
      <c r="X93" s="362"/>
      <c r="Y93" s="362"/>
      <c r="Z93" s="362"/>
      <c r="AA93" s="362"/>
      <c r="AB93" s="362"/>
    </row>
    <row r="94" spans="1:28" ht="14" x14ac:dyDescent="0.2">
      <c r="B94" s="384" t="s">
        <v>120</v>
      </c>
      <c r="C94" s="382"/>
      <c r="D94" s="389">
        <f t="shared" ref="D94:V94" si="35">D19</f>
        <v>93477310.739999995</v>
      </c>
      <c r="E94" s="389">
        <f t="shared" si="35"/>
        <v>93491285.436299995</v>
      </c>
      <c r="F94" s="389">
        <f t="shared" si="35"/>
        <v>93505190.259118497</v>
      </c>
      <c r="G94" s="389">
        <f t="shared" si="35"/>
        <v>93519025.557822898</v>
      </c>
      <c r="H94" s="389">
        <f t="shared" si="35"/>
        <v>93532791.680033788</v>
      </c>
      <c r="I94" s="389">
        <f t="shared" si="35"/>
        <v>93546488.971633613</v>
      </c>
      <c r="J94" s="389">
        <f t="shared" si="35"/>
        <v>93560117.77677545</v>
      </c>
      <c r="K94" s="389">
        <f t="shared" si="35"/>
        <v>93573678.437891573</v>
      </c>
      <c r="L94" s="389">
        <f t="shared" si="35"/>
        <v>93587171.295702115</v>
      </c>
      <c r="M94" s="389">
        <f t="shared" si="35"/>
        <v>93600596.689223602</v>
      </c>
      <c r="N94" s="389">
        <f t="shared" si="35"/>
        <v>93613954.955777496</v>
      </c>
      <c r="O94" s="389">
        <f t="shared" si="35"/>
        <v>93627246.430998594</v>
      </c>
      <c r="P94" s="389">
        <f t="shared" si="35"/>
        <v>93640471.448843613</v>
      </c>
      <c r="Q94" s="389">
        <f t="shared" si="35"/>
        <v>93653630.34159939</v>
      </c>
      <c r="R94" s="389">
        <f t="shared" si="35"/>
        <v>93666723.439891398</v>
      </c>
      <c r="S94" s="389">
        <f t="shared" si="35"/>
        <v>93679751.072691932</v>
      </c>
      <c r="T94" s="389">
        <f t="shared" si="35"/>
        <v>93692713.567328483</v>
      </c>
      <c r="U94" s="389">
        <f t="shared" si="35"/>
        <v>93705611.249491841</v>
      </c>
      <c r="V94" s="389">
        <f t="shared" si="35"/>
        <v>93718444.443244368</v>
      </c>
      <c r="W94" s="389">
        <f t="shared" ref="W94:AB94" si="36">W19</f>
        <v>93731213.471028149</v>
      </c>
      <c r="X94" s="389">
        <f t="shared" si="36"/>
        <v>93743918.653673008</v>
      </c>
      <c r="Y94" s="389">
        <f t="shared" si="36"/>
        <v>93756560.310404643</v>
      </c>
      <c r="Z94" s="389">
        <f t="shared" si="36"/>
        <v>93769138.758852631</v>
      </c>
      <c r="AA94" s="389">
        <f t="shared" si="36"/>
        <v>93781654.315058365</v>
      </c>
      <c r="AB94" s="389">
        <f t="shared" si="36"/>
        <v>93794107.293483064</v>
      </c>
    </row>
    <row r="95" spans="1:28" ht="14" x14ac:dyDescent="0.2">
      <c r="A95" t="s">
        <v>246</v>
      </c>
      <c r="B95" s="386" t="s">
        <v>121</v>
      </c>
      <c r="C95" s="390"/>
      <c r="D95" s="391">
        <f t="shared" ref="D95:V95" si="37">D21</f>
        <v>2794939.2600000035</v>
      </c>
      <c r="E95" s="391">
        <f t="shared" si="37"/>
        <v>2780964.5637000035</v>
      </c>
      <c r="F95" s="391">
        <f t="shared" si="37"/>
        <v>2767059.7408815036</v>
      </c>
      <c r="G95" s="391">
        <f t="shared" si="37"/>
        <v>2753224.4421770959</v>
      </c>
      <c r="H95" s="391">
        <f t="shared" si="37"/>
        <v>2739458.3199662105</v>
      </c>
      <c r="I95" s="391">
        <f t="shared" si="37"/>
        <v>2725761.0283663794</v>
      </c>
      <c r="J95" s="391">
        <f t="shared" si="37"/>
        <v>2712132.2232245477</v>
      </c>
      <c r="K95" s="391">
        <f t="shared" si="37"/>
        <v>2698571.562108425</v>
      </c>
      <c r="L95" s="391">
        <f t="shared" si="37"/>
        <v>2685078.704297883</v>
      </c>
      <c r="M95" s="391">
        <f t="shared" si="37"/>
        <v>2671653.3107763934</v>
      </c>
      <c r="N95" s="391">
        <f t="shared" si="37"/>
        <v>2658295.0442225114</v>
      </c>
      <c r="O95" s="391">
        <f t="shared" si="37"/>
        <v>2645003.569001399</v>
      </c>
      <c r="P95" s="391">
        <f t="shared" si="37"/>
        <v>2631778.5511563919</v>
      </c>
      <c r="Q95" s="391">
        <f t="shared" si="37"/>
        <v>2618619.6584006101</v>
      </c>
      <c r="R95" s="391">
        <f t="shared" si="37"/>
        <v>2605526.5601086072</v>
      </c>
      <c r="S95" s="391">
        <f t="shared" si="37"/>
        <v>2592498.927308064</v>
      </c>
      <c r="T95" s="391">
        <f t="shared" si="37"/>
        <v>2579536.4326715237</v>
      </c>
      <c r="U95" s="391">
        <f t="shared" si="37"/>
        <v>2566638.7505081659</v>
      </c>
      <c r="V95" s="391">
        <f t="shared" si="37"/>
        <v>2553805.5567556252</v>
      </c>
      <c r="W95" s="391">
        <f t="shared" ref="W95:AB95" si="38">W21</f>
        <v>2541036.5289718471</v>
      </c>
      <c r="X95" s="391">
        <f t="shared" si="38"/>
        <v>2528331.3463269877</v>
      </c>
      <c r="Y95" s="391">
        <f t="shared" si="38"/>
        <v>2515689.6895953529</v>
      </c>
      <c r="Z95" s="391">
        <f t="shared" si="38"/>
        <v>2503111.2411473761</v>
      </c>
      <c r="AA95" s="391">
        <f t="shared" si="38"/>
        <v>2490595.6849416392</v>
      </c>
      <c r="AB95" s="391">
        <f t="shared" si="38"/>
        <v>2478142.7065169308</v>
      </c>
    </row>
    <row r="96" spans="1:28" ht="14" x14ac:dyDescent="0.2">
      <c r="B96" s="341"/>
      <c r="C96" s="341"/>
      <c r="D96" s="341"/>
      <c r="E96" s="341"/>
      <c r="F96" s="341"/>
      <c r="G96" s="341"/>
      <c r="H96" s="341"/>
      <c r="I96" s="341"/>
      <c r="J96" s="341"/>
      <c r="K96" s="341"/>
      <c r="L96" s="341"/>
      <c r="M96" s="341"/>
      <c r="N96" s="341"/>
      <c r="O96" s="341"/>
      <c r="P96" s="341"/>
      <c r="Q96" s="341"/>
      <c r="R96" s="341"/>
      <c r="S96" s="341"/>
      <c r="T96" s="341"/>
      <c r="U96" s="341"/>
      <c r="V96" s="341"/>
      <c r="W96" s="341"/>
      <c r="X96" s="341"/>
      <c r="Y96" s="341"/>
      <c r="Z96" s="341"/>
      <c r="AA96" s="341"/>
      <c r="AB96" s="341"/>
    </row>
    <row r="97" spans="2:28" ht="14" x14ac:dyDescent="0.2">
      <c r="B97" s="341"/>
      <c r="C97" s="341"/>
      <c r="D97" s="341"/>
      <c r="E97" s="341"/>
      <c r="F97" s="341"/>
      <c r="G97" s="341"/>
      <c r="H97" s="341"/>
      <c r="I97" s="341"/>
      <c r="J97" s="341"/>
      <c r="K97" s="341"/>
      <c r="L97" s="341"/>
      <c r="M97" s="341"/>
      <c r="N97" s="341"/>
      <c r="O97" s="341"/>
      <c r="P97" s="341"/>
      <c r="Q97" s="341"/>
      <c r="R97" s="341"/>
      <c r="S97" s="341"/>
      <c r="T97" s="341"/>
      <c r="U97" s="341"/>
      <c r="V97" s="341"/>
      <c r="W97" s="341"/>
      <c r="X97" s="341"/>
      <c r="Y97" s="341"/>
      <c r="Z97" s="341"/>
      <c r="AA97" s="341"/>
      <c r="AB97" s="341"/>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9"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248A2AE9-7EF4-4E7C-976D-5549F45FDB9A}"/>
</file>

<file path=customXml/itemProps2.xml><?xml version="1.0" encoding="utf-8"?>
<ds:datastoreItem xmlns:ds="http://schemas.openxmlformats.org/officeDocument/2006/customXml" ds:itemID="{156AC748-81C7-43C2-8B10-2ED6A69D67D0}"/>
</file>

<file path=customXml/itemProps3.xml><?xml version="1.0" encoding="utf-8"?>
<ds:datastoreItem xmlns:ds="http://schemas.openxmlformats.org/officeDocument/2006/customXml" ds:itemID="{EFC66941-D6E2-46B2-B034-79F7DD07B23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2023-04-20T03:30:25Z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